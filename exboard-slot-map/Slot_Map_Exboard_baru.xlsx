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ot Map" sheetId="1" state="visible" r:id="rId3"/>
    <sheet name="Reguler Class Availabil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<sst xmlns="http://schemas.openxmlformats.org/spreadsheetml/2006/main" count="23970" uniqueCount="4408">
  <si>
    <t xml:space="preserve">SLOT MAP — JADWAL KELAS PER LANE</t>
  </si>
  <si>
    <t xml:space="preserve">helper: jam 15-menit per lane — jangan diubah</t>
  </si>
  <si>
    <t xml:space="preserve">Baris = jam, kolom = hari. Tiap sel: age group · terisi/kapasitas (%) · coach · assist coach. Warna = status keterisian. Ganti center di B4.</t>
  </si>
  <si>
    <t xml:space="preserve">06:00</t>
  </si>
  <si>
    <t xml:space="preserve">06:15</t>
  </si>
  <si>
    <t xml:space="preserve">Center</t>
  </si>
  <si>
    <t xml:space="preserve">KLM</t>
  </si>
  <si>
    <t xml:space="preserve">← pilih center</t>
  </si>
  <si>
    <t xml:space="preserve">06:30</t>
  </si>
  <si>
    <t xml:space="preserve">06:45</t>
  </si>
  <si>
    <t xml:space="preserve">Ringkasan</t>
  </si>
  <si>
    <t xml:space="preserve">Utilisasi center</t>
  </si>
  <si>
    <t xml:space="preserve">Kursi terisi / kapasitas</t>
  </si>
  <si>
    <t xml:space="preserve">Belum terisi</t>
  </si>
  <si>
    <t xml:space="preserve">Slot kosong</t>
  </si>
  <si>
    <t xml:space="preserve">Penuh</t>
  </si>
  <si>
    <t xml:space="preserve">Lebih kapasitas</t>
  </si>
  <si>
    <t xml:space="preserve">Tutup</t>
  </si>
  <si>
    <t xml:space="preserve">07:00</t>
  </si>
  <si>
    <t xml:space="preserve">07:15</t>
  </si>
  <si>
    <t xml:space="preserve">07:30</t>
  </si>
  <si>
    <t xml:space="preserve">Warna</t>
  </si>
  <si>
    <t xml:space="preserve">Belum terisi (kelas ada, 0 murid)</t>
  </si>
  <si>
    <t xml:space="preserve">Slot kosong (belum ada kelas)</t>
  </si>
  <si>
    <t xml:space="preserve">Terisi &lt; 60%</t>
  </si>
  <si>
    <t xml:space="preserve">Terisi 60–99%</t>
  </si>
  <si>
    <t xml:space="preserve">Tutup (kapasitas 0)</t>
  </si>
  <si>
    <t xml:space="preserve">07:45</t>
  </si>
  <si>
    <t xml:space="preserve">Age group</t>
  </si>
  <si>
    <t xml:space="preserve">Baby · 6–17 bulan</t>
  </si>
  <si>
    <t xml:space="preserve">Tiny · 18–36 bulan</t>
  </si>
  <si>
    <t xml:space="preserve">Little · 3–5 tahun</t>
  </si>
  <si>
    <t xml:space="preserve">Kids · 5–8+ tahun</t>
  </si>
  <si>
    <t xml:space="preserve">Star · 9–12 tahun</t>
  </si>
  <si>
    <t xml:space="preserve">08:00</t>
  </si>
  <si>
    <t xml:space="preserve">08:15</t>
  </si>
  <si>
    <t xml:space="preserve">LANE 1</t>
  </si>
  <si>
    <t xml:space="preserve">08:30</t>
  </si>
  <si>
    <t xml:space="preserve">Jam</t>
  </si>
  <si>
    <t xml:space="preserve">Senin</t>
  </si>
  <si>
    <t xml:space="preserve">Selasa</t>
  </si>
  <si>
    <t xml:space="preserve">Rabu</t>
  </si>
  <si>
    <t xml:space="preserve">Kamis</t>
  </si>
  <si>
    <t xml:space="preserve">Jumat</t>
  </si>
  <si>
    <t xml:space="preserve">Sabtu</t>
  </si>
  <si>
    <t xml:space="preserve">Minggu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</si>
  <si>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</si>
  <si>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</si>
  <si>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</si>
  <si>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</si>
  <si>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</si>
  <si>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</si>
  <si>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</si>
  <si>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</si>
  <si>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</si>
  <si>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</si>
  <si>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</si>
  <si>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</si>
  <si>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</si>
  <si>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</si>
  <si>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</si>
  <si>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</si>
  <si>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</si>
  <si>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Util</t>
  </si>
  <si>
    <t xml:space="preserve">13:00</t>
  </si>
  <si>
    <t xml:space="preserve">13:15</t>
  </si>
  <si>
    <t xml:space="preserve">LANE 2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</si>
  <si>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</si>
  <si>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</si>
  <si>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</si>
  <si>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</si>
  <si>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</si>
  <si>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</si>
  <si>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</si>
  <si>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</si>
  <si>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</si>
  <si>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</si>
  <si>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</si>
  <si>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</si>
  <si>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</si>
  <si>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</si>
  <si>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</si>
  <si>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</si>
  <si>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</si>
  <si>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</si>
  <si>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LANE 3</t>
  </si>
  <si>
    <t xml:space="preserve">18:00</t>
  </si>
  <si>
    <t xml:space="preserve">18:15</t>
  </si>
  <si>
    <t xml:space="preserve">18:30</t>
  </si>
  <si>
    <t xml:space="preserve">18:45</t>
  </si>
  <si>
    <t xml:space="preserve">19:00</t>
  </si>
  <si>
    <t xml:space="preserve">19:15</t>
  </si>
  <si>
    <t xml:space="preserve">19:30</t>
  </si>
  <si>
    <t xml:space="preserve">19:45</t>
  </si>
  <si>
    <t xml:space="preserve">20:00</t>
  </si>
  <si>
    <t xml:space="preserve">20:15</t>
  </si>
  <si>
    <t xml:space="preserve">20:30</t>
  </si>
  <si>
    <t xml:space="preserve">20:45</t>
  </si>
  <si>
    <t xml:space="preserve">LANE 4</t>
  </si>
  <si>
    <t xml:space="preserve">LANE 5</t>
  </si>
  <si>
    <t xml:space="preserve">LANE 6</t>
  </si>
  <si>
    <t xml:space="preserve">Catatan: sel kosong = jam itu tidak ada di jadwal lane tersebut. '–' = slot tidak dibuka (kapasitas 0, tanpa kelas). Kolom J:AB tersembunyi berisi rumus bantu; jangan dihapus.</t>
  </si>
  <si>
    <t xml:space="preserve">Age Group</t>
  </si>
  <si>
    <t xml:space="preserve">Day</t>
  </si>
  <si>
    <t xml:space="preserve">Time</t>
  </si>
  <si>
    <t xml:space="preserve">Slot</t>
  </si>
  <si>
    <t xml:space="preserve">Cap</t>
  </si>
  <si>
    <t xml:space="preserve">Used</t>
  </si>
  <si>
    <t xml:space="preserve">Availability</t>
  </si>
  <si>
    <t xml:space="preserve">Coach</t>
  </si>
  <si>
    <t xml:space="preserve">Asst. Coach</t>
  </si>
  <si>
    <t xml:space="preserve">Sesi</t>
  </si>
  <si>
    <t xml:space="preserve">Key (helper)</t>
  </si>
  <si>
    <t xml:space="preserve">Salinan untuk pratinjau saja. Di Exboard, tab Slot Map membaca tab Reguler Class Availability yang asli.</t>
  </si>
  <si>
    <t xml:space="preserve">- Lane 1 - Senin</t>
  </si>
  <si>
    <t xml:space="preserve">8:15</t>
  </si>
  <si>
    <t xml:space="preserve"> - Lane 1 - Senin - 08:15</t>
  </si>
  <si>
    <t xml:space="preserve">NOT AVAILABLE</t>
  </si>
  <si>
    <t xml:space="preserve">Sesi 1</t>
  </si>
  <si>
    <t xml:space="preserve">KLM|- Lane 1 - Senin|08:15</t>
  </si>
  <si>
    <t xml:space="preserve">9:00</t>
  </si>
  <si>
    <t xml:space="preserve"> - Lane 1 - Senin - 09:00</t>
  </si>
  <si>
    <t xml:space="preserve">AVAILABLE</t>
  </si>
  <si>
    <t xml:space="preserve">Sesi 2</t>
  </si>
  <si>
    <t xml:space="preserve">KLM|- Lane 1 - Senin|09:00</t>
  </si>
  <si>
    <t xml:space="preserve">9:45</t>
  </si>
  <si>
    <t xml:space="preserve"> - Lane 1 - Senin - 09:45</t>
  </si>
  <si>
    <t xml:space="preserve">Sesi 3</t>
  </si>
  <si>
    <t xml:space="preserve">KLM|- Lane 1 - Senin|09:45</t>
  </si>
  <si>
    <t xml:space="preserve">Baby</t>
  </si>
  <si>
    <t xml:space="preserve">Baby - Lane 1 - Senin - 10:30</t>
  </si>
  <si>
    <t xml:space="preserve">DANTI</t>
  </si>
  <si>
    <t xml:space="preserve">Sesi 4</t>
  </si>
  <si>
    <t xml:space="preserve">KLM|- Lane 1 - Senin|10:30</t>
  </si>
  <si>
    <t xml:space="preserve"> - Lane 1 - Senin - 11:15</t>
  </si>
  <si>
    <t xml:space="preserve">Sesi 5</t>
  </si>
  <si>
    <t xml:space="preserve">KLM|- Lane 1 - Senin|11:15</t>
  </si>
  <si>
    <t xml:space="preserve">Baby - Lane 1 - Senin - 12:00</t>
  </si>
  <si>
    <t xml:space="preserve">Sesi 6</t>
  </si>
  <si>
    <t xml:space="preserve">KLM|- Lane 1 - Senin|12:00</t>
  </si>
  <si>
    <t xml:space="preserve">Little</t>
  </si>
  <si>
    <t xml:space="preserve">Little - Lane 1 - Senin - 13:30</t>
  </si>
  <si>
    <t xml:space="preserve">GITA</t>
  </si>
  <si>
    <t xml:space="preserve">Sesi 7</t>
  </si>
  <si>
    <t xml:space="preserve">KLM|- Lane 1 - Senin|13:30</t>
  </si>
  <si>
    <t xml:space="preserve"> - Lane 1 - Senin - 14:15</t>
  </si>
  <si>
    <t xml:space="preserve">Sesi 8</t>
  </si>
  <si>
    <t xml:space="preserve">KLM|- Lane 1 - Senin|14:15</t>
  </si>
  <si>
    <t xml:space="preserve">Little - Lane 1 - Senin - 15:00</t>
  </si>
  <si>
    <t xml:space="preserve">Sesi 9</t>
  </si>
  <si>
    <t xml:space="preserve">KLM|- Lane 1 - Senin|15:00</t>
  </si>
  <si>
    <t xml:space="preserve"> - Lane 1 - Senin - 15:45</t>
  </si>
  <si>
    <t xml:space="preserve">Sesi 10</t>
  </si>
  <si>
    <t xml:space="preserve">KLM|- Lane 1 - Senin|15:45</t>
  </si>
  <si>
    <t xml:space="preserve">Kids</t>
  </si>
  <si>
    <t xml:space="preserve">Kids - Lane 1 - Senin - 16:30</t>
  </si>
  <si>
    <t xml:space="preserve">Sesi 11</t>
  </si>
  <si>
    <t xml:space="preserve">KLM|- Lane 1 - Senin|16:30</t>
  </si>
  <si>
    <t xml:space="preserve">Baby - Lane 1 - Senin - 17:15</t>
  </si>
  <si>
    <t xml:space="preserve">RISCHA</t>
  </si>
  <si>
    <t xml:space="preserve">Sesi 12</t>
  </si>
  <si>
    <t xml:space="preserve">KLM|- Lane 1 - Senin|17:15</t>
  </si>
  <si>
    <t xml:space="preserve">- Lane 1 - Selasa</t>
  </si>
  <si>
    <t xml:space="preserve"> - Lane 1 - Selasa - 08:15</t>
  </si>
  <si>
    <t xml:space="preserve">KLM|- Lane 1 - Selasa|08:15</t>
  </si>
  <si>
    <t xml:space="preserve"> - Lane 1 - Selasa - 09:00</t>
  </si>
  <si>
    <t xml:space="preserve">KLM|- Lane 1 - Selasa|09:00</t>
  </si>
  <si>
    <t xml:space="preserve"> - Lane 1 - Selasa - 09:45</t>
  </si>
  <si>
    <t xml:space="preserve">KLM|- Lane 1 - Selasa|09:45</t>
  </si>
  <si>
    <t xml:space="preserve">Baby - Lane 1 - Selasa - 10:30</t>
  </si>
  <si>
    <t xml:space="preserve">ZIDANE</t>
  </si>
  <si>
    <t xml:space="preserve">KLM|- Lane 1 - Selasa|10:30</t>
  </si>
  <si>
    <t xml:space="preserve">Baby - Lane 1 - Selasa - 11:15</t>
  </si>
  <si>
    <t xml:space="preserve">KLM|- Lane 1 - Selasa|11:15</t>
  </si>
  <si>
    <t xml:space="preserve"> - Lane 1 - Selasa - 12:00</t>
  </si>
  <si>
    <t xml:space="preserve">KLM|- Lane 1 - Selasa|12:00</t>
  </si>
  <si>
    <t xml:space="preserve"> - Lane 1 - Selasa - 13:30</t>
  </si>
  <si>
    <t xml:space="preserve">KLM|- Lane 1 - Selasa|13:30</t>
  </si>
  <si>
    <t xml:space="preserve"> - Lane 1 - Selasa - 14:15</t>
  </si>
  <si>
    <t xml:space="preserve">KLM|- Lane 1 - Selasa|14:15</t>
  </si>
  <si>
    <t xml:space="preserve">Kids - Lane 1 - Selasa - 15:00</t>
  </si>
  <si>
    <t xml:space="preserve">TESSA</t>
  </si>
  <si>
    <t xml:space="preserve">KLM|- Lane 1 - Selasa|15:00</t>
  </si>
  <si>
    <t xml:space="preserve"> - Lane 1 - Selasa - 15:45</t>
  </si>
  <si>
    <t xml:space="preserve">KLM|- Lane 1 - Selasa|15:45</t>
  </si>
  <si>
    <t xml:space="preserve"> - Lane 1 - Selasa - 16:30</t>
  </si>
  <si>
    <t xml:space="preserve">KLM|- Lane 1 - Selasa|16:30</t>
  </si>
  <si>
    <t xml:space="preserve">Baby - Lane 1 - Selasa - 17:15</t>
  </si>
  <si>
    <t xml:space="preserve">KLM|- Lane 1 - Selasa|17:15</t>
  </si>
  <si>
    <t xml:space="preserve">- Lane 1 - Rabu</t>
  </si>
  <si>
    <t xml:space="preserve"> - Lane 1 - Rabu - 08:15</t>
  </si>
  <si>
    <t xml:space="preserve">KLM|- Lane 1 - Rabu|08:15</t>
  </si>
  <si>
    <t xml:space="preserve">Baby - Lane 1 - Rabu - 09:00</t>
  </si>
  <si>
    <t xml:space="preserve">NUKY</t>
  </si>
  <si>
    <t xml:space="preserve">KLM|- Lane 1 - Rabu|09:00</t>
  </si>
  <si>
    <t xml:space="preserve"> - Lane 1 - Rabu - 09:45</t>
  </si>
  <si>
    <t xml:space="preserve">KLM|- Lane 1 - Rabu|09:45</t>
  </si>
  <si>
    <t xml:space="preserve"> - Lane 1 - Rabu - 10:30</t>
  </si>
  <si>
    <t xml:space="preserve">KLM|- Lane 1 - Rabu|10:30</t>
  </si>
  <si>
    <t xml:space="preserve">Baby - Lane 1 - Rabu - 11:15</t>
  </si>
  <si>
    <t xml:space="preserve">KLM|- Lane 1 - Rabu|11:15</t>
  </si>
  <si>
    <t xml:space="preserve"> - Lane 1 - Rabu - 12:00</t>
  </si>
  <si>
    <t xml:space="preserve">KLM|- Lane 1 - Rabu|12:00</t>
  </si>
  <si>
    <t xml:space="preserve">Baby - Lane 1 - Rabu - 13:30</t>
  </si>
  <si>
    <t xml:space="preserve">KLM|- Lane 1 - Rabu|13:30</t>
  </si>
  <si>
    <t xml:space="preserve"> - Lane 1 - Rabu - 14:15</t>
  </si>
  <si>
    <t xml:space="preserve">KLM|- Lane 1 - Rabu|14:15</t>
  </si>
  <si>
    <t xml:space="preserve">Baby - Lane 1 - Rabu - 15:00</t>
  </si>
  <si>
    <t xml:space="preserve">KLM|- Lane 1 - Rabu|15:00</t>
  </si>
  <si>
    <t xml:space="preserve">Little - Lane 1 - Rabu - 15:45</t>
  </si>
  <si>
    <t xml:space="preserve">KLM|- Lane 1 - Rabu|15:45</t>
  </si>
  <si>
    <t xml:space="preserve"> - Lane 1 - Rabu - 16:30</t>
  </si>
  <si>
    <t xml:space="preserve">KLM|- Lane 1 - Rabu|16:30</t>
  </si>
  <si>
    <t xml:space="preserve"> - Lane 1 - Rabu - 17:15</t>
  </si>
  <si>
    <t xml:space="preserve">KLM|- Lane 1 - Rabu|17:15</t>
  </si>
  <si>
    <t xml:space="preserve">- Lane 1 - Kamis</t>
  </si>
  <si>
    <t xml:space="preserve"> - Lane 1 - Kamis - 08:15</t>
  </si>
  <si>
    <t xml:space="preserve">KLM|- Lane 1 - Kamis|08:15</t>
  </si>
  <si>
    <t xml:space="preserve"> - Lane 1 - Kamis - 09:00</t>
  </si>
  <si>
    <t xml:space="preserve">KLM|- Lane 1 - Kamis|09:00</t>
  </si>
  <si>
    <t xml:space="preserve"> - Lane 1 - Kamis - 09:45</t>
  </si>
  <si>
    <t xml:space="preserve">KLM|- Lane 1 - Kamis|09:45</t>
  </si>
  <si>
    <t xml:space="preserve"> - Lane 1 - Kamis - 10:30</t>
  </si>
  <si>
    <t xml:space="preserve">KLM|- Lane 1 - Kamis|10:30</t>
  </si>
  <si>
    <t xml:space="preserve"> - Lane 1 - Kamis - 11:15</t>
  </si>
  <si>
    <t xml:space="preserve">KLM|- Lane 1 - Kamis|11:15</t>
  </si>
  <si>
    <t xml:space="preserve"> - Lane 1 - Kamis - 12:00</t>
  </si>
  <si>
    <t xml:space="preserve">KLM|- Lane 1 - Kamis|12:00</t>
  </si>
  <si>
    <t xml:space="preserve"> - Lane 1 - Kamis - 13:30</t>
  </si>
  <si>
    <t xml:space="preserve">KLM|- Lane 1 - Kamis|13:30</t>
  </si>
  <si>
    <t xml:space="preserve">Kids - Lane 1 - Kamis - 14:15</t>
  </si>
  <si>
    <t xml:space="preserve">KLM|- Lane 1 - Kamis|14:15</t>
  </si>
  <si>
    <t xml:space="preserve">Baby - Lane 1 - Kamis - 15:00</t>
  </si>
  <si>
    <t xml:space="preserve">KLM|- Lane 1 - Kamis|15:00</t>
  </si>
  <si>
    <t xml:space="preserve">Kids - Lane 1 - Kamis - 15:45</t>
  </si>
  <si>
    <t xml:space="preserve">DAFFA</t>
  </si>
  <si>
    <t xml:space="preserve">KLM|- Lane 1 - Kamis|15:45</t>
  </si>
  <si>
    <t xml:space="preserve">Kids - Lane 1 - Kamis - 16:30</t>
  </si>
  <si>
    <t xml:space="preserve">KLM|- Lane 1 - Kamis|16:30</t>
  </si>
  <si>
    <t xml:space="preserve"> - Lane 1 - Kamis - 17:15</t>
  </si>
  <si>
    <t xml:space="preserve">KLM|- Lane 1 - Kamis|17:15</t>
  </si>
  <si>
    <t xml:space="preserve">- Lane 1 - Jumat</t>
  </si>
  <si>
    <t xml:space="preserve"> - Lane 1 - Jumat - 08:15</t>
  </si>
  <si>
    <t xml:space="preserve">KLM|- Lane 1 - Jumat|08:15</t>
  </si>
  <si>
    <t xml:space="preserve">Baby - Lane 1 - Jumat - 09:00</t>
  </si>
  <si>
    <t xml:space="preserve">SURYA</t>
  </si>
  <si>
    <t xml:space="preserve">KLM|- Lane 1 - Jumat|09:00</t>
  </si>
  <si>
    <t xml:space="preserve"> - Lane 1 - Jumat - 09:45</t>
  </si>
  <si>
    <t xml:space="preserve">KLM|- Lane 1 - Jumat|09:45</t>
  </si>
  <si>
    <t xml:space="preserve"> - Lane 1 - Jumat - 10:30</t>
  </si>
  <si>
    <t xml:space="preserve">KLM|- Lane 1 - Jumat|10:30</t>
  </si>
  <si>
    <t xml:space="preserve"> - Lane 1 - Jumat - 11:15</t>
  </si>
  <si>
    <t xml:space="preserve">KLM|- Lane 1 - Jumat|11:15</t>
  </si>
  <si>
    <t xml:space="preserve"> - Lane 1 - Jumat - 12:00</t>
  </si>
  <si>
    <t xml:space="preserve">KLM|- Lane 1 - Jumat|12:00</t>
  </si>
  <si>
    <t xml:space="preserve"> - Lane 1 - Jumat - 13:30</t>
  </si>
  <si>
    <t xml:space="preserve">KLM|- Lane 1 - Jumat|13:30</t>
  </si>
  <si>
    <t xml:space="preserve">Kids - Lane 1 - Jumat - 14:15</t>
  </si>
  <si>
    <t xml:space="preserve">KLM|- Lane 1 - Jumat|14:15</t>
  </si>
  <si>
    <t xml:space="preserve">Little - Lane 1 - Jumat - 15:00</t>
  </si>
  <si>
    <t xml:space="preserve">DIAN</t>
  </si>
  <si>
    <t xml:space="preserve">KLM|- Lane 1 - Jumat|15:00</t>
  </si>
  <si>
    <t xml:space="preserve">Kids - Lane 1 - Jumat - 15:45</t>
  </si>
  <si>
    <t xml:space="preserve">KLM|- Lane 1 - Jumat|15:45</t>
  </si>
  <si>
    <t xml:space="preserve">Little - Lane 1 - Jumat - 16:30</t>
  </si>
  <si>
    <t xml:space="preserve">KLM|- Lane 1 - Jumat|16:30</t>
  </si>
  <si>
    <t xml:space="preserve">Baby - Lane 1 - Jumat - 17:15</t>
  </si>
  <si>
    <t xml:space="preserve">KLM|- Lane 1 - Jumat|17:15</t>
  </si>
  <si>
    <t xml:space="preserve">- Lane 1 - Sabtu</t>
  </si>
  <si>
    <t xml:space="preserve"> - Lane 1 - Sabtu - 08:15</t>
  </si>
  <si>
    <t xml:space="preserve">KLM|- Lane 1 - Sabtu|08:15</t>
  </si>
  <si>
    <t xml:space="preserve">Baby - Lane 1 - Sabtu - 09:00</t>
  </si>
  <si>
    <t xml:space="preserve">EKA</t>
  </si>
  <si>
    <t xml:space="preserve">KLM|- Lane 1 - Sabtu|09:00</t>
  </si>
  <si>
    <t xml:space="preserve">Baby - Lane 1 - Sabtu - 09:45</t>
  </si>
  <si>
    <t xml:space="preserve">KLM|- Lane 1 - Sabtu|09:45</t>
  </si>
  <si>
    <t xml:space="preserve">Baby - Lane 1 - Sabtu - 10:30</t>
  </si>
  <si>
    <t xml:space="preserve">KLM|- Lane 1 - Sabtu|10:30</t>
  </si>
  <si>
    <t xml:space="preserve">Little - Lane 1 - Sabtu - 11:15</t>
  </si>
  <si>
    <t xml:space="preserve">KLM|- Lane 1 - Sabtu|11:15</t>
  </si>
  <si>
    <t xml:space="preserve">Little - Lane 1 - Sabtu - 12:00</t>
  </si>
  <si>
    <t xml:space="preserve">KLM|- Lane 1 - Sabtu|12:00</t>
  </si>
  <si>
    <t xml:space="preserve">Baby - Lane 1 - Sabtu - 13:30</t>
  </si>
  <si>
    <t xml:space="preserve">KLM|- Lane 1 - Sabtu|13:30</t>
  </si>
  <si>
    <t xml:space="preserve">Kids - Lane 1 - Sabtu - 14:15</t>
  </si>
  <si>
    <t xml:space="preserve">KLM|- Lane 1 - Sabtu|14:15</t>
  </si>
  <si>
    <t xml:space="preserve">Baby - Lane 1 - Sabtu - 15:00</t>
  </si>
  <si>
    <t xml:space="preserve">KLM|- Lane 1 - Sabtu|15:00</t>
  </si>
  <si>
    <t xml:space="preserve">Little - Lane 1 - Sabtu - 15:45</t>
  </si>
  <si>
    <t xml:space="preserve">KLM|- Lane 1 - Sabtu|15:45</t>
  </si>
  <si>
    <t xml:space="preserve">Baby - Lane 1 - Sabtu - 16:30</t>
  </si>
  <si>
    <t xml:space="preserve">KLM|- Lane 1 - Sabtu|16:30</t>
  </si>
  <si>
    <t xml:space="preserve"> - Lane 1 - Sabtu - 17:15</t>
  </si>
  <si>
    <t xml:space="preserve">KLM|- Lane 1 - Sabtu|17:15</t>
  </si>
  <si>
    <t xml:space="preserve">- Lane 1 - Minggu</t>
  </si>
  <si>
    <t xml:space="preserve"> - Lane 1 - Minggu - 08:15</t>
  </si>
  <si>
    <t xml:space="preserve">KLM|- Lane 1 - Minggu|08:15</t>
  </si>
  <si>
    <t xml:space="preserve">Baby - Lane 1 - Minggu - 09:00</t>
  </si>
  <si>
    <t xml:space="preserve">KLM|- Lane 1 - Minggu|09:00</t>
  </si>
  <si>
    <t xml:space="preserve">Baby - Lane 1 - Minggu - 09:45</t>
  </si>
  <si>
    <t xml:space="preserve">KLM|- Lane 1 - Minggu|09:45</t>
  </si>
  <si>
    <t xml:space="preserve">Baby - Lane 1 - Minggu - 10:30</t>
  </si>
  <si>
    <t xml:space="preserve">KLM|- Lane 1 - Minggu|10:30</t>
  </si>
  <si>
    <t xml:space="preserve">Little - Lane 1 - Minggu - 11:15</t>
  </si>
  <si>
    <t xml:space="preserve">KLM|- Lane 1 - Minggu|11:15</t>
  </si>
  <si>
    <t xml:space="preserve"> - Lane 1 - Minggu - 12:00</t>
  </si>
  <si>
    <t xml:space="preserve">KLM|- Lane 1 - Minggu|12:00</t>
  </si>
  <si>
    <t xml:space="preserve">Baby - Lane 1 - Minggu - 13:30</t>
  </si>
  <si>
    <t xml:space="preserve">KLM|- Lane 1 - Minggu|13:30</t>
  </si>
  <si>
    <t xml:space="preserve">Kids - Lane 1 - Minggu - 14:15</t>
  </si>
  <si>
    <t xml:space="preserve">KLM|- Lane 1 - Minggu|14:15</t>
  </si>
  <si>
    <t xml:space="preserve">Baby - Lane 1 - Minggu - 15:00</t>
  </si>
  <si>
    <t xml:space="preserve">KLM|- Lane 1 - Minggu|15:00</t>
  </si>
  <si>
    <t xml:space="preserve">Kids - Lane 1 - Minggu - 15:45</t>
  </si>
  <si>
    <t xml:space="preserve">KLM|- Lane 1 - Minggu|15:45</t>
  </si>
  <si>
    <t xml:space="preserve">Little - Lane 1 - Minggu - 16:30</t>
  </si>
  <si>
    <t xml:space="preserve">KLM|- Lane 1 - Minggu|16:30</t>
  </si>
  <si>
    <t xml:space="preserve"> - Lane 1 - Minggu - 17:15</t>
  </si>
  <si>
    <t xml:space="preserve">KLM|- Lane 1 - Minggu|17:15</t>
  </si>
  <si>
    <t xml:space="preserve">Star</t>
  </si>
  <si>
    <t xml:space="preserve">7:30</t>
  </si>
  <si>
    <t xml:space="preserve">Star - Lane 1 - Senin - 07:30</t>
  </si>
  <si>
    <t xml:space="preserve">Sesi Star</t>
  </si>
  <si>
    <t xml:space="preserve">KLM|- Lane 1 - Senin|07:30</t>
  </si>
  <si>
    <t xml:space="preserve">Star - Lane 1 - Selasa - 07:30</t>
  </si>
  <si>
    <t xml:space="preserve">KLM|- Lane 1 - Selasa|07:30</t>
  </si>
  <si>
    <t xml:space="preserve">Star - Lane 1 - Rabu - 07:30</t>
  </si>
  <si>
    <t xml:space="preserve">KLM|- Lane 1 - Rabu|07:30</t>
  </si>
  <si>
    <t xml:space="preserve">Star - Lane 1 - Kamis - 07:30</t>
  </si>
  <si>
    <t xml:space="preserve">KLM|- Lane 1 - Kamis|07:30</t>
  </si>
  <si>
    <t xml:space="preserve">Star - Lane 1 - Jumat - 07:30</t>
  </si>
  <si>
    <t xml:space="preserve">KLM|- Lane 1 - Jumat|07:30</t>
  </si>
  <si>
    <t xml:space="preserve">Star - Lane 1 - Sabtu - 07:30</t>
  </si>
  <si>
    <t xml:space="preserve">KLM|- Lane 1 - Sabtu|07:30</t>
  </si>
  <si>
    <t xml:space="preserve">Star - Lane 1 - Minggu - 07:30</t>
  </si>
  <si>
    <t xml:space="preserve">KLM|- Lane 1 - Minggu|07:30</t>
  </si>
  <si>
    <t xml:space="preserve">Star - Lane 1 - Senin - 18:00</t>
  </si>
  <si>
    <t xml:space="preserve">KLM|- Lane 1 - Senin|18:00</t>
  </si>
  <si>
    <t xml:space="preserve">Star - Lane 1 - Selasa - 18:00</t>
  </si>
  <si>
    <t xml:space="preserve">KLM|- Lane 1 - Selasa|18:00</t>
  </si>
  <si>
    <t xml:space="preserve">Star - Lane 1 - Rabu - 18:00</t>
  </si>
  <si>
    <t xml:space="preserve">KLM|- Lane 1 - Rabu|18:00</t>
  </si>
  <si>
    <t xml:space="preserve">Star - Lane 1 - Kamis - 18:00</t>
  </si>
  <si>
    <t xml:space="preserve">KLM|- Lane 1 - Kamis|18:00</t>
  </si>
  <si>
    <t xml:space="preserve">Star - Lane 1 - Jumat - 18:00</t>
  </si>
  <si>
    <t xml:space="preserve">KLM|- Lane 1 - Jumat|18:00</t>
  </si>
  <si>
    <t xml:space="preserve">Star - Lane 1 - Sabtu - 18:00</t>
  </si>
  <si>
    <t xml:space="preserve">KLM|- Lane 1 - Sabtu|18:00</t>
  </si>
  <si>
    <t xml:space="preserve">Star - Lane 1 - Minggu - 18:00</t>
  </si>
  <si>
    <t xml:space="preserve">KLM|- Lane 1 - Minggu|18:00</t>
  </si>
  <si>
    <t xml:space="preserve">Tiny</t>
  </si>
  <si>
    <t xml:space="preserve">- Lane 2 - Senin</t>
  </si>
  <si>
    <t xml:space="preserve">Tiny - Lane 2 - Senin - 08:15</t>
  </si>
  <si>
    <t xml:space="preserve">KLM|- Lane 2 - Senin|08:15</t>
  </si>
  <si>
    <t xml:space="preserve">Tiny - Lane 2 - Senin - 09:00</t>
  </si>
  <si>
    <t xml:space="preserve">KLM|- Lane 2 - Senin|09:00</t>
  </si>
  <si>
    <t xml:space="preserve">Tiny - Lane 2 - Senin - 09:45</t>
  </si>
  <si>
    <t xml:space="preserve">KLM|- Lane 2 - Senin|09:45</t>
  </si>
  <si>
    <t xml:space="preserve">Tiny - Lane 2 - Senin - 10:30</t>
  </si>
  <si>
    <t xml:space="preserve">KLM|- Lane 2 - Senin|10:30</t>
  </si>
  <si>
    <t xml:space="preserve">Tiny - Lane 2 - Senin - 11:15</t>
  </si>
  <si>
    <t xml:space="preserve">KLM|- Lane 2 - Senin|11:15</t>
  </si>
  <si>
    <t xml:space="preserve">Tiny - Lane 2 - Senin - 12:00</t>
  </si>
  <si>
    <t xml:space="preserve">KLM|- Lane 2 - Senin|12:00</t>
  </si>
  <si>
    <t xml:space="preserve">Tiny - Lane 2 - Senin - 13:30</t>
  </si>
  <si>
    <t xml:space="preserve">KLM|- Lane 2 - Senin|13:30</t>
  </si>
  <si>
    <t xml:space="preserve">Tiny - Lane 2 - Senin - 14:15</t>
  </si>
  <si>
    <t xml:space="preserve">KLM|- Lane 2 - Senin|14:15</t>
  </si>
  <si>
    <t xml:space="preserve">Tiny - Lane 2 - Senin - 15:00</t>
  </si>
  <si>
    <t xml:space="preserve">KLM|- Lane 2 - Senin|15:00</t>
  </si>
  <si>
    <t xml:space="preserve">Tiny - Lane 2 - Senin - 15:45</t>
  </si>
  <si>
    <t xml:space="preserve">KLM|- Lane 2 - Senin|15:45</t>
  </si>
  <si>
    <t xml:space="preserve">Tiny - Lane 2 - Senin - 16:30</t>
  </si>
  <si>
    <t xml:space="preserve">KLM|- Lane 2 - Senin|16:30</t>
  </si>
  <si>
    <t xml:space="preserve">Tiny - Lane 2 - Senin - 17:15</t>
  </si>
  <si>
    <t xml:space="preserve">KLM|- Lane 2 - Senin|17:15</t>
  </si>
  <si>
    <t xml:space="preserve">- Lane 2 - Selasa</t>
  </si>
  <si>
    <t xml:space="preserve">Tiny - Lane 2 - Selasa - 08:15</t>
  </si>
  <si>
    <t xml:space="preserve">KLM|- Lane 2 - Selasa|08:15</t>
  </si>
  <si>
    <t xml:space="preserve">Tiny - Lane 2 - Selasa - 09:00</t>
  </si>
  <si>
    <t xml:space="preserve">KLM|- Lane 2 - Selasa|09:00</t>
  </si>
  <si>
    <t xml:space="preserve">Tiny - Lane 2 - Selasa - 09:45</t>
  </si>
  <si>
    <t xml:space="preserve">KLM|- Lane 2 - Selasa|09:45</t>
  </si>
  <si>
    <t xml:space="preserve">Tiny - Lane 2 - Selasa - 10:30</t>
  </si>
  <si>
    <t xml:space="preserve">KLM|- Lane 2 - Selasa|10:30</t>
  </si>
  <si>
    <t xml:space="preserve">Tiny - Lane 2 - Selasa - 11:15</t>
  </si>
  <si>
    <t xml:space="preserve">KLM|- Lane 2 - Selasa|11:15</t>
  </si>
  <si>
    <t xml:space="preserve">Tiny - Lane 2 - Selasa - 12:00</t>
  </si>
  <si>
    <t xml:space="preserve">KLM|- Lane 2 - Selasa|12:00</t>
  </si>
  <si>
    <t xml:space="preserve">Tiny - Lane 2 - Selasa - 13:30</t>
  </si>
  <si>
    <t xml:space="preserve">KLM|- Lane 2 - Selasa|13:30</t>
  </si>
  <si>
    <t xml:space="preserve">Tiny - Lane 2 - Selasa - 14:15</t>
  </si>
  <si>
    <t xml:space="preserve">KLM|- Lane 2 - Selasa|14:15</t>
  </si>
  <si>
    <t xml:space="preserve">Tiny - Lane 2 - Selasa - 15:00</t>
  </si>
  <si>
    <t xml:space="preserve">KLM|- Lane 2 - Selasa|15:00</t>
  </si>
  <si>
    <t xml:space="preserve">Kids - Lane 2 - Selasa - 15:45</t>
  </si>
  <si>
    <t xml:space="preserve">KLM|- Lane 2 - Selasa|15:45</t>
  </si>
  <si>
    <t xml:space="preserve">Tiny - Lane 2 - Selasa - 16:30</t>
  </si>
  <si>
    <t xml:space="preserve">KLM|- Lane 2 - Selasa|16:30</t>
  </si>
  <si>
    <t xml:space="preserve">Tiny - Lane 2 - Selasa - 17:15</t>
  </si>
  <si>
    <t xml:space="preserve">KLM|- Lane 2 - Selasa|17:15</t>
  </si>
  <si>
    <t xml:space="preserve">- Lane 2 - Rabu</t>
  </si>
  <si>
    <t xml:space="preserve">Tiny - Lane 2 - Rabu - 08:15</t>
  </si>
  <si>
    <t xml:space="preserve">KLM|- Lane 2 - Rabu|08:15</t>
  </si>
  <si>
    <t xml:space="preserve">Tiny - Lane 2 - Rabu - 09:00</t>
  </si>
  <si>
    <t xml:space="preserve">KLM|- Lane 2 - Rabu|09:00</t>
  </si>
  <si>
    <t xml:space="preserve">Tiny - Lane 2 - Rabu - 09:45</t>
  </si>
  <si>
    <t xml:space="preserve">KLM|- Lane 2 - Rabu|09:45</t>
  </si>
  <si>
    <t xml:space="preserve">Tiny - Lane 2 - Rabu - 10:30</t>
  </si>
  <si>
    <t xml:space="preserve">KLM|- Lane 2 - Rabu|10:30</t>
  </si>
  <si>
    <t xml:space="preserve">Tiny - Lane 2 - Rabu - 11:15</t>
  </si>
  <si>
    <t xml:space="preserve">KLM|- Lane 2 - Rabu|11:15</t>
  </si>
  <si>
    <t xml:space="preserve">Tiny - Lane 2 - Rabu - 12:00</t>
  </si>
  <si>
    <t xml:space="preserve">KLM|- Lane 2 - Rabu|12:00</t>
  </si>
  <si>
    <t xml:space="preserve">Tiny - Lane 2 - Rabu - 13:30</t>
  </si>
  <si>
    <t xml:space="preserve">KLM|- Lane 2 - Rabu|13:30</t>
  </si>
  <si>
    <t xml:space="preserve">Tiny - Lane 2 - Rabu - 14:15</t>
  </si>
  <si>
    <t xml:space="preserve">KLM|- Lane 2 - Rabu|14:15</t>
  </si>
  <si>
    <t xml:space="preserve">Tiny - Lane 2 - Rabu - 15:00</t>
  </si>
  <si>
    <t xml:space="preserve">KLM|- Lane 2 - Rabu|15:00</t>
  </si>
  <si>
    <t xml:space="preserve">Tiny - Lane 2 - Rabu - 15:45</t>
  </si>
  <si>
    <t xml:space="preserve">KLM|- Lane 2 - Rabu|15:45</t>
  </si>
  <si>
    <t xml:space="preserve">Tiny - Lane 2 - Rabu - 16:30</t>
  </si>
  <si>
    <t xml:space="preserve">KLM|- Lane 2 - Rabu|16:30</t>
  </si>
  <si>
    <t xml:space="preserve">Tiny - Lane 2 - Rabu - 17:15</t>
  </si>
  <si>
    <t xml:space="preserve">KLM|- Lane 2 - Rabu|17:15</t>
  </si>
  <si>
    <t xml:space="preserve">- Lane 2 - Kamis</t>
  </si>
  <si>
    <t xml:space="preserve">Tiny - Lane 2 - Kamis - 08:15</t>
  </si>
  <si>
    <t xml:space="preserve">KLM|- Lane 2 - Kamis|08:15</t>
  </si>
  <si>
    <t xml:space="preserve">Tiny - Lane 2 - Kamis - 09:00</t>
  </si>
  <si>
    <t xml:space="preserve">KLM|- Lane 2 - Kamis|09:00</t>
  </si>
  <si>
    <t xml:space="preserve">Tiny - Lane 2 - Kamis - 09:45</t>
  </si>
  <si>
    <t xml:space="preserve">KLM|- Lane 2 - Kamis|09:45</t>
  </si>
  <si>
    <t xml:space="preserve">Tiny - Lane 2 - Kamis - 10:30</t>
  </si>
  <si>
    <t xml:space="preserve">KLM|- Lane 2 - Kamis|10:30</t>
  </si>
  <si>
    <t xml:space="preserve">Tiny - Lane 2 - Kamis - 11:15</t>
  </si>
  <si>
    <t xml:space="preserve">KLM|- Lane 2 - Kamis|11:15</t>
  </si>
  <si>
    <t xml:space="preserve">Tiny - Lane 2 - Kamis - 12:00</t>
  </si>
  <si>
    <t xml:space="preserve">KLM|- Lane 2 - Kamis|12:00</t>
  </si>
  <si>
    <t xml:space="preserve">Tiny - Lane 2 - Kamis - 13:30</t>
  </si>
  <si>
    <t xml:space="preserve">KLM|- Lane 2 - Kamis|13:30</t>
  </si>
  <si>
    <t xml:space="preserve">Tiny - Lane 2 - Kamis - 14:15</t>
  </si>
  <si>
    <t xml:space="preserve">KLM|- Lane 2 - Kamis|14:15</t>
  </si>
  <si>
    <t xml:space="preserve">Tiny - Lane 2 - Kamis - 15:00</t>
  </si>
  <si>
    <t xml:space="preserve">KLM|- Lane 2 - Kamis|15:00</t>
  </si>
  <si>
    <t xml:space="preserve">Tiny - Lane 2 - Kamis - 15:45</t>
  </si>
  <si>
    <t xml:space="preserve">KLM|- Lane 2 - Kamis|15:45</t>
  </si>
  <si>
    <t xml:space="preserve">Tiny - Lane 2 - Kamis - 16:30</t>
  </si>
  <si>
    <t xml:space="preserve">KLM|- Lane 2 - Kamis|16:30</t>
  </si>
  <si>
    <t xml:space="preserve">Tiny - Lane 2 - Kamis - 17:15</t>
  </si>
  <si>
    <t xml:space="preserve">KLM|- Lane 2 - Kamis|17:15</t>
  </si>
  <si>
    <t xml:space="preserve">- Lane 2 - Jumat</t>
  </si>
  <si>
    <t xml:space="preserve">Tiny - Lane 2 - Jumat - 08:15</t>
  </si>
  <si>
    <t xml:space="preserve">KLM|- Lane 2 - Jumat|08:15</t>
  </si>
  <si>
    <t xml:space="preserve">Tiny - Lane 2 - Jumat - 09:00</t>
  </si>
  <si>
    <t xml:space="preserve">KLM|- Lane 2 - Jumat|09:00</t>
  </si>
  <si>
    <t xml:space="preserve">Tiny - Lane 2 - Jumat - 09:45</t>
  </si>
  <si>
    <t xml:space="preserve">KLM|- Lane 2 - Jumat|09:45</t>
  </si>
  <si>
    <t xml:space="preserve">Tiny - Lane 2 - Jumat - 10:30</t>
  </si>
  <si>
    <t xml:space="preserve">KLM|- Lane 2 - Jumat|10:30</t>
  </si>
  <si>
    <t xml:space="preserve">Tiny - Lane 2 - Jumat - 11:15</t>
  </si>
  <si>
    <t xml:space="preserve">KLM|- Lane 2 - Jumat|11:15</t>
  </si>
  <si>
    <t xml:space="preserve">Tiny - Lane 2 - Jumat - 12:00</t>
  </si>
  <si>
    <t xml:space="preserve">KLM|- Lane 2 - Jumat|12:00</t>
  </si>
  <si>
    <t xml:space="preserve">Tiny - Lane 2 - Jumat - 13:30</t>
  </si>
  <si>
    <t xml:space="preserve">KLM|- Lane 2 - Jumat|13:30</t>
  </si>
  <si>
    <t xml:space="preserve">Tiny - Lane 2 - Jumat - 14:15</t>
  </si>
  <si>
    <t xml:space="preserve">KLM|- Lane 2 - Jumat|14:15</t>
  </si>
  <si>
    <t xml:space="preserve">Tiny - Lane 2 - Jumat - 15:00</t>
  </si>
  <si>
    <t xml:space="preserve">KLM|- Lane 2 - Jumat|15:00</t>
  </si>
  <si>
    <t xml:space="preserve">Kids - Lane 2 - Jumat - 15:45</t>
  </si>
  <si>
    <t xml:space="preserve">KLM|- Lane 2 - Jumat|15:45</t>
  </si>
  <si>
    <t xml:space="preserve">Tiny - Lane 2 - Jumat - 16:30</t>
  </si>
  <si>
    <t xml:space="preserve">KLM|- Lane 2 - Jumat|16:30</t>
  </si>
  <si>
    <t xml:space="preserve">Tiny - Lane 2 - Jumat - 17:15</t>
  </si>
  <si>
    <t xml:space="preserve">KLM|- Lane 2 - Jumat|17:15</t>
  </si>
  <si>
    <t xml:space="preserve">- Lane 2 - Sabtu</t>
  </si>
  <si>
    <t xml:space="preserve">Tiny - Lane 2 - Sabtu - 08:15</t>
  </si>
  <si>
    <t xml:space="preserve">KLM|- Lane 2 - Sabtu|08:15</t>
  </si>
  <si>
    <t xml:space="preserve">Tiny - Lane 2 - Sabtu - 09:00</t>
  </si>
  <si>
    <t xml:space="preserve">KLM|- Lane 2 - Sabtu|09:00</t>
  </si>
  <si>
    <t xml:space="preserve">Tiny - Lane 2 - Sabtu - 09:45</t>
  </si>
  <si>
    <t xml:space="preserve">KLM|- Lane 2 - Sabtu|09:45</t>
  </si>
  <si>
    <t xml:space="preserve">Tiny - Lane 2 - Sabtu - 10:30</t>
  </si>
  <si>
    <t xml:space="preserve">KLM|- Lane 2 - Sabtu|10:30</t>
  </si>
  <si>
    <t xml:space="preserve">Tiny - Lane 2 - Sabtu - 11:15</t>
  </si>
  <si>
    <t xml:space="preserve">KLM|- Lane 2 - Sabtu|11:15</t>
  </si>
  <si>
    <t xml:space="preserve">KIDS</t>
  </si>
  <si>
    <t xml:space="preserve">KIDS - Lane 2 - Sabtu - 12:00</t>
  </si>
  <si>
    <t xml:space="preserve">KLM|- Lane 2 - Sabtu|12:00</t>
  </si>
  <si>
    <t xml:space="preserve">Tiny - Lane 2 - Sabtu - 13:30</t>
  </si>
  <si>
    <t xml:space="preserve">KLM|- Lane 2 - Sabtu|13:30</t>
  </si>
  <si>
    <t xml:space="preserve">Tiny - Lane 2 - Sabtu - 14:15</t>
  </si>
  <si>
    <t xml:space="preserve">KLM|- Lane 2 - Sabtu|14:15</t>
  </si>
  <si>
    <t xml:space="preserve">Tiny - Lane 2 - Sabtu - 15:00</t>
  </si>
  <si>
    <t xml:space="preserve">KLM|- Lane 2 - Sabtu|15:00</t>
  </si>
  <si>
    <t xml:space="preserve">Kids - Lane 2 - Sabtu - 15:45</t>
  </si>
  <si>
    <t xml:space="preserve">KLM|- Lane 2 - Sabtu|15:45</t>
  </si>
  <si>
    <t xml:space="preserve">Tiny - Lane 2 - Sabtu - 16:30</t>
  </si>
  <si>
    <t xml:space="preserve">KLM|- Lane 2 - Sabtu|16:30</t>
  </si>
  <si>
    <t xml:space="preserve">Tiny - Lane 2 - Sabtu - 17:15</t>
  </si>
  <si>
    <t xml:space="preserve">KLM|- Lane 2 - Sabtu|17:15</t>
  </si>
  <si>
    <t xml:space="preserve">- Lane 2 - Minggu</t>
  </si>
  <si>
    <t xml:space="preserve">Tiny - Lane 2 - Minggu - 08:15</t>
  </si>
  <si>
    <t xml:space="preserve">KLM|- Lane 2 - Minggu|08:15</t>
  </si>
  <si>
    <t xml:space="preserve">Tiny - Lane 2 - Minggu - 09:00</t>
  </si>
  <si>
    <t xml:space="preserve">KLM|- Lane 2 - Minggu|09:00</t>
  </si>
  <si>
    <t xml:space="preserve">Tiny - Lane 2 - Minggu - 09:45</t>
  </si>
  <si>
    <t xml:space="preserve">KLM|- Lane 2 - Minggu|09:45</t>
  </si>
  <si>
    <t xml:space="preserve">Tiny - Lane 2 - Minggu - 10:30</t>
  </si>
  <si>
    <t xml:space="preserve">KLM|- Lane 2 - Minggu|10:30</t>
  </si>
  <si>
    <t xml:space="preserve">Tiny - Lane 2 - Minggu - 11:15</t>
  </si>
  <si>
    <t xml:space="preserve">KLM|- Lane 2 - Minggu|11:15</t>
  </si>
  <si>
    <t xml:space="preserve">Tiny - Lane 2 - Minggu - 12:00</t>
  </si>
  <si>
    <t xml:space="preserve">KLM|- Lane 2 - Minggu|12:00</t>
  </si>
  <si>
    <t xml:space="preserve">Tiny - Lane 2 - Minggu - 13:30</t>
  </si>
  <si>
    <t xml:space="preserve">KLM|- Lane 2 - Minggu|13:30</t>
  </si>
  <si>
    <t xml:space="preserve">Kids - Lane 2 - Minggu - 14:15</t>
  </si>
  <si>
    <t xml:space="preserve">KLM|- Lane 2 - Minggu|14:15</t>
  </si>
  <si>
    <t xml:space="preserve">Tiny - Lane 2 - Minggu - 15:00</t>
  </si>
  <si>
    <t xml:space="preserve">KLM|- Lane 2 - Minggu|15:00</t>
  </si>
  <si>
    <t xml:space="preserve">Tiny - Lane 2 - Minggu - 15:45</t>
  </si>
  <si>
    <t xml:space="preserve">KLM|- Lane 2 - Minggu|15:45</t>
  </si>
  <si>
    <t xml:space="preserve">Tiny - Lane 2 - Minggu - 16:30</t>
  </si>
  <si>
    <t xml:space="preserve">KLM|- Lane 2 - Minggu|16:30</t>
  </si>
  <si>
    <t xml:space="preserve">Tiny - Lane 2 - Minggu - 17:15</t>
  </si>
  <si>
    <t xml:space="preserve">KLM|- Lane 2 - Minggu|17:15</t>
  </si>
  <si>
    <t xml:space="preserve">- Lane 3 - Senin</t>
  </si>
  <si>
    <t xml:space="preserve">8:00</t>
  </si>
  <si>
    <t xml:space="preserve">Little - Lane 3 - Senin - 08:00</t>
  </si>
  <si>
    <t xml:space="preserve">KLM|- Lane 3 - Senin|08:00</t>
  </si>
  <si>
    <t xml:space="preserve">8:45</t>
  </si>
  <si>
    <t xml:space="preserve">Little - Lane 3 - Senin - 08:45</t>
  </si>
  <si>
    <t xml:space="preserve">KLM|- Lane 3 - Senin|08:45</t>
  </si>
  <si>
    <t xml:space="preserve">9:30</t>
  </si>
  <si>
    <t xml:space="preserve">Little - Lane 3 - Senin - 09:30</t>
  </si>
  <si>
    <t xml:space="preserve">KLM|- Lane 3 - Senin|09:30</t>
  </si>
  <si>
    <t xml:space="preserve">Little - Lane 3 - Senin - 10:15</t>
  </si>
  <si>
    <t xml:space="preserve">KLM|- Lane 3 - Senin|10:15</t>
  </si>
  <si>
    <t xml:space="preserve">Little - Lane 3 - Senin - 11:00</t>
  </si>
  <si>
    <t xml:space="preserve">KLM|- Lane 3 - Senin|11:00</t>
  </si>
  <si>
    <t xml:space="preserve">Little - Lane 3 - Senin - 11:45</t>
  </si>
  <si>
    <t xml:space="preserve">KLM|- Lane 3 - Senin|11:45</t>
  </si>
  <si>
    <t xml:space="preserve">Little - Lane 3 - Senin - 13:15</t>
  </si>
  <si>
    <t xml:space="preserve">KLM|- Lane 3 - Senin|13:15</t>
  </si>
  <si>
    <t xml:space="preserve">Little - Lane 3 - Senin - 14:00</t>
  </si>
  <si>
    <t xml:space="preserve">KLM|- Lane 3 - Senin|14:00</t>
  </si>
  <si>
    <t xml:space="preserve">Little - Lane 3 - Senin - 14:45</t>
  </si>
  <si>
    <t xml:space="preserve">KLM|- Lane 3 - Senin|14:45</t>
  </si>
  <si>
    <t xml:space="preserve">Little - Lane 3 - Senin - 15:30</t>
  </si>
  <si>
    <t xml:space="preserve">KLM|- Lane 3 - Senin|15:30</t>
  </si>
  <si>
    <t xml:space="preserve">Little - Lane 3 - Senin - 16:15</t>
  </si>
  <si>
    <t xml:space="preserve">KLM|- Lane 3 - Senin|16:15</t>
  </si>
  <si>
    <t xml:space="preserve">Little - Lane 3 - Senin - 17:00</t>
  </si>
  <si>
    <t xml:space="preserve">KLM|- Lane 3 - Senin|17:00</t>
  </si>
  <si>
    <t xml:space="preserve">- Lane 3 - Selasa</t>
  </si>
  <si>
    <t xml:space="preserve">Little - Lane 3 - Selasa - 08:00</t>
  </si>
  <si>
    <t xml:space="preserve">KLM|- Lane 3 - Selasa|08:00</t>
  </si>
  <si>
    <t xml:space="preserve">Little - Lane 3 - Selasa - 08:45</t>
  </si>
  <si>
    <t xml:space="preserve">KLM|- Lane 3 - Selasa|08:45</t>
  </si>
  <si>
    <t xml:space="preserve">Little - Lane 3 - Selasa - 09:30</t>
  </si>
  <si>
    <t xml:space="preserve">KLM|- Lane 3 - Selasa|09:30</t>
  </si>
  <si>
    <t xml:space="preserve">Little - Lane 3 - Selasa - 10:15</t>
  </si>
  <si>
    <t xml:space="preserve">KLM|- Lane 3 - Selasa|10:15</t>
  </si>
  <si>
    <t xml:space="preserve">Little - Lane 3 - Selasa - 11:00</t>
  </si>
  <si>
    <t xml:space="preserve">KLM|- Lane 3 - Selasa|11:00</t>
  </si>
  <si>
    <t xml:space="preserve">Little - Lane 3 - Selasa - 11:45</t>
  </si>
  <si>
    <t xml:space="preserve">KLM|- Lane 3 - Selasa|11:45</t>
  </si>
  <si>
    <t xml:space="preserve">Little - Lane 3 - Selasa - 13:15</t>
  </si>
  <si>
    <t xml:space="preserve">KLM|- Lane 3 - Selasa|13:15</t>
  </si>
  <si>
    <t xml:space="preserve">Little - Lane 3 - Selasa - 14:00</t>
  </si>
  <si>
    <t xml:space="preserve">KLM|- Lane 3 - Selasa|14:00</t>
  </si>
  <si>
    <t xml:space="preserve">Little - Lane 3 - Selasa - 14:45</t>
  </si>
  <si>
    <t xml:space="preserve">KLM|- Lane 3 - Selasa|14:45</t>
  </si>
  <si>
    <t xml:space="preserve">Little - Lane 3 - Selasa - 15:30</t>
  </si>
  <si>
    <t xml:space="preserve">KLM|- Lane 3 - Selasa|15:30</t>
  </si>
  <si>
    <t xml:space="preserve">Little - Lane 3 - Selasa - 16:15</t>
  </si>
  <si>
    <t xml:space="preserve">KLM|- Lane 3 - Selasa|16:15</t>
  </si>
  <si>
    <t xml:space="preserve">Little - Lane 3 - Selasa - 17:00</t>
  </si>
  <si>
    <t xml:space="preserve">KLM|- Lane 3 - Selasa|17:00</t>
  </si>
  <si>
    <t xml:space="preserve">- Lane 3 - Rabu</t>
  </si>
  <si>
    <t xml:space="preserve">Little - Lane 3 - Rabu - 08:00</t>
  </si>
  <si>
    <t xml:space="preserve">KLM|- Lane 3 - Rabu|08:00</t>
  </si>
  <si>
    <t xml:space="preserve">Little - Lane 3 - Rabu - 08:45</t>
  </si>
  <si>
    <t xml:space="preserve">KLM|- Lane 3 - Rabu|08:45</t>
  </si>
  <si>
    <t xml:space="preserve">Little - Lane 3 - Rabu - 09:30</t>
  </si>
  <si>
    <t xml:space="preserve">KLM|- Lane 3 - Rabu|09:30</t>
  </si>
  <si>
    <t xml:space="preserve">Little - Lane 3 - Rabu - 10:15</t>
  </si>
  <si>
    <t xml:space="preserve">KLM|- Lane 3 - Rabu|10:15</t>
  </si>
  <si>
    <t xml:space="preserve">Little - Lane 3 - Rabu - 11:00</t>
  </si>
  <si>
    <t xml:space="preserve">KLM|- Lane 3 - Rabu|11:00</t>
  </si>
  <si>
    <t xml:space="preserve">Little - Lane 3 - Rabu - 11:45</t>
  </si>
  <si>
    <t xml:space="preserve">KLM|- Lane 3 - Rabu|11:45</t>
  </si>
  <si>
    <t xml:space="preserve">Little - Lane 3 - Rabu - 13:15</t>
  </si>
  <si>
    <t xml:space="preserve">KLM|- Lane 3 - Rabu|13:15</t>
  </si>
  <si>
    <t xml:space="preserve">Little - Lane 3 - Rabu - 14:00</t>
  </si>
  <si>
    <t xml:space="preserve">KLM|- Lane 3 - Rabu|14:00</t>
  </si>
  <si>
    <t xml:space="preserve">Little - Lane 3 - Rabu - 14:45</t>
  </si>
  <si>
    <t xml:space="preserve">KLM|- Lane 3 - Rabu|14:45</t>
  </si>
  <si>
    <t xml:space="preserve">Little - Lane 3 - Rabu - 15:30</t>
  </si>
  <si>
    <t xml:space="preserve">KLM|- Lane 3 - Rabu|15:30</t>
  </si>
  <si>
    <t xml:space="preserve">Little - Lane 3 - Rabu - 16:15</t>
  </si>
  <si>
    <t xml:space="preserve">KLM|- Lane 3 - Rabu|16:15</t>
  </si>
  <si>
    <t xml:space="preserve">Little - Lane 3 - Rabu - 17:00</t>
  </si>
  <si>
    <t xml:space="preserve">KLM|- Lane 3 - Rabu|17:00</t>
  </si>
  <si>
    <t xml:space="preserve">- Lane 3 - Kamis</t>
  </si>
  <si>
    <t xml:space="preserve">Little - Lane 3 - Kamis - 08:00</t>
  </si>
  <si>
    <t xml:space="preserve">KLM|- Lane 3 - Kamis|08:00</t>
  </si>
  <si>
    <t xml:space="preserve">Little - Lane 3 - Kamis - 08:45</t>
  </si>
  <si>
    <t xml:space="preserve">KLM|- Lane 3 - Kamis|08:45</t>
  </si>
  <si>
    <t xml:space="preserve">Little - Lane 3 - Kamis - 09:30</t>
  </si>
  <si>
    <t xml:space="preserve">KLM|- Lane 3 - Kamis|09:30</t>
  </si>
  <si>
    <t xml:space="preserve">Little - Lane 3 - Kamis - 10:15</t>
  </si>
  <si>
    <t xml:space="preserve">KLM|- Lane 3 - Kamis|10:15</t>
  </si>
  <si>
    <t xml:space="preserve">Little - Lane 3 - Kamis - 11:00</t>
  </si>
  <si>
    <t xml:space="preserve">KLM|- Lane 3 - Kamis|11:00</t>
  </si>
  <si>
    <t xml:space="preserve">Little - Lane 3 - Kamis - 11:45</t>
  </si>
  <si>
    <t xml:space="preserve">KLM|- Lane 3 - Kamis|11:45</t>
  </si>
  <si>
    <t xml:space="preserve">Little - Lane 3 - Kamis - 13:15</t>
  </si>
  <si>
    <t xml:space="preserve">KLM|- Lane 3 - Kamis|13:15</t>
  </si>
  <si>
    <t xml:space="preserve">Little - Lane 3 - Kamis - 14:00</t>
  </si>
  <si>
    <t xml:space="preserve">KLM|- Lane 3 - Kamis|14:00</t>
  </si>
  <si>
    <t xml:space="preserve">Little - Lane 3 - Kamis - 14:45</t>
  </si>
  <si>
    <t xml:space="preserve">KLM|- Lane 3 - Kamis|14:45</t>
  </si>
  <si>
    <t xml:space="preserve">Little - Lane 3 - Kamis - 15:30</t>
  </si>
  <si>
    <t xml:space="preserve">KLM|- Lane 3 - Kamis|15:30</t>
  </si>
  <si>
    <t xml:space="preserve">Little - Lane 3 - Kamis - 16:15</t>
  </si>
  <si>
    <t xml:space="preserve">KLM|- Lane 3 - Kamis|16:15</t>
  </si>
  <si>
    <t xml:space="preserve">Little - Lane 3 - Kamis - 17:00</t>
  </si>
  <si>
    <t xml:space="preserve">KLM|- Lane 3 - Kamis|17:00</t>
  </si>
  <si>
    <t xml:space="preserve">- Lane 3 - Jumat</t>
  </si>
  <si>
    <t xml:space="preserve">Little - Lane 3 - Jumat - 08:00</t>
  </si>
  <si>
    <t xml:space="preserve">KLM|- Lane 3 - Jumat|08:00</t>
  </si>
  <si>
    <t xml:space="preserve">Little - Lane 3 - Jumat - 08:45</t>
  </si>
  <si>
    <t xml:space="preserve">KLM|- Lane 3 - Jumat|08:45</t>
  </si>
  <si>
    <t xml:space="preserve">Little - Lane 3 - Jumat - 09:30</t>
  </si>
  <si>
    <t xml:space="preserve">KLM|- Lane 3 - Jumat|09:30</t>
  </si>
  <si>
    <t xml:space="preserve">Little - Lane 3 - Jumat - 10:15</t>
  </si>
  <si>
    <t xml:space="preserve">KLM|- Lane 3 - Jumat|10:15</t>
  </si>
  <si>
    <t xml:space="preserve">Little - Lane 3 - Jumat - 11:00</t>
  </si>
  <si>
    <t xml:space="preserve">KLM|- Lane 3 - Jumat|11:00</t>
  </si>
  <si>
    <t xml:space="preserve">Little - Lane 3 - Jumat - 11:45</t>
  </si>
  <si>
    <t xml:space="preserve">KLM|- Lane 3 - Jumat|11:45</t>
  </si>
  <si>
    <t xml:space="preserve">Little - Lane 3 - Jumat - 13:15</t>
  </si>
  <si>
    <t xml:space="preserve">KLM|- Lane 3 - Jumat|13:15</t>
  </si>
  <si>
    <t xml:space="preserve">Little - Lane 3 - Jumat - 14:00</t>
  </si>
  <si>
    <t xml:space="preserve">KLM|- Lane 3 - Jumat|14:00</t>
  </si>
  <si>
    <t xml:space="preserve">Little - Lane 3 - Jumat - 14:45</t>
  </si>
  <si>
    <t xml:space="preserve">KLM|- Lane 3 - Jumat|14:45</t>
  </si>
  <si>
    <t xml:space="preserve">Little - Lane 3 - Jumat - 15:30</t>
  </si>
  <si>
    <t xml:space="preserve">KLM|- Lane 3 - Jumat|15:30</t>
  </si>
  <si>
    <t xml:space="preserve">Little - Lane 3 - Jumat - 16:15</t>
  </si>
  <si>
    <t xml:space="preserve">KLM|- Lane 3 - Jumat|16:15</t>
  </si>
  <si>
    <t xml:space="preserve">Little - Lane 3 - Jumat - 17:00</t>
  </si>
  <si>
    <t xml:space="preserve">KLM|- Lane 3 - Jumat|17:00</t>
  </si>
  <si>
    <t xml:space="preserve">- Lane 3 - Sabtu</t>
  </si>
  <si>
    <t xml:space="preserve">Little - Lane 3 - Sabtu - 08:00</t>
  </si>
  <si>
    <t xml:space="preserve">KLM|- Lane 3 - Sabtu|08:00</t>
  </si>
  <si>
    <t xml:space="preserve">Little - Lane 3 - Sabtu - 08:45</t>
  </si>
  <si>
    <t xml:space="preserve">KLM|- Lane 3 - Sabtu|08:45</t>
  </si>
  <si>
    <t xml:space="preserve">Little - Lane 3 - Sabtu - 09:30</t>
  </si>
  <si>
    <t xml:space="preserve">KLM|- Lane 3 - Sabtu|09:30</t>
  </si>
  <si>
    <t xml:space="preserve">Little - Lane 3 - Sabtu - 10:15</t>
  </si>
  <si>
    <t xml:space="preserve">KLM|- Lane 3 - Sabtu|10:15</t>
  </si>
  <si>
    <t xml:space="preserve">Little - Lane 3 - Sabtu - 11:00</t>
  </si>
  <si>
    <t xml:space="preserve">KLM|- Lane 3 - Sabtu|11:00</t>
  </si>
  <si>
    <t xml:space="preserve">Little - Lane 3 - Sabtu - 11:45</t>
  </si>
  <si>
    <t xml:space="preserve">KLM|- Lane 3 - Sabtu|11:45</t>
  </si>
  <si>
    <t xml:space="preserve">Little - Lane 3 - Sabtu - 13:15</t>
  </si>
  <si>
    <t xml:space="preserve">KLM|- Lane 3 - Sabtu|13:15</t>
  </si>
  <si>
    <t xml:space="preserve">Little - Lane 3 - Sabtu - 14:00</t>
  </si>
  <si>
    <t xml:space="preserve">KLM|- Lane 3 - Sabtu|14:00</t>
  </si>
  <si>
    <t xml:space="preserve">Little - Lane 3 - Sabtu - 14:45</t>
  </si>
  <si>
    <t xml:space="preserve">KLM|- Lane 3 - Sabtu|14:45</t>
  </si>
  <si>
    <t xml:space="preserve">Little - Lane 3 - Sabtu - 15:30</t>
  </si>
  <si>
    <t xml:space="preserve">KLM|- Lane 3 - Sabtu|15:30</t>
  </si>
  <si>
    <t xml:space="preserve">Little - Lane 3 - Sabtu - 16:15</t>
  </si>
  <si>
    <t xml:space="preserve">KLM|- Lane 3 - Sabtu|16:15</t>
  </si>
  <si>
    <t xml:space="preserve">Little - Lane 3 - Sabtu - 17:00</t>
  </si>
  <si>
    <t xml:space="preserve">KLM|- Lane 3 - Sabtu|17:00</t>
  </si>
  <si>
    <t xml:space="preserve">- Lane 3 - Minggu</t>
  </si>
  <si>
    <t xml:space="preserve">Little - Lane 3 - Minggu - 08:00</t>
  </si>
  <si>
    <t xml:space="preserve">KLM|- Lane 3 - Minggu|08:00</t>
  </si>
  <si>
    <t xml:space="preserve">Little - Lane 3 - Minggu - 08:45</t>
  </si>
  <si>
    <t xml:space="preserve">KLM|- Lane 3 - Minggu|08:45</t>
  </si>
  <si>
    <t xml:space="preserve">Little - Lane 3 - Minggu - 09:30</t>
  </si>
  <si>
    <t xml:space="preserve">KLM|- Lane 3 - Minggu|09:30</t>
  </si>
  <si>
    <t xml:space="preserve">Little - Lane 3 - Minggu - 10:15</t>
  </si>
  <si>
    <t xml:space="preserve">KLM|- Lane 3 - Minggu|10:15</t>
  </si>
  <si>
    <t xml:space="preserve">Little - Lane 3 - Minggu - 11:00</t>
  </si>
  <si>
    <t xml:space="preserve">KLM|- Lane 3 - Minggu|11:00</t>
  </si>
  <si>
    <t xml:space="preserve">Little - Lane 3 - Minggu - 11:45</t>
  </si>
  <si>
    <t xml:space="preserve">KLM|- Lane 3 - Minggu|11:45</t>
  </si>
  <si>
    <t xml:space="preserve">Little - Lane 3 - Minggu - 13:15</t>
  </si>
  <si>
    <t xml:space="preserve">KLM|- Lane 3 - Minggu|13:15</t>
  </si>
  <si>
    <t xml:space="preserve">Little - Lane 3 - Minggu - 14:00</t>
  </si>
  <si>
    <t xml:space="preserve">KLM|- Lane 3 - Minggu|14:00</t>
  </si>
  <si>
    <t xml:space="preserve">Little - Lane 3 - Minggu - 14:45</t>
  </si>
  <si>
    <t xml:space="preserve">KLM|- Lane 3 - Minggu|14:45</t>
  </si>
  <si>
    <t xml:space="preserve">Little - Lane 3 - Minggu - 15:30</t>
  </si>
  <si>
    <t xml:space="preserve">KLM|- Lane 3 - Minggu|15:30</t>
  </si>
  <si>
    <t xml:space="preserve">Little - Lane 3 - Minggu - 16:15</t>
  </si>
  <si>
    <t xml:space="preserve">KLM|- Lane 3 - Minggu|16:15</t>
  </si>
  <si>
    <t xml:space="preserve">Little - Lane 3 - Minggu - 17:00</t>
  </si>
  <si>
    <t xml:space="preserve">KLM|- Lane 3 - Minggu|17:00</t>
  </si>
  <si>
    <t xml:space="preserve">- Lane 4 - Senin</t>
  </si>
  <si>
    <t xml:space="preserve">Kids - Lane 4 - Senin - 08:00</t>
  </si>
  <si>
    <t xml:space="preserve">KLM|- Lane 4 - Senin|08:00</t>
  </si>
  <si>
    <t xml:space="preserve">Kids - Lane 4 - Senin - 08:45</t>
  </si>
  <si>
    <t xml:space="preserve">KLM|- Lane 4 - Senin|08:45</t>
  </si>
  <si>
    <t xml:space="preserve">Kids - Lane 4 - Senin - 09:30</t>
  </si>
  <si>
    <t xml:space="preserve">KLM|- Lane 4 - Senin|09:30</t>
  </si>
  <si>
    <t xml:space="preserve">Kids - Lane 4 - Senin - 10:15</t>
  </si>
  <si>
    <t xml:space="preserve">KLM|- Lane 4 - Senin|10:15</t>
  </si>
  <si>
    <t xml:space="preserve">Kids - Lane 4 - Senin - 11:00</t>
  </si>
  <si>
    <t xml:space="preserve">KLM|- Lane 4 - Senin|11:00</t>
  </si>
  <si>
    <t xml:space="preserve">Kids - Lane 4 - Senin - 11:45</t>
  </si>
  <si>
    <t xml:space="preserve">KLM|- Lane 4 - Senin|11:45</t>
  </si>
  <si>
    <t xml:space="preserve">Kids - Lane 4 - Senin - 13:15</t>
  </si>
  <si>
    <t xml:space="preserve">KLM|- Lane 4 - Senin|13:15</t>
  </si>
  <si>
    <t xml:space="preserve">Kids - Lane 4 - Senin - 14:00</t>
  </si>
  <si>
    <t xml:space="preserve">KLM|- Lane 4 - Senin|14:00</t>
  </si>
  <si>
    <t xml:space="preserve">Kids - Lane 4 - Senin - 14:45</t>
  </si>
  <si>
    <t xml:space="preserve">KLM|- Lane 4 - Senin|14:45</t>
  </si>
  <si>
    <t xml:space="preserve">Kids - Lane 4 - Senin - 15:30</t>
  </si>
  <si>
    <t xml:space="preserve">KLM|- Lane 4 - Senin|15:30</t>
  </si>
  <si>
    <t xml:space="preserve">Kids - Lane 4 - Senin - 16:15</t>
  </si>
  <si>
    <t xml:space="preserve">KLM|- Lane 4 - Senin|16:15</t>
  </si>
  <si>
    <t xml:space="preserve">Kids - Lane 4 - Senin - 17:00</t>
  </si>
  <si>
    <t xml:space="preserve">KLM|- Lane 4 - Senin|17:00</t>
  </si>
  <si>
    <t xml:space="preserve">- Lane 4 - Selasa</t>
  </si>
  <si>
    <t xml:space="preserve">Kids - Lane 4 - Selasa - 08:00</t>
  </si>
  <si>
    <t xml:space="preserve">KLM|- Lane 4 - Selasa|08:00</t>
  </si>
  <si>
    <t xml:space="preserve">Kids - Lane 4 - Selasa - 08:45</t>
  </si>
  <si>
    <t xml:space="preserve">KLM|- Lane 4 - Selasa|08:45</t>
  </si>
  <si>
    <t xml:space="preserve">Kids - Lane 4 - Selasa - 09:30</t>
  </si>
  <si>
    <t xml:space="preserve">KLM|- Lane 4 - Selasa|09:30</t>
  </si>
  <si>
    <t xml:space="preserve">Kids - Lane 4 - Selasa - 10:15</t>
  </si>
  <si>
    <t xml:space="preserve">KLM|- Lane 4 - Selasa|10:15</t>
  </si>
  <si>
    <t xml:space="preserve">Kids - Lane 4 - Selasa - 11:00</t>
  </si>
  <si>
    <t xml:space="preserve">KLM|- Lane 4 - Selasa|11:00</t>
  </si>
  <si>
    <t xml:space="preserve">Kids - Lane 4 - Selasa - 11:45</t>
  </si>
  <si>
    <t xml:space="preserve">KLM|- Lane 4 - Selasa|11:45</t>
  </si>
  <si>
    <t xml:space="preserve">Kids - Lane 4 - Selasa - 13:15</t>
  </si>
  <si>
    <t xml:space="preserve">KLM|- Lane 4 - Selasa|13:15</t>
  </si>
  <si>
    <t xml:space="preserve">Kids - Lane 4 - Selasa - 14:00</t>
  </si>
  <si>
    <t xml:space="preserve">KLM|- Lane 4 - Selasa|14:00</t>
  </si>
  <si>
    <t xml:space="preserve">Kids - Lane 4 - Selasa - 14:45</t>
  </si>
  <si>
    <t xml:space="preserve">KLM|- Lane 4 - Selasa|14:45</t>
  </si>
  <si>
    <t xml:space="preserve">Kids - Lane 4 - Selasa - 15:30</t>
  </si>
  <si>
    <t xml:space="preserve">KLM|- Lane 4 - Selasa|15:30</t>
  </si>
  <si>
    <t xml:space="preserve">Kids - Lane 4 - Selasa - 16:15</t>
  </si>
  <si>
    <t xml:space="preserve">KLM|- Lane 4 - Selasa|16:15</t>
  </si>
  <si>
    <t xml:space="preserve">Kids - Lane 4 - Selasa - 17:00</t>
  </si>
  <si>
    <t xml:space="preserve">KLM|- Lane 4 - Selasa|17:00</t>
  </si>
  <si>
    <t xml:space="preserve">- Lane 4 - Rabu</t>
  </si>
  <si>
    <t xml:space="preserve">Kids - Lane 4 - Rabu - 08:00</t>
  </si>
  <si>
    <t xml:space="preserve">KLM|- Lane 4 - Rabu|08:00</t>
  </si>
  <si>
    <t xml:space="preserve">Kids - Lane 4 - Rabu - 08:45</t>
  </si>
  <si>
    <t xml:space="preserve">KLM|- Lane 4 - Rabu|08:45</t>
  </si>
  <si>
    <t xml:space="preserve">Kids - Lane 4 - Rabu - 09:30</t>
  </si>
  <si>
    <t xml:space="preserve">KLM|- Lane 4 - Rabu|09:30</t>
  </si>
  <si>
    <t xml:space="preserve">Kids - Lane 4 - Rabu - 10:15</t>
  </si>
  <si>
    <t xml:space="preserve">KLM|- Lane 4 - Rabu|10:15</t>
  </si>
  <si>
    <t xml:space="preserve">Kids - Lane 4 - Rabu - 11:00</t>
  </si>
  <si>
    <t xml:space="preserve">KLM|- Lane 4 - Rabu|11:00</t>
  </si>
  <si>
    <t xml:space="preserve">Kids - Lane 4 - Rabu - 11:45</t>
  </si>
  <si>
    <t xml:space="preserve">KLM|- Lane 4 - Rabu|11:45</t>
  </si>
  <si>
    <t xml:space="preserve">Kids - Lane 4 - Rabu - 13:15</t>
  </si>
  <si>
    <t xml:space="preserve">KLM|- Lane 4 - Rabu|13:15</t>
  </si>
  <si>
    <t xml:space="preserve">Kids - Lane 4 - Rabu - 14:00</t>
  </si>
  <si>
    <t xml:space="preserve">KLM|- Lane 4 - Rabu|14:00</t>
  </si>
  <si>
    <t xml:space="preserve">Kids - Lane 4 - Rabu - 14:45</t>
  </si>
  <si>
    <t xml:space="preserve">KLM|- Lane 4 - Rabu|14:45</t>
  </si>
  <si>
    <t xml:space="preserve">Kids - Lane 4 - Rabu - 15:30</t>
  </si>
  <si>
    <t xml:space="preserve">KLM|- Lane 4 - Rabu|15:30</t>
  </si>
  <si>
    <t xml:space="preserve">Kids - Lane 4 - Rabu - 16:15</t>
  </si>
  <si>
    <t xml:space="preserve">KLM|- Lane 4 - Rabu|16:15</t>
  </si>
  <si>
    <t xml:space="preserve">Kids - Lane 4 - Rabu - 17:00</t>
  </si>
  <si>
    <t xml:space="preserve">KLM|- Lane 4 - Rabu|17:00</t>
  </si>
  <si>
    <t xml:space="preserve">- Lane 4 - Kamis</t>
  </si>
  <si>
    <t xml:space="preserve">Kids - Lane 4 - Kamis - 08:00</t>
  </si>
  <si>
    <t xml:space="preserve">KLM|- Lane 4 - Kamis|08:00</t>
  </si>
  <si>
    <t xml:space="preserve">Kids - Lane 4 - Kamis - 08:45</t>
  </si>
  <si>
    <t xml:space="preserve">KLM|- Lane 4 - Kamis|08:45</t>
  </si>
  <si>
    <t xml:space="preserve">Kids - Lane 4 - Kamis - 09:30</t>
  </si>
  <si>
    <t xml:space="preserve">KLM|- Lane 4 - Kamis|09:30</t>
  </si>
  <si>
    <t xml:space="preserve">Kids - Lane 4 - Kamis - 10:15</t>
  </si>
  <si>
    <t xml:space="preserve">KLM|- Lane 4 - Kamis|10:15</t>
  </si>
  <si>
    <t xml:space="preserve">Kids - Lane 4 - Kamis - 11:00</t>
  </si>
  <si>
    <t xml:space="preserve">KLM|- Lane 4 - Kamis|11:00</t>
  </si>
  <si>
    <t xml:space="preserve">Kids - Lane 4 - Kamis - 11:45</t>
  </si>
  <si>
    <t xml:space="preserve">KLM|- Lane 4 - Kamis|11:45</t>
  </si>
  <si>
    <t xml:space="preserve">Kids - Lane 4 - Kamis - 13:15</t>
  </si>
  <si>
    <t xml:space="preserve">KLM|- Lane 4 - Kamis|13:15</t>
  </si>
  <si>
    <t xml:space="preserve">Kids - Lane 4 - Kamis - 14:00</t>
  </si>
  <si>
    <t xml:space="preserve">KLM|- Lane 4 - Kamis|14:00</t>
  </si>
  <si>
    <t xml:space="preserve">Kids - Lane 4 - Kamis - 14:45</t>
  </si>
  <si>
    <t xml:space="preserve">KLM|- Lane 4 - Kamis|14:45</t>
  </si>
  <si>
    <t xml:space="preserve">Kids - Lane 4 - Kamis - 15:30</t>
  </si>
  <si>
    <t xml:space="preserve">KLM|- Lane 4 - Kamis|15:30</t>
  </si>
  <si>
    <t xml:space="preserve">Kids - Lane 4 - Kamis - 16:15</t>
  </si>
  <si>
    <t xml:space="preserve">KLM|- Lane 4 - Kamis|16:15</t>
  </si>
  <si>
    <t xml:space="preserve">Kids - Lane 4 - Kamis - 17:00</t>
  </si>
  <si>
    <t xml:space="preserve">KLM|- Lane 4 - Kamis|17:00</t>
  </si>
  <si>
    <t xml:space="preserve">- Lane 4 - Jumat</t>
  </si>
  <si>
    <t xml:space="preserve">Kids - Lane 4 - Jumat - 08:00</t>
  </si>
  <si>
    <t xml:space="preserve">KLM|- Lane 4 - Jumat|08:00</t>
  </si>
  <si>
    <t xml:space="preserve">Kids - Lane 4 - Jumat - 08:45</t>
  </si>
  <si>
    <t xml:space="preserve">KLM|- Lane 4 - Jumat|08:45</t>
  </si>
  <si>
    <t xml:space="preserve">Kids - Lane 4 - Jumat - 09:30</t>
  </si>
  <si>
    <t xml:space="preserve">KLM|- Lane 4 - Jumat|09:30</t>
  </si>
  <si>
    <t xml:space="preserve">Kids - Lane 4 - Jumat - 10:15</t>
  </si>
  <si>
    <t xml:space="preserve">KLM|- Lane 4 - Jumat|10:15</t>
  </si>
  <si>
    <t xml:space="preserve">Kids - Lane 4 - Jumat - 11:00</t>
  </si>
  <si>
    <t xml:space="preserve">KLM|- Lane 4 - Jumat|11:00</t>
  </si>
  <si>
    <t xml:space="preserve">Kids - Lane 4 - Jumat - 11:45</t>
  </si>
  <si>
    <t xml:space="preserve">KLM|- Lane 4 - Jumat|11:45</t>
  </si>
  <si>
    <t xml:space="preserve">Kids - Lane 4 - Jumat - 13:15</t>
  </si>
  <si>
    <t xml:space="preserve">KLM|- Lane 4 - Jumat|13:15</t>
  </si>
  <si>
    <t xml:space="preserve">Kids - Lane 4 - Jumat - 14:00</t>
  </si>
  <si>
    <t xml:space="preserve">KLM|- Lane 4 - Jumat|14:00</t>
  </si>
  <si>
    <t xml:space="preserve">Kids - Lane 4 - Jumat - 14:45</t>
  </si>
  <si>
    <t xml:space="preserve">KLM|- Lane 4 - Jumat|14:45</t>
  </si>
  <si>
    <t xml:space="preserve">Kids - Lane 4 - Jumat - 15:30</t>
  </si>
  <si>
    <t xml:space="preserve">KLM|- Lane 4 - Jumat|15:30</t>
  </si>
  <si>
    <t xml:space="preserve">Kids - Lane 4 - Jumat - 16:15</t>
  </si>
  <si>
    <t xml:space="preserve">KLM|- Lane 4 - Jumat|16:15</t>
  </si>
  <si>
    <t xml:space="preserve">Kids - Lane 4 - Jumat - 17:00</t>
  </si>
  <si>
    <t xml:space="preserve">KLM|- Lane 4 - Jumat|17:00</t>
  </si>
  <si>
    <t xml:space="preserve">- Lane 4 - Sabtu</t>
  </si>
  <si>
    <t xml:space="preserve">Kids - Lane 4 - Sabtu - 08:00</t>
  </si>
  <si>
    <t xml:space="preserve">KLM|- Lane 4 - Sabtu|08:00</t>
  </si>
  <si>
    <t xml:space="preserve">Kids - Lane 4 - Sabtu - 08:45</t>
  </si>
  <si>
    <t xml:space="preserve">KLM|- Lane 4 - Sabtu|08:45</t>
  </si>
  <si>
    <t xml:space="preserve">Kids - Lane 4 - Sabtu - 09:30</t>
  </si>
  <si>
    <t xml:space="preserve">KLM|- Lane 4 - Sabtu|09:30</t>
  </si>
  <si>
    <t xml:space="preserve">Kids - Lane 4 - Sabtu - 10:15</t>
  </si>
  <si>
    <t xml:space="preserve">KLM|- Lane 4 - Sabtu|10:15</t>
  </si>
  <si>
    <t xml:space="preserve">Kids - Lane 4 - Sabtu - 11:00</t>
  </si>
  <si>
    <t xml:space="preserve">KLM|- Lane 4 - Sabtu|11:00</t>
  </si>
  <si>
    <t xml:space="preserve">Kids - Lane 4 - Sabtu - 11:45</t>
  </si>
  <si>
    <t xml:space="preserve">KLM|- Lane 4 - Sabtu|11:45</t>
  </si>
  <si>
    <t xml:space="preserve">Kids - Lane 4 - Sabtu - 13:15</t>
  </si>
  <si>
    <t xml:space="preserve">KLM|- Lane 4 - Sabtu|13:15</t>
  </si>
  <si>
    <t xml:space="preserve">Kids - Lane 4 - Sabtu - 14:00</t>
  </si>
  <si>
    <t xml:space="preserve">KLM|- Lane 4 - Sabtu|14:00</t>
  </si>
  <si>
    <t xml:space="preserve">Kids - Lane 4 - Sabtu - 14:45</t>
  </si>
  <si>
    <t xml:space="preserve">KLM|- Lane 4 - Sabtu|14:45</t>
  </si>
  <si>
    <t xml:space="preserve">Kids - Lane 4 - Sabtu - 15:30</t>
  </si>
  <si>
    <t xml:space="preserve">KLM|- Lane 4 - Sabtu|15:30</t>
  </si>
  <si>
    <t xml:space="preserve">Kids - Lane 4 - Sabtu - 16:15</t>
  </si>
  <si>
    <t xml:space="preserve">KLM|- Lane 4 - Sabtu|16:15</t>
  </si>
  <si>
    <t xml:space="preserve">Kids - Lane 4 - Sabtu - 17:00</t>
  </si>
  <si>
    <t xml:space="preserve">KLM|- Lane 4 - Sabtu|17:00</t>
  </si>
  <si>
    <t xml:space="preserve">- Lane 4 - Minggu</t>
  </si>
  <si>
    <t xml:space="preserve">Kids - Lane 4 - Minggu - 08:00</t>
  </si>
  <si>
    <t xml:space="preserve">KLM|- Lane 4 - Minggu|08:00</t>
  </si>
  <si>
    <t xml:space="preserve">Kids - Lane 4 - Minggu - 08:45</t>
  </si>
  <si>
    <t xml:space="preserve">KLM|- Lane 4 - Minggu|08:45</t>
  </si>
  <si>
    <t xml:space="preserve">Kids - Lane 4 - Minggu - 09:30</t>
  </si>
  <si>
    <t xml:space="preserve">KLM|- Lane 4 - Minggu|09:30</t>
  </si>
  <si>
    <t xml:space="preserve">Kids - Lane 4 - Minggu - 10:15</t>
  </si>
  <si>
    <t xml:space="preserve">KLM|- Lane 4 - Minggu|10:15</t>
  </si>
  <si>
    <t xml:space="preserve">Kids - Lane 4 - Minggu - 11:00</t>
  </si>
  <si>
    <t xml:space="preserve">KLM|- Lane 4 - Minggu|11:00</t>
  </si>
  <si>
    <t xml:space="preserve">Kids - Lane 4 - Minggu - 11:45</t>
  </si>
  <si>
    <t xml:space="preserve">KLM|- Lane 4 - Minggu|11:45</t>
  </si>
  <si>
    <t xml:space="preserve">Kids - Lane 4 - Minggu - 13:15</t>
  </si>
  <si>
    <t xml:space="preserve">KLM|- Lane 4 - Minggu|13:15</t>
  </si>
  <si>
    <t xml:space="preserve">Kids - Lane 4 - Minggu - 14:00</t>
  </si>
  <si>
    <t xml:space="preserve">KLM|- Lane 4 - Minggu|14:00</t>
  </si>
  <si>
    <t xml:space="preserve">Kids - Lane 4 - Minggu - 14:45</t>
  </si>
  <si>
    <t xml:space="preserve">KLM|- Lane 4 - Minggu|14:45</t>
  </si>
  <si>
    <t xml:space="preserve">Kids - Lane 4 - Minggu - 15:30</t>
  </si>
  <si>
    <t xml:space="preserve">KLM|- Lane 4 - Minggu|15:30</t>
  </si>
  <si>
    <t xml:space="preserve">Kids - Lane 4 - Minggu - 16:15</t>
  </si>
  <si>
    <t xml:space="preserve">KLM|- Lane 4 - Minggu|16:15</t>
  </si>
  <si>
    <t xml:space="preserve">Kids - Lane 4 - Minggu - 17:00</t>
  </si>
  <si>
    <t xml:space="preserve">ALAN</t>
  </si>
  <si>
    <t xml:space="preserve">KLM|- Lane 4 - Minggu|17:00</t>
  </si>
  <si>
    <t xml:space="preserve">- Lane 5 - Senin</t>
  </si>
  <si>
    <t xml:space="preserve"> - Lane 5 - Senin - 08:00</t>
  </si>
  <si>
    <t xml:space="preserve">KLM|- Lane 5 - Senin|08:00</t>
  </si>
  <si>
    <t xml:space="preserve"> - Lane 5 - Senin - 08:45</t>
  </si>
  <si>
    <t xml:space="preserve">KLM|- Lane 5 - Senin|08:45</t>
  </si>
  <si>
    <t xml:space="preserve"> - Lane 5 - Senin - 09:30</t>
  </si>
  <si>
    <t xml:space="preserve">KLM|- Lane 5 - Senin|09:30</t>
  </si>
  <si>
    <t xml:space="preserve"> - Lane 5 - Senin - 10:15</t>
  </si>
  <si>
    <t xml:space="preserve">KLM|- Lane 5 - Senin|10:15</t>
  </si>
  <si>
    <t xml:space="preserve"> - Lane 5 - Senin - 11:00</t>
  </si>
  <si>
    <t xml:space="preserve">KLM|- Lane 5 - Senin|11:00</t>
  </si>
  <si>
    <t xml:space="preserve"> - Lane 5 - Senin - 11:45</t>
  </si>
  <si>
    <t xml:space="preserve">KLM|- Lane 5 - Senin|11:45</t>
  </si>
  <si>
    <t xml:space="preserve"> - Lane 5 - Senin - 13:15</t>
  </si>
  <si>
    <t xml:space="preserve">KLM|- Lane 5 - Senin|13:15</t>
  </si>
  <si>
    <t xml:space="preserve">Little - Lane 5 - Senin - 14:00</t>
  </si>
  <si>
    <t xml:space="preserve">KLM|- Lane 5 - Senin|14:00</t>
  </si>
  <si>
    <t xml:space="preserve">Kids - Lane 5 - Senin - 14:45</t>
  </si>
  <si>
    <t xml:space="preserve">KLM|- Lane 5 - Senin|14:45</t>
  </si>
  <si>
    <t xml:space="preserve">Kids - Lane 5 - Senin - 15:30</t>
  </si>
  <si>
    <t xml:space="preserve">KLM|- Lane 5 - Senin|15:30</t>
  </si>
  <si>
    <t xml:space="preserve">Kids - Lane 5 - Senin - 16:15</t>
  </si>
  <si>
    <t xml:space="preserve">KLM|- Lane 5 - Senin|16:15</t>
  </si>
  <si>
    <t xml:space="preserve">Kids - Lane 5 - Senin - 17:00</t>
  </si>
  <si>
    <t xml:space="preserve">KLM|- Lane 5 - Senin|17:00</t>
  </si>
  <si>
    <t xml:space="preserve">- Lane 5 - Selasa</t>
  </si>
  <si>
    <t xml:space="preserve"> - Lane 5 - Selasa - 08:00</t>
  </si>
  <si>
    <t xml:space="preserve">KLM|- Lane 5 - Selasa|08:00</t>
  </si>
  <si>
    <t xml:space="preserve"> - Lane 5 - Selasa - 08:45</t>
  </si>
  <si>
    <t xml:space="preserve">KLM|- Lane 5 - Selasa|08:45</t>
  </si>
  <si>
    <t xml:space="preserve"> - Lane 5 - Selasa - 09:30</t>
  </si>
  <si>
    <t xml:space="preserve">KLM|- Lane 5 - Selasa|09:30</t>
  </si>
  <si>
    <t xml:space="preserve"> - Lane 5 - Selasa - 10:15</t>
  </si>
  <si>
    <t xml:space="preserve">KLM|- Lane 5 - Selasa|10:15</t>
  </si>
  <si>
    <t xml:space="preserve"> - Lane 5 - Selasa - 11:00</t>
  </si>
  <si>
    <t xml:space="preserve">KLM|- Lane 5 - Selasa|11:00</t>
  </si>
  <si>
    <t xml:space="preserve"> - Lane 5 - Selasa - 11:45</t>
  </si>
  <si>
    <t xml:space="preserve">KLM|- Lane 5 - Selasa|11:45</t>
  </si>
  <si>
    <t xml:space="preserve"> - Lane 5 - Selasa - 13:15</t>
  </si>
  <si>
    <t xml:space="preserve">KLM|- Lane 5 - Selasa|13:15</t>
  </si>
  <si>
    <t xml:space="preserve">Little - Lane 5 - Selasa - 14:00</t>
  </si>
  <si>
    <t xml:space="preserve">KLM|- Lane 5 - Selasa|14:00</t>
  </si>
  <si>
    <t xml:space="preserve"> - Lane 5 - Selasa - 14:45</t>
  </si>
  <si>
    <t xml:space="preserve">KLM|- Lane 5 - Selasa|14:45</t>
  </si>
  <si>
    <t xml:space="preserve">Little - Lane 5 - Selasa - 15:30</t>
  </si>
  <si>
    <t xml:space="preserve">KLM|- Lane 5 - Selasa|15:30</t>
  </si>
  <si>
    <t xml:space="preserve">Kids - Lane 5 - Selasa - 16:15</t>
  </si>
  <si>
    <t xml:space="preserve">KLM|- Lane 5 - Selasa|16:15</t>
  </si>
  <si>
    <t xml:space="preserve">Little - Lane 5 - Selasa - 17:00</t>
  </si>
  <si>
    <t xml:space="preserve">KLM|- Lane 5 - Selasa|17:00</t>
  </si>
  <si>
    <t xml:space="preserve">- Lane 5 - Rabu</t>
  </si>
  <si>
    <t xml:space="preserve"> - Lane 5 - Rabu - 08:00</t>
  </si>
  <si>
    <t xml:space="preserve">KLM|- Lane 5 - Rabu|08:00</t>
  </si>
  <si>
    <t xml:space="preserve"> - Lane 5 - Rabu - 08:45</t>
  </si>
  <si>
    <t xml:space="preserve">KLM|- Lane 5 - Rabu|08:45</t>
  </si>
  <si>
    <t xml:space="preserve"> - Lane 5 - Rabu - 09:30</t>
  </si>
  <si>
    <t xml:space="preserve">KLM|- Lane 5 - Rabu|09:30</t>
  </si>
  <si>
    <t xml:space="preserve"> - Lane 5 - Rabu - 10:15</t>
  </si>
  <si>
    <t xml:space="preserve">KLM|- Lane 5 - Rabu|10:15</t>
  </si>
  <si>
    <t xml:space="preserve"> - Lane 5 - Rabu - 11:00</t>
  </si>
  <si>
    <t xml:space="preserve">KLM|- Lane 5 - Rabu|11:00</t>
  </si>
  <si>
    <t xml:space="preserve"> - Lane 5 - Rabu - 11:45</t>
  </si>
  <si>
    <t xml:space="preserve">KLM|- Lane 5 - Rabu|11:45</t>
  </si>
  <si>
    <t xml:space="preserve">Little - Lane 5 - Rabu - 13:15</t>
  </si>
  <si>
    <t xml:space="preserve">KLM|- Lane 5 - Rabu|13:15</t>
  </si>
  <si>
    <t xml:space="preserve"> - Lane 5 - Rabu - 14:00</t>
  </si>
  <si>
    <t xml:space="preserve">KLM|- Lane 5 - Rabu|14:00</t>
  </si>
  <si>
    <t xml:space="preserve"> - Lane 5 - Rabu - 14:45</t>
  </si>
  <si>
    <t xml:space="preserve">KLM|- Lane 5 - Rabu|14:45</t>
  </si>
  <si>
    <t xml:space="preserve">Kids - Lane 5 - Rabu - 15:30</t>
  </si>
  <si>
    <t xml:space="preserve">KLM|- Lane 5 - Rabu|15:30</t>
  </si>
  <si>
    <t xml:space="preserve">Kids - Lane 5 - Rabu - 16:15</t>
  </si>
  <si>
    <t xml:space="preserve">KLM|- Lane 5 - Rabu|16:15</t>
  </si>
  <si>
    <t xml:space="preserve">Kids - Lane 5 - Rabu - 17:00</t>
  </si>
  <si>
    <t xml:space="preserve">KLM|- Lane 5 - Rabu|17:00</t>
  </si>
  <si>
    <t xml:space="preserve">- Lane 5 - Kamis</t>
  </si>
  <si>
    <t xml:space="preserve"> - Lane 5 - Kamis - 08:00</t>
  </si>
  <si>
    <t xml:space="preserve">KLM|- Lane 5 - Kamis|08:00</t>
  </si>
  <si>
    <t xml:space="preserve"> - Lane 5 - Kamis - 08:45</t>
  </si>
  <si>
    <t xml:space="preserve">KLM|- Lane 5 - Kamis|08:45</t>
  </si>
  <si>
    <t xml:space="preserve"> - Lane 5 - Kamis - 09:30</t>
  </si>
  <si>
    <t xml:space="preserve">KLM|- Lane 5 - Kamis|09:30</t>
  </si>
  <si>
    <t xml:space="preserve"> - Lane 5 - Kamis - 10:15</t>
  </si>
  <si>
    <t xml:space="preserve">KLM|- Lane 5 - Kamis|10:15</t>
  </si>
  <si>
    <t xml:space="preserve"> - Lane 5 - Kamis - 11:00</t>
  </si>
  <si>
    <t xml:space="preserve">KLM|- Lane 5 - Kamis|11:00</t>
  </si>
  <si>
    <t xml:space="preserve"> - Lane 5 - Kamis - 11:45</t>
  </si>
  <si>
    <t xml:space="preserve">KLM|- Lane 5 - Kamis|11:45</t>
  </si>
  <si>
    <t xml:space="preserve">Little - Lane 5 - Kamis - 13:15</t>
  </si>
  <si>
    <t xml:space="preserve">KLM|- Lane 5 - Kamis|13:15</t>
  </si>
  <si>
    <t xml:space="preserve">Kids - Lane 5 - Kamis - 14:00</t>
  </si>
  <si>
    <t xml:space="preserve">KLM|- Lane 5 - Kamis|14:00</t>
  </si>
  <si>
    <t xml:space="preserve"> - Lane 5 - Kamis - 14:45</t>
  </si>
  <si>
    <t xml:space="preserve">KLM|- Lane 5 - Kamis|14:45</t>
  </si>
  <si>
    <t xml:space="preserve">Kids - Lane 5 - Kamis - 15:30</t>
  </si>
  <si>
    <t xml:space="preserve">KLM|- Lane 5 - Kamis|15:30</t>
  </si>
  <si>
    <t xml:space="preserve">Kids - Lane 5 - Kamis - 16:15</t>
  </si>
  <si>
    <t xml:space="preserve">KLM|- Lane 5 - Kamis|16:15</t>
  </si>
  <si>
    <t xml:space="preserve">Kids - Lane 5 - Kamis - 17:00</t>
  </si>
  <si>
    <t xml:space="preserve">KLM|- Lane 5 - Kamis|17:00</t>
  </si>
  <si>
    <t xml:space="preserve">- Lane 5 - Jumat</t>
  </si>
  <si>
    <t xml:space="preserve"> - Lane 5 - Jumat - 08:00</t>
  </si>
  <si>
    <t xml:space="preserve">KLM|- Lane 5 - Jumat|08:00</t>
  </si>
  <si>
    <t xml:space="preserve"> - Lane 5 - Jumat - 08:45</t>
  </si>
  <si>
    <t xml:space="preserve">KLM|- Lane 5 - Jumat|08:45</t>
  </si>
  <si>
    <t xml:space="preserve"> - Lane 5 - Jumat - 09:30</t>
  </si>
  <si>
    <t xml:space="preserve">KLM|- Lane 5 - Jumat|09:30</t>
  </si>
  <si>
    <t xml:space="preserve"> - Lane 5 - Jumat - 10:15</t>
  </si>
  <si>
    <t xml:space="preserve">KLM|- Lane 5 - Jumat|10:15</t>
  </si>
  <si>
    <t xml:space="preserve">Kids - Lane 5 - Jumat - 11:00</t>
  </si>
  <si>
    <t xml:space="preserve">KLM|- Lane 5 - Jumat|11:00</t>
  </si>
  <si>
    <t xml:space="preserve"> - Lane 5 - Jumat - 11:45</t>
  </si>
  <si>
    <t xml:space="preserve">KLM|- Lane 5 - Jumat|11:45</t>
  </si>
  <si>
    <t xml:space="preserve">Kids - Lane 5 - Jumat - 13:15</t>
  </si>
  <si>
    <t xml:space="preserve">KLM|- Lane 5 - Jumat|13:15</t>
  </si>
  <si>
    <t xml:space="preserve">Kids - Lane 5 - Jumat - 14:00</t>
  </si>
  <si>
    <t xml:space="preserve">KLM|- Lane 5 - Jumat|14:00</t>
  </si>
  <si>
    <t xml:space="preserve">Little - Lane 5 - Jumat - 14:45</t>
  </si>
  <si>
    <t xml:space="preserve">KLM|- Lane 5 - Jumat|14:45</t>
  </si>
  <si>
    <t xml:space="preserve">Kids - Lane 5 - Jumat - 15:30</t>
  </si>
  <si>
    <t xml:space="preserve">KLM|- Lane 5 - Jumat|15:30</t>
  </si>
  <si>
    <t xml:space="preserve">Kids - Lane 5 - Jumat - 16:15</t>
  </si>
  <si>
    <t xml:space="preserve">KLM|- Lane 5 - Jumat|16:15</t>
  </si>
  <si>
    <t xml:space="preserve">Little - Lane 5 - Jumat - 17:00</t>
  </si>
  <si>
    <t xml:space="preserve">KLM|- Lane 5 - Jumat|17:00</t>
  </si>
  <si>
    <t xml:space="preserve">- Lane 5 - Sabtu</t>
  </si>
  <si>
    <t xml:space="preserve"> - Lane 5 - Sabtu - 08:00</t>
  </si>
  <si>
    <t xml:space="preserve">KLM|- Lane 5 - Sabtu|08:00</t>
  </si>
  <si>
    <t xml:space="preserve">Little - Lane 5 - Sabtu - 08:45</t>
  </si>
  <si>
    <t xml:space="preserve">KLM|- Lane 5 - Sabtu|08:45</t>
  </si>
  <si>
    <t xml:space="preserve">Little - Lane 5 - Sabtu - 09:30</t>
  </si>
  <si>
    <t xml:space="preserve">KLM|- Lane 5 - Sabtu|09:30</t>
  </si>
  <si>
    <t xml:space="preserve">Kids - Lane 5 - Sabtu - 10:15</t>
  </si>
  <si>
    <t xml:space="preserve">KLM|- Lane 5 - Sabtu|10:15</t>
  </si>
  <si>
    <t xml:space="preserve">Kids - Lane 5 - Sabtu - 11:00</t>
  </si>
  <si>
    <t xml:space="preserve">KLM|- Lane 5 - Sabtu|11:00</t>
  </si>
  <si>
    <t xml:space="preserve">Kids - Lane 5 - Sabtu - 11:45</t>
  </si>
  <si>
    <t xml:space="preserve">KLM|- Lane 5 - Sabtu|11:45</t>
  </si>
  <si>
    <t xml:space="preserve">Little - Lane 5 - Sabtu - 13:15</t>
  </si>
  <si>
    <t xml:space="preserve">KLM|- Lane 5 - Sabtu|13:15</t>
  </si>
  <si>
    <t xml:space="preserve">Little - Lane 5 - Sabtu - 14:00</t>
  </si>
  <si>
    <t xml:space="preserve">KLM|- Lane 5 - Sabtu|14:00</t>
  </si>
  <si>
    <t xml:space="preserve">Kids - Lane 5 - Sabtu - 14:45</t>
  </si>
  <si>
    <t xml:space="preserve">KLM|- Lane 5 - Sabtu|14:45</t>
  </si>
  <si>
    <t xml:space="preserve">Kids - Lane 5 - Sabtu - 15:30</t>
  </si>
  <si>
    <t xml:space="preserve">KLM|- Lane 5 - Sabtu|15:30</t>
  </si>
  <si>
    <t xml:space="preserve">Kids - Lane 5 - Sabtu - 16:15</t>
  </si>
  <si>
    <t xml:space="preserve">KLM|- Lane 5 - Sabtu|16:15</t>
  </si>
  <si>
    <t xml:space="preserve">Little - Lane 5 - Sabtu - 17:00</t>
  </si>
  <si>
    <t xml:space="preserve">KLM|- Lane 5 - Sabtu|17:00</t>
  </si>
  <si>
    <t xml:space="preserve">- Lane 5 - Minggu</t>
  </si>
  <si>
    <t xml:space="preserve"> - Lane 5 - Minggu - 08:00</t>
  </si>
  <si>
    <t xml:space="preserve">KLM|- Lane 5 - Minggu|08:00</t>
  </si>
  <si>
    <t xml:space="preserve">Little - Lane 5 - Minggu - 08:45</t>
  </si>
  <si>
    <t xml:space="preserve">KLM|- Lane 5 - Minggu|08:45</t>
  </si>
  <si>
    <t xml:space="preserve">Little - Lane 5 - Minggu - 09:30</t>
  </si>
  <si>
    <t xml:space="preserve">KLM|- Lane 5 - Minggu|09:30</t>
  </si>
  <si>
    <t xml:space="preserve">Kids - Lane 5 - Minggu - 10:15</t>
  </si>
  <si>
    <t xml:space="preserve">KLM|- Lane 5 - Minggu|10:15</t>
  </si>
  <si>
    <t xml:space="preserve">Little - Lane 5 - Minggu - 11:00</t>
  </si>
  <si>
    <t xml:space="preserve">KLM|- Lane 5 - Minggu|11:00</t>
  </si>
  <si>
    <t xml:space="preserve"> - Lane 5 - Minggu - 11:45</t>
  </si>
  <si>
    <t xml:space="preserve">KLM|- Lane 5 - Minggu|11:45</t>
  </si>
  <si>
    <t xml:space="preserve">Kids - Lane 5 - Minggu - 13:15</t>
  </si>
  <si>
    <t xml:space="preserve">KLM|- Lane 5 - Minggu|13:15</t>
  </si>
  <si>
    <t xml:space="preserve">Kids - Lane 5 - Minggu - 14:00</t>
  </si>
  <si>
    <t xml:space="preserve">KLM|- Lane 5 - Minggu|14:00</t>
  </si>
  <si>
    <t xml:space="preserve">Little - Lane 5 - Minggu - 14:45</t>
  </si>
  <si>
    <t xml:space="preserve">KLM|- Lane 5 - Minggu|14:45</t>
  </si>
  <si>
    <t xml:space="preserve">Kids - Lane 5 - Minggu - 15:30</t>
  </si>
  <si>
    <t xml:space="preserve">KLM|- Lane 5 - Minggu|15:30</t>
  </si>
  <si>
    <t xml:space="preserve">Kids - Lane 5 - Minggu - 16:15</t>
  </si>
  <si>
    <t xml:space="preserve">KLM|- Lane 5 - Minggu|16:15</t>
  </si>
  <si>
    <t xml:space="preserve"> - Lane 5 - Minggu - 17:00</t>
  </si>
  <si>
    <t xml:space="preserve">KLM|- Lane 5 - Minggu|17:00</t>
  </si>
  <si>
    <t xml:space="preserve">- Lane 6 - Senin</t>
  </si>
  <si>
    <t xml:space="preserve"> - Lane 6 - Senin - 08:00</t>
  </si>
  <si>
    <t xml:space="preserve">KLM|- Lane 6 - Senin|08:00</t>
  </si>
  <si>
    <t xml:space="preserve"> - Lane 6 - Senin - 08:45</t>
  </si>
  <si>
    <t xml:space="preserve">KLM|- Lane 6 - Senin|08:45</t>
  </si>
  <si>
    <t xml:space="preserve"> - Lane 6 - Senin - 09:30</t>
  </si>
  <si>
    <t xml:space="preserve">KLM|- Lane 6 - Senin|09:30</t>
  </si>
  <si>
    <t xml:space="preserve"> - Lane 6 - Senin - 10:15</t>
  </si>
  <si>
    <t xml:space="preserve">KLM|- Lane 6 - Senin|10:15</t>
  </si>
  <si>
    <t xml:space="preserve"> - Lane 6 - Senin - 11:00</t>
  </si>
  <si>
    <t xml:space="preserve">KLM|- Lane 6 - Senin|11:00</t>
  </si>
  <si>
    <t xml:space="preserve"> - Lane 6 - Senin - 11:45</t>
  </si>
  <si>
    <t xml:space="preserve">KLM|- Lane 6 - Senin|11:45</t>
  </si>
  <si>
    <t xml:space="preserve"> - Lane 6 - Senin - 13:15</t>
  </si>
  <si>
    <t xml:space="preserve">KLM|- Lane 6 - Senin|13:15</t>
  </si>
  <si>
    <t xml:space="preserve"> - Lane 6 - Senin - 14:00</t>
  </si>
  <si>
    <t xml:space="preserve">KLM|- Lane 6 - Senin|14:00</t>
  </si>
  <si>
    <t xml:space="preserve"> - Lane 6 - Senin - 14:45</t>
  </si>
  <si>
    <t xml:space="preserve">KLM|- Lane 6 - Senin|14:45</t>
  </si>
  <si>
    <t xml:space="preserve">Kids - Lane 6 - Senin - 15:30</t>
  </si>
  <si>
    <t xml:space="preserve">KLM|- Lane 6 - Senin|15:30</t>
  </si>
  <si>
    <t xml:space="preserve">Kids - Lane 6 - Senin - 16:15</t>
  </si>
  <si>
    <t xml:space="preserve">KLM|- Lane 6 - Senin|16:15</t>
  </si>
  <si>
    <t xml:space="preserve">Tiny - Lane 6 - Senin - 17:00</t>
  </si>
  <si>
    <t xml:space="preserve">KLM|- Lane 6 - Senin|17:00</t>
  </si>
  <si>
    <t xml:space="preserve">- Lane 6 - Selasa</t>
  </si>
  <si>
    <t xml:space="preserve"> - Lane 6 - Selasa - 08:00</t>
  </si>
  <si>
    <t xml:space="preserve">KLM|- Lane 6 - Selasa|08:00</t>
  </si>
  <si>
    <t xml:space="preserve"> - Lane 6 - Selasa - 08:45</t>
  </si>
  <si>
    <t xml:space="preserve">KLM|- Lane 6 - Selasa|08:45</t>
  </si>
  <si>
    <t xml:space="preserve"> - Lane 6 - Selasa - 09:30</t>
  </si>
  <si>
    <t xml:space="preserve">KLM|- Lane 6 - Selasa|09:30</t>
  </si>
  <si>
    <t xml:space="preserve"> - Lane 6 - Selasa - 10:15</t>
  </si>
  <si>
    <t xml:space="preserve">KLM|- Lane 6 - Selasa|10:15</t>
  </si>
  <si>
    <t xml:space="preserve"> - Lane 6 - Selasa - 11:00</t>
  </si>
  <si>
    <t xml:space="preserve">KLM|- Lane 6 - Selasa|11:00</t>
  </si>
  <si>
    <t xml:space="preserve"> - Lane 6 - Selasa - 11:45</t>
  </si>
  <si>
    <t xml:space="preserve">KLM|- Lane 6 - Selasa|11:45</t>
  </si>
  <si>
    <t xml:space="preserve"> - Lane 6 - Selasa - 13:15</t>
  </si>
  <si>
    <t xml:space="preserve">KLM|- Lane 6 - Selasa|13:15</t>
  </si>
  <si>
    <t xml:space="preserve"> - Lane 6 - Selasa - 14:00</t>
  </si>
  <si>
    <t xml:space="preserve">KLM|- Lane 6 - Selasa|14:00</t>
  </si>
  <si>
    <t xml:space="preserve"> - Lane 6 - Selasa - 14:45</t>
  </si>
  <si>
    <t xml:space="preserve">KLM|- Lane 6 - Selasa|14:45</t>
  </si>
  <si>
    <t xml:space="preserve"> - Lane 6 - Selasa - 15:30</t>
  </si>
  <si>
    <t xml:space="preserve">KLM|- Lane 6 - Selasa|15:30</t>
  </si>
  <si>
    <t xml:space="preserve"> - Lane 6 - Selasa - 16:15</t>
  </si>
  <si>
    <t xml:space="preserve">KLM|- Lane 6 - Selasa|16:15</t>
  </si>
  <si>
    <t xml:space="preserve"> - Lane 6 - Selasa - 17:00</t>
  </si>
  <si>
    <t xml:space="preserve">KLM|- Lane 6 - Selasa|17:00</t>
  </si>
  <si>
    <t xml:space="preserve">- Lane 6 - Rabu</t>
  </si>
  <si>
    <t xml:space="preserve"> - Lane 6 - Rabu - 08:00</t>
  </si>
  <si>
    <t xml:space="preserve">KLM|- Lane 6 - Rabu|08:00</t>
  </si>
  <si>
    <t xml:space="preserve"> - Lane 6 - Rabu - 08:45</t>
  </si>
  <si>
    <t xml:space="preserve">KLM|- Lane 6 - Rabu|08:45</t>
  </si>
  <si>
    <t xml:space="preserve"> - Lane 6 - Rabu - 09:30</t>
  </si>
  <si>
    <t xml:space="preserve">KLM|- Lane 6 - Rabu|09:30</t>
  </si>
  <si>
    <t xml:space="preserve"> - Lane 6 - Rabu - 10:15</t>
  </si>
  <si>
    <t xml:space="preserve">KLM|- Lane 6 - Rabu|10:15</t>
  </si>
  <si>
    <t xml:space="preserve"> - Lane 6 - Rabu - 11:00</t>
  </si>
  <si>
    <t xml:space="preserve">KLM|- Lane 6 - Rabu|11:00</t>
  </si>
  <si>
    <t xml:space="preserve"> - Lane 6 - Rabu - 11:45</t>
  </si>
  <si>
    <t xml:space="preserve">KLM|- Lane 6 - Rabu|11:45</t>
  </si>
  <si>
    <t xml:space="preserve"> - Lane 6 - Rabu - 13:15</t>
  </si>
  <si>
    <t xml:space="preserve">KLM|- Lane 6 - Rabu|13:15</t>
  </si>
  <si>
    <t xml:space="preserve"> - Lane 6 - Rabu - 14:00</t>
  </si>
  <si>
    <t xml:space="preserve">KLM|- Lane 6 - Rabu|14:00</t>
  </si>
  <si>
    <t xml:space="preserve"> - Lane 6 - Rabu - 14:45</t>
  </si>
  <si>
    <t xml:space="preserve">KLM|- Lane 6 - Rabu|14:45</t>
  </si>
  <si>
    <t xml:space="preserve"> - Lane 6 - Rabu - 15:30</t>
  </si>
  <si>
    <t xml:space="preserve">KLM|- Lane 6 - Rabu|15:30</t>
  </si>
  <si>
    <t xml:space="preserve"> - Lane 6 - Rabu - 16:15</t>
  </si>
  <si>
    <t xml:space="preserve">KLM|- Lane 6 - Rabu|16:15</t>
  </si>
  <si>
    <t xml:space="preserve"> - Lane 6 - Rabu - 17:00</t>
  </si>
  <si>
    <t xml:space="preserve">KLM|- Lane 6 - Rabu|17:00</t>
  </si>
  <si>
    <t xml:space="preserve">- Lane 6 - Kamis</t>
  </si>
  <si>
    <t xml:space="preserve"> - Lane 6 - Kamis - 08:00</t>
  </si>
  <si>
    <t xml:space="preserve">KLM|- Lane 6 - Kamis|08:00</t>
  </si>
  <si>
    <t xml:space="preserve"> - Lane 6 - Kamis - 08:45</t>
  </si>
  <si>
    <t xml:space="preserve">KLM|- Lane 6 - Kamis|08:45</t>
  </si>
  <si>
    <t xml:space="preserve"> - Lane 6 - Kamis - 09:30</t>
  </si>
  <si>
    <t xml:space="preserve">KLM|- Lane 6 - Kamis|09:30</t>
  </si>
  <si>
    <t xml:space="preserve"> - Lane 6 - Kamis - 10:15</t>
  </si>
  <si>
    <t xml:space="preserve">KLM|- Lane 6 - Kamis|10:15</t>
  </si>
  <si>
    <t xml:space="preserve"> - Lane 6 - Kamis - 11:00</t>
  </si>
  <si>
    <t xml:space="preserve">KLM|- Lane 6 - Kamis|11:00</t>
  </si>
  <si>
    <t xml:space="preserve"> - Lane 6 - Kamis - 11:45</t>
  </si>
  <si>
    <t xml:space="preserve">KLM|- Lane 6 - Kamis|11:45</t>
  </si>
  <si>
    <t xml:space="preserve"> - Lane 6 - Kamis - 13:15</t>
  </si>
  <si>
    <t xml:space="preserve">KLM|- Lane 6 - Kamis|13:15</t>
  </si>
  <si>
    <t xml:space="preserve"> - Lane 6 - Kamis - 14:00</t>
  </si>
  <si>
    <t xml:space="preserve">KLM|- Lane 6 - Kamis|14:00</t>
  </si>
  <si>
    <t xml:space="preserve"> - Lane 6 - Kamis - 14:45</t>
  </si>
  <si>
    <t xml:space="preserve">KLM|- Lane 6 - Kamis|14:45</t>
  </si>
  <si>
    <t xml:space="preserve"> - Lane 6 - Kamis - 15:30</t>
  </si>
  <si>
    <t xml:space="preserve">KLM|- Lane 6 - Kamis|15:30</t>
  </si>
  <si>
    <t xml:space="preserve"> - Lane 6 - Kamis - 16:15</t>
  </si>
  <si>
    <t xml:space="preserve">KLM|- Lane 6 - Kamis|16:15</t>
  </si>
  <si>
    <t xml:space="preserve"> - Lane 6 - Kamis - 17:00</t>
  </si>
  <si>
    <t xml:space="preserve">KLM|- Lane 6 - Kamis|17:00</t>
  </si>
  <si>
    <t xml:space="preserve">- Lane 6 - Jumat</t>
  </si>
  <si>
    <t xml:space="preserve"> - Lane 6 - Jumat - 08:00</t>
  </si>
  <si>
    <t xml:space="preserve">KLM|- Lane 6 - Jumat|08:00</t>
  </si>
  <si>
    <t xml:space="preserve"> - Lane 6 - Jumat - 08:45</t>
  </si>
  <si>
    <t xml:space="preserve">KLM|- Lane 6 - Jumat|08:45</t>
  </si>
  <si>
    <t xml:space="preserve"> - Lane 6 - Jumat - 09:30</t>
  </si>
  <si>
    <t xml:space="preserve">KLM|- Lane 6 - Jumat|09:30</t>
  </si>
  <si>
    <t xml:space="preserve"> - Lane 6 - Jumat - 10:15</t>
  </si>
  <si>
    <t xml:space="preserve">KLM|- Lane 6 - Jumat|10:15</t>
  </si>
  <si>
    <t xml:space="preserve"> - Lane 6 - Jumat - 11:00</t>
  </si>
  <si>
    <t xml:space="preserve">KLM|- Lane 6 - Jumat|11:00</t>
  </si>
  <si>
    <t xml:space="preserve"> - Lane 6 - Jumat - 11:45</t>
  </si>
  <si>
    <t xml:space="preserve">KLM|- Lane 6 - Jumat|11:45</t>
  </si>
  <si>
    <t xml:space="preserve"> - Lane 6 - Jumat - 13:15</t>
  </si>
  <si>
    <t xml:space="preserve">KLM|- Lane 6 - Jumat|13:15</t>
  </si>
  <si>
    <t xml:space="preserve"> - Lane 6 - Jumat - 14:00</t>
  </si>
  <si>
    <t xml:space="preserve">KLM|- Lane 6 - Jumat|14:00</t>
  </si>
  <si>
    <t xml:space="preserve"> - Lane 6 - Jumat - 14:45</t>
  </si>
  <si>
    <t xml:space="preserve">KLM|- Lane 6 - Jumat|14:45</t>
  </si>
  <si>
    <t xml:space="preserve"> - Lane 6 - Jumat - 15:30</t>
  </si>
  <si>
    <t xml:space="preserve">KLM|- Lane 6 - Jumat|15:30</t>
  </si>
  <si>
    <t xml:space="preserve"> - Lane 6 - Jumat - 16:15</t>
  </si>
  <si>
    <t xml:space="preserve">KLM|- Lane 6 - Jumat|16:15</t>
  </si>
  <si>
    <t xml:space="preserve">Kids - Lane 6 - Jumat - 17:00</t>
  </si>
  <si>
    <t xml:space="preserve">KLM|- Lane 6 - Jumat|17:00</t>
  </si>
  <si>
    <t xml:space="preserve">- Lane 6 - Sabtu</t>
  </si>
  <si>
    <t xml:space="preserve"> - Lane 6 - Sabtu - 08:00</t>
  </si>
  <si>
    <t xml:space="preserve">KLM|- Lane 6 - Sabtu|08:00</t>
  </si>
  <si>
    <t xml:space="preserve">Kids - Lane 6 - Sabtu - 08:45</t>
  </si>
  <si>
    <t xml:space="preserve">KLM|- Lane 6 - Sabtu|08:45</t>
  </si>
  <si>
    <t xml:space="preserve">Little - Lane 6 - Sabtu - 09:30</t>
  </si>
  <si>
    <t xml:space="preserve">KLM|- Lane 6 - Sabtu|09:30</t>
  </si>
  <si>
    <t xml:space="preserve">Kids - Lane 6 - Sabtu - 10:15</t>
  </si>
  <si>
    <t xml:space="preserve">KLM|- Lane 6 - Sabtu|10:15</t>
  </si>
  <si>
    <t xml:space="preserve"> - Lane 6 - Sabtu - 11:00</t>
  </si>
  <si>
    <t xml:space="preserve">KLM|- Lane 6 - Sabtu|11:00</t>
  </si>
  <si>
    <t xml:space="preserve"> - Lane 6 - Sabtu - 11:45</t>
  </si>
  <si>
    <t xml:space="preserve">KLM|- Lane 6 - Sabtu|11:45</t>
  </si>
  <si>
    <t xml:space="preserve"> - Lane 6 - Sabtu - 13:15</t>
  </si>
  <si>
    <t xml:space="preserve">KLM|- Lane 6 - Sabtu|13:15</t>
  </si>
  <si>
    <t xml:space="preserve"> - Lane 6 - Sabtu - 14:00</t>
  </si>
  <si>
    <t xml:space="preserve">KLM|- Lane 6 - Sabtu|14:00</t>
  </si>
  <si>
    <t xml:space="preserve"> - Lane 6 - Sabtu - 14:45</t>
  </si>
  <si>
    <t xml:space="preserve">KLM|- Lane 6 - Sabtu|14:45</t>
  </si>
  <si>
    <t xml:space="preserve"> - Lane 6 - Sabtu - 15:30</t>
  </si>
  <si>
    <t xml:space="preserve">KLM|- Lane 6 - Sabtu|15:30</t>
  </si>
  <si>
    <t xml:space="preserve"> - Lane 6 - Sabtu - 16:15</t>
  </si>
  <si>
    <t xml:space="preserve">KLM|- Lane 6 - Sabtu|16:15</t>
  </si>
  <si>
    <t xml:space="preserve"> - Lane 6 - Sabtu - 17:00</t>
  </si>
  <si>
    <t xml:space="preserve">KLM|- Lane 6 - Sabtu|17:00</t>
  </si>
  <si>
    <t xml:space="preserve">- Lane 6 - Minggu</t>
  </si>
  <si>
    <t xml:space="preserve"> - Lane 6 - Minggu - 08:00</t>
  </si>
  <si>
    <t xml:space="preserve">KLM|- Lane 6 - Minggu|08:00</t>
  </si>
  <si>
    <t xml:space="preserve"> - Lane 6 - Minggu - 08:45</t>
  </si>
  <si>
    <t xml:space="preserve">KLM|- Lane 6 - Minggu|08:45</t>
  </si>
  <si>
    <t xml:space="preserve"> - Lane 6 - Minggu - 09:30</t>
  </si>
  <si>
    <t xml:space="preserve">KLM|- Lane 6 - Minggu|09:30</t>
  </si>
  <si>
    <t xml:space="preserve"> - Lane 6 - Minggu - 10:15</t>
  </si>
  <si>
    <t xml:space="preserve">KLM|- Lane 6 - Minggu|10:15</t>
  </si>
  <si>
    <t xml:space="preserve"> - Lane 6 - Minggu - 11:00</t>
  </si>
  <si>
    <t xml:space="preserve">KLM|- Lane 6 - Minggu|11:00</t>
  </si>
  <si>
    <t xml:space="preserve"> - Lane 6 - Minggu - 11:45</t>
  </si>
  <si>
    <t xml:space="preserve">KLM|- Lane 6 - Minggu|11:45</t>
  </si>
  <si>
    <t xml:space="preserve"> - Lane 6 - Minggu - 13:15</t>
  </si>
  <si>
    <t xml:space="preserve">KLM|- Lane 6 - Minggu|13:15</t>
  </si>
  <si>
    <t xml:space="preserve"> - Lane 6 - Minggu - 14:00</t>
  </si>
  <si>
    <t xml:space="preserve">KLM|- Lane 6 - Minggu|14:00</t>
  </si>
  <si>
    <t xml:space="preserve"> - Lane 6 - Minggu - 14:45</t>
  </si>
  <si>
    <t xml:space="preserve">KLM|- Lane 6 - Minggu|14:45</t>
  </si>
  <si>
    <t xml:space="preserve"> - Lane 6 - Minggu - 15:30</t>
  </si>
  <si>
    <t xml:space="preserve">KLM|- Lane 6 - Minggu|15:30</t>
  </si>
  <si>
    <t xml:space="preserve">Little - Lane 6 - Minggu - 16:15</t>
  </si>
  <si>
    <t xml:space="preserve">KLM|- Lane 6 - Minggu|16:15</t>
  </si>
  <si>
    <t xml:space="preserve"> - Lane 6 - Minggu - 17:00</t>
  </si>
  <si>
    <t xml:space="preserve">KLM|- Lane 6 - Minggu|17:00</t>
  </si>
  <si>
    <t xml:space="preserve">KWC</t>
  </si>
  <si>
    <t xml:space="preserve">Baby - Lane 1 - Senin - 08:00</t>
  </si>
  <si>
    <t xml:space="preserve">KWC|- Lane 1 - Senin|08:00</t>
  </si>
  <si>
    <t xml:space="preserve">Baby - Lane 1 - Senin - 08:45</t>
  </si>
  <si>
    <t xml:space="preserve">Sri</t>
  </si>
  <si>
    <t xml:space="preserve">KWC|- Lane 1 - Senin|08:45</t>
  </si>
  <si>
    <t xml:space="preserve">Baby - Lane 1 - Senin - 09:30</t>
  </si>
  <si>
    <t xml:space="preserve">KWC|- Lane 1 - Senin|09:30</t>
  </si>
  <si>
    <t xml:space="preserve">Baby - Lane 1 - Senin - 10:15</t>
  </si>
  <si>
    <t xml:space="preserve">KWC|- Lane 1 - Senin|10:15</t>
  </si>
  <si>
    <t xml:space="preserve">Baby - Lane 1 - Senin - 11:00</t>
  </si>
  <si>
    <t xml:space="preserve">KWC|- Lane 1 - Senin|11:00</t>
  </si>
  <si>
    <t xml:space="preserve">Baby - Lane 1 - Senin - 11:45</t>
  </si>
  <si>
    <t xml:space="preserve">KWC|- Lane 1 - Senin|11:45</t>
  </si>
  <si>
    <t xml:space="preserve">Baby - Lane 1 - Senin - 13:15</t>
  </si>
  <si>
    <t xml:space="preserve">KWC|- Lane 1 - Senin|13:15</t>
  </si>
  <si>
    <t xml:space="preserve">Baby - Lane 1 - Senin - 14:00</t>
  </si>
  <si>
    <t xml:space="preserve">KWC|- Lane 1 - Senin|14:00</t>
  </si>
  <si>
    <t xml:space="preserve">Baby - Lane 1 - Senin - 14:45</t>
  </si>
  <si>
    <t xml:space="preserve">KWC|- Lane 1 - Senin|14:45</t>
  </si>
  <si>
    <t xml:space="preserve">Baby - Lane 1 - Senin - 15:30</t>
  </si>
  <si>
    <t xml:space="preserve">KWC|- Lane 1 - Senin|15:30</t>
  </si>
  <si>
    <t xml:space="preserve">Baby - Lane 1 - Senin - 16:15</t>
  </si>
  <si>
    <t xml:space="preserve">KWC|- Lane 1 - Senin|16:15</t>
  </si>
  <si>
    <t xml:space="preserve">Baby - Lane 1 - Senin - 17:00</t>
  </si>
  <si>
    <t xml:space="preserve">KWC|- Lane 1 - Senin|17:00</t>
  </si>
  <si>
    <t xml:space="preserve">Baby - Lane 1 - Selasa - 08:00</t>
  </si>
  <si>
    <t xml:space="preserve">KWC|- Lane 1 - Selasa|08:00</t>
  </si>
  <si>
    <t xml:space="preserve">Baby - Lane 1 - Selasa - 08:45</t>
  </si>
  <si>
    <t xml:space="preserve">KWC|- Lane 1 - Selasa|08:45</t>
  </si>
  <si>
    <t xml:space="preserve">Baby - Lane 1 - Selasa - 09:30</t>
  </si>
  <si>
    <t xml:space="preserve">Eve</t>
  </si>
  <si>
    <t xml:space="preserve">KWC|- Lane 1 - Selasa|09:30</t>
  </si>
  <si>
    <t xml:space="preserve">Baby - Lane 1 - Selasa - 10:15</t>
  </si>
  <si>
    <t xml:space="preserve">KWC|- Lane 1 - Selasa|10:15</t>
  </si>
  <si>
    <t xml:space="preserve">Baby - Lane 1 - Selasa - 11:00</t>
  </si>
  <si>
    <t xml:space="preserve">KWC|- Lane 1 - Selasa|11:00</t>
  </si>
  <si>
    <t xml:space="preserve">Baby - Lane 1 - Selasa - 11:45</t>
  </si>
  <si>
    <t xml:space="preserve">KWC|- Lane 1 - Selasa|11:45</t>
  </si>
  <si>
    <t xml:space="preserve">Baby - Lane 1 - Selasa - 13:15</t>
  </si>
  <si>
    <t xml:space="preserve">KWC|- Lane 1 - Selasa|13:15</t>
  </si>
  <si>
    <t xml:space="preserve">Baby - Lane 1 - Selasa - 14:00</t>
  </si>
  <si>
    <t xml:space="preserve">KWC|- Lane 1 - Selasa|14:00</t>
  </si>
  <si>
    <t xml:space="preserve">Baby - Lane 1 - Selasa - 14:45</t>
  </si>
  <si>
    <t xml:space="preserve">KWC|- Lane 1 - Selasa|14:45</t>
  </si>
  <si>
    <t xml:space="preserve">Baby - Lane 1 - Selasa - 15:30</t>
  </si>
  <si>
    <t xml:space="preserve">KWC|- Lane 1 - Selasa|15:30</t>
  </si>
  <si>
    <t xml:space="preserve">Baby - Lane 1 - Selasa - 16:15</t>
  </si>
  <si>
    <t xml:space="preserve">KWC|- Lane 1 - Selasa|16:15</t>
  </si>
  <si>
    <t xml:space="preserve">Baby - Lane 1 - Selasa - 17:00</t>
  </si>
  <si>
    <t xml:space="preserve">KWC|- Lane 1 - Selasa|17:00</t>
  </si>
  <si>
    <t xml:space="preserve">Baby - Lane 1 - Rabu - 08:00</t>
  </si>
  <si>
    <t xml:space="preserve">KWC|- Lane 1 - Rabu|08:00</t>
  </si>
  <si>
    <t xml:space="preserve">Baby - Lane 1 - Rabu - 08:45</t>
  </si>
  <si>
    <t xml:space="preserve">KWC|- Lane 1 - Rabu|08:45</t>
  </si>
  <si>
    <t xml:space="preserve">Baby - Lane 1 - Rabu - 09:30</t>
  </si>
  <si>
    <t xml:space="preserve">Nabila</t>
  </si>
  <si>
    <t xml:space="preserve">KWC|- Lane 1 - Rabu|09:30</t>
  </si>
  <si>
    <t xml:space="preserve">Baby - Lane 1 - Rabu - 10:15</t>
  </si>
  <si>
    <t xml:space="preserve">KWC|- Lane 1 - Rabu|10:15</t>
  </si>
  <si>
    <t xml:space="preserve">Baby - Lane 1 - Rabu - 11:00</t>
  </si>
  <si>
    <t xml:space="preserve">Andreas</t>
  </si>
  <si>
    <t xml:space="preserve">KWC|- Lane 1 - Rabu|11:00</t>
  </si>
  <si>
    <t xml:space="preserve">Baby - Lane 1 - Rabu - 11:45</t>
  </si>
  <si>
    <t xml:space="preserve">KWC|- Lane 1 - Rabu|11:45</t>
  </si>
  <si>
    <t xml:space="preserve">Baby - Lane 1 - Rabu - 13:15</t>
  </si>
  <si>
    <t xml:space="preserve">KWC|- Lane 1 - Rabu|13:15</t>
  </si>
  <si>
    <t xml:space="preserve">Baby - Lane 1 - Rabu - 14:00</t>
  </si>
  <si>
    <t xml:space="preserve">KWC|- Lane 1 - Rabu|14:00</t>
  </si>
  <si>
    <t xml:space="preserve">Baby - Lane 1 - Rabu - 14:45</t>
  </si>
  <si>
    <t xml:space="preserve">KWC|- Lane 1 - Rabu|14:45</t>
  </si>
  <si>
    <t xml:space="preserve">Baby - Lane 1 - Rabu - 15:30</t>
  </si>
  <si>
    <t xml:space="preserve">KWC|- Lane 1 - Rabu|15:30</t>
  </si>
  <si>
    <t xml:space="preserve">Baby - Lane 1 - Rabu - 16:15</t>
  </si>
  <si>
    <t xml:space="preserve">KWC|- Lane 1 - Rabu|16:15</t>
  </si>
  <si>
    <t xml:space="preserve">Baby - Lane 1 - Rabu - 17:00</t>
  </si>
  <si>
    <t xml:space="preserve">KWC|- Lane 1 - Rabu|17:00</t>
  </si>
  <si>
    <t xml:space="preserve">Baby - Lane 1 - Kamis - 08:00</t>
  </si>
  <si>
    <t xml:space="preserve">KWC|- Lane 1 - Kamis|08:00</t>
  </si>
  <si>
    <t xml:space="preserve">Baby - Lane 1 - Kamis - 08:45</t>
  </si>
  <si>
    <t xml:space="preserve">KWC|- Lane 1 - Kamis|08:45</t>
  </si>
  <si>
    <t xml:space="preserve">Baby - Lane 1 - Kamis - 09:30</t>
  </si>
  <si>
    <t xml:space="preserve">KWC|- Lane 1 - Kamis|09:30</t>
  </si>
  <si>
    <t xml:space="preserve">Baby - Lane 1 - Kamis - 10:15</t>
  </si>
  <si>
    <t xml:space="preserve">KWC|- Lane 1 - Kamis|10:15</t>
  </si>
  <si>
    <t xml:space="preserve">Baby - Lane 1 - Kamis - 11:00</t>
  </si>
  <si>
    <t xml:space="preserve">KWC|- Lane 1 - Kamis|11:00</t>
  </si>
  <si>
    <t xml:space="preserve">Baby - Lane 1 - Kamis - 11:45</t>
  </si>
  <si>
    <t xml:space="preserve">KWC|- Lane 1 - Kamis|11:45</t>
  </si>
  <si>
    <t xml:space="preserve">Baby - Lane 1 - Kamis - 13:15</t>
  </si>
  <si>
    <t xml:space="preserve">KWC|- Lane 1 - Kamis|13:15</t>
  </si>
  <si>
    <t xml:space="preserve">Baby - Lane 1 - Kamis - 14:00</t>
  </si>
  <si>
    <t xml:space="preserve">KWC|- Lane 1 - Kamis|14:00</t>
  </si>
  <si>
    <t xml:space="preserve">Baby - Lane 1 - Kamis - 14:45</t>
  </si>
  <si>
    <t xml:space="preserve">KWC|- Lane 1 - Kamis|14:45</t>
  </si>
  <si>
    <t xml:space="preserve">Baby - Lane 1 - Kamis - 15:30</t>
  </si>
  <si>
    <t xml:space="preserve">KWC|- Lane 1 - Kamis|15:30</t>
  </si>
  <si>
    <t xml:space="preserve">Baby - Lane 1 - Kamis - 16:15</t>
  </si>
  <si>
    <t xml:space="preserve">Icis</t>
  </si>
  <si>
    <t xml:space="preserve">KWC|- Lane 1 - Kamis|16:15</t>
  </si>
  <si>
    <t xml:space="preserve">Baby - Lane 1 - Kamis - 17:00</t>
  </si>
  <si>
    <t xml:space="preserve">KWC|- Lane 1 - Kamis|17:00</t>
  </si>
  <si>
    <t xml:space="preserve">Baby - Lane 1 - Jumat - 08:00</t>
  </si>
  <si>
    <t xml:space="preserve">KWC|- Lane 1 - Jumat|08:00</t>
  </si>
  <si>
    <t xml:space="preserve">Baby - Lane 1 - Jumat - 08:45</t>
  </si>
  <si>
    <t xml:space="preserve">KWC|- Lane 1 - Jumat|08:45</t>
  </si>
  <si>
    <t xml:space="preserve">Baby - Lane 1 - Jumat - 09:30</t>
  </si>
  <si>
    <t xml:space="preserve">KWC|- Lane 1 - Jumat|09:30</t>
  </si>
  <si>
    <t xml:space="preserve">Baby - Lane 1 - Jumat - 10:15</t>
  </si>
  <si>
    <t xml:space="preserve">KWC|- Lane 1 - Jumat|10:15</t>
  </si>
  <si>
    <t xml:space="preserve">Baby - Lane 1 - Jumat - 11:00</t>
  </si>
  <si>
    <t xml:space="preserve">KWC|- Lane 1 - Jumat|11:00</t>
  </si>
  <si>
    <t xml:space="preserve">Baby - Lane 1 - Jumat - 11:45</t>
  </si>
  <si>
    <t xml:space="preserve">KWC|- Lane 1 - Jumat|11:45</t>
  </si>
  <si>
    <t xml:space="preserve">Baby - Lane 1 - Jumat - 13:15</t>
  </si>
  <si>
    <t xml:space="preserve">KWC|- Lane 1 - Jumat|13:15</t>
  </si>
  <si>
    <t xml:space="preserve">Baby - Lane 1 - Jumat - 14:00</t>
  </si>
  <si>
    <t xml:space="preserve">KWC|- Lane 1 - Jumat|14:00</t>
  </si>
  <si>
    <t xml:space="preserve">Baby - Lane 1 - Jumat - 14:45</t>
  </si>
  <si>
    <t xml:space="preserve">KWC|- Lane 1 - Jumat|14:45</t>
  </si>
  <si>
    <t xml:space="preserve">Baby - Lane 1 - Jumat - 15:30</t>
  </si>
  <si>
    <t xml:space="preserve">KWC|- Lane 1 - Jumat|15:30</t>
  </si>
  <si>
    <t xml:space="preserve">Baby - Lane 1 - Jumat - 16:15</t>
  </si>
  <si>
    <t xml:space="preserve">Deyon</t>
  </si>
  <si>
    <t xml:space="preserve">KWC|- Lane 1 - Jumat|16:15</t>
  </si>
  <si>
    <t xml:space="preserve">Baby - Lane 1 - Jumat - 17:00</t>
  </si>
  <si>
    <t xml:space="preserve">KWC|- Lane 1 - Jumat|17:00</t>
  </si>
  <si>
    <t xml:space="preserve">Baby - Lane 1 - Sabtu - 08:00</t>
  </si>
  <si>
    <t xml:space="preserve">KWC|- Lane 1 - Sabtu|08:00</t>
  </si>
  <si>
    <t xml:space="preserve">Baby - Lane 1 - Sabtu - 08:45</t>
  </si>
  <si>
    <t xml:space="preserve">KWC|- Lane 1 - Sabtu|08:45</t>
  </si>
  <si>
    <t xml:space="preserve">Baby - Lane 1 - Sabtu - 09:30</t>
  </si>
  <si>
    <t xml:space="preserve">KWC|- Lane 1 - Sabtu|09:30</t>
  </si>
  <si>
    <t xml:space="preserve">Baby - Lane 1 - Sabtu - 10:15</t>
  </si>
  <si>
    <t xml:space="preserve">KWC|- Lane 1 - Sabtu|10:15</t>
  </si>
  <si>
    <t xml:space="preserve">Baby - Lane 1 - Sabtu - 11:00</t>
  </si>
  <si>
    <t xml:space="preserve">KWC|- Lane 1 - Sabtu|11:00</t>
  </si>
  <si>
    <t xml:space="preserve">Baby - Lane 1 - Sabtu - 11:45</t>
  </si>
  <si>
    <t xml:space="preserve">KWC|- Lane 1 - Sabtu|11:45</t>
  </si>
  <si>
    <t xml:space="preserve">Baby - Lane 1 - Sabtu - 13:15</t>
  </si>
  <si>
    <t xml:space="preserve">KWC|- Lane 1 - Sabtu|13:15</t>
  </si>
  <si>
    <t xml:space="preserve">Baby - Lane 1 - Sabtu - 14:00</t>
  </si>
  <si>
    <t xml:space="preserve">KWC|- Lane 1 - Sabtu|14:00</t>
  </si>
  <si>
    <t xml:space="preserve">Baby - Lane 1 - Sabtu - 14:45</t>
  </si>
  <si>
    <t xml:space="preserve">KWC|- Lane 1 - Sabtu|14:45</t>
  </si>
  <si>
    <t xml:space="preserve">Baby - Lane 1 - Sabtu - 15:30</t>
  </si>
  <si>
    <t xml:space="preserve">KWC|- Lane 1 - Sabtu|15:30</t>
  </si>
  <si>
    <t xml:space="preserve">Baby - Lane 1 - Sabtu - 16:15</t>
  </si>
  <si>
    <t xml:space="preserve">KWC|- Lane 1 - Sabtu|16:15</t>
  </si>
  <si>
    <t xml:space="preserve">Baby - Lane 1 - Sabtu - 17:00</t>
  </si>
  <si>
    <t xml:space="preserve">KWC|- Lane 1 - Sabtu|17:00</t>
  </si>
  <si>
    <t xml:space="preserve">Baby - Lane 1 - Minggu - 08:00</t>
  </si>
  <si>
    <t xml:space="preserve">KWC|- Lane 1 - Minggu|08:00</t>
  </si>
  <si>
    <t xml:space="preserve">Baby - Lane 1 - Minggu - 08:45</t>
  </si>
  <si>
    <t xml:space="preserve">KWC|- Lane 1 - Minggu|08:45</t>
  </si>
  <si>
    <t xml:space="preserve">Baby - Lane 1 - Minggu - 09:30</t>
  </si>
  <si>
    <t xml:space="preserve">KWC|- Lane 1 - Minggu|09:30</t>
  </si>
  <si>
    <t xml:space="preserve">Baby - Lane 1 - Minggu - 10:15</t>
  </si>
  <si>
    <t xml:space="preserve">KWC|- Lane 1 - Minggu|10:15</t>
  </si>
  <si>
    <t xml:space="preserve">Baby - Lane 1 - Minggu - 11:00</t>
  </si>
  <si>
    <t xml:space="preserve">KWC|- Lane 1 - Minggu|11:00</t>
  </si>
  <si>
    <t xml:space="preserve">Baby - Lane 1 - Minggu - 11:45</t>
  </si>
  <si>
    <t xml:space="preserve">KWC|- Lane 1 - Minggu|11:45</t>
  </si>
  <si>
    <t xml:space="preserve">Baby - Lane 1 - Minggu - 13:15</t>
  </si>
  <si>
    <t xml:space="preserve">KWC|- Lane 1 - Minggu|13:15</t>
  </si>
  <si>
    <t xml:space="preserve">Baby - Lane 1 - Minggu - 14:00</t>
  </si>
  <si>
    <t xml:space="preserve">KWC|- Lane 1 - Minggu|14:00</t>
  </si>
  <si>
    <t xml:space="preserve">Baby - Lane 1 - Minggu - 14:45</t>
  </si>
  <si>
    <t xml:space="preserve">KWC|- Lane 1 - Minggu|14:45</t>
  </si>
  <si>
    <t xml:space="preserve">Baby - Lane 1 - Minggu - 15:30</t>
  </si>
  <si>
    <t xml:space="preserve">KWC|- Lane 1 - Minggu|15:30</t>
  </si>
  <si>
    <t xml:space="preserve">Baby - Lane 1 - Minggu - 16:15</t>
  </si>
  <si>
    <t xml:space="preserve">KWC|- Lane 1 - Minggu|16:15</t>
  </si>
  <si>
    <t xml:space="preserve">Baby - Lane 1 - Minggu - 17:00</t>
  </si>
  <si>
    <t xml:space="preserve">KWC|- Lane 1 - Minggu|17:00</t>
  </si>
  <si>
    <t xml:space="preserve">KWC|- Lane 1 - Senin|07:30</t>
  </si>
  <si>
    <t xml:space="preserve">KWC|- Lane 1 - Selasa|07:30</t>
  </si>
  <si>
    <t xml:space="preserve">KWC|- Lane 1 - Rabu|07:30</t>
  </si>
  <si>
    <t xml:space="preserve">KWC|- Lane 1 - Kamis|07:30</t>
  </si>
  <si>
    <t xml:space="preserve">KWC|- Lane 1 - Jumat|07:30</t>
  </si>
  <si>
    <t xml:space="preserve">KWC|- Lane 1 - Sabtu|07:30</t>
  </si>
  <si>
    <t xml:space="preserve">KWC|- Lane 1 - Minggu|07:30</t>
  </si>
  <si>
    <t xml:space="preserve">KWC|- Lane 1 - Senin|18:00</t>
  </si>
  <si>
    <t xml:space="preserve">KWC|- Lane 1 - Selasa|18:00</t>
  </si>
  <si>
    <t xml:space="preserve">KWC|- Lane 1 - Rabu|18:00</t>
  </si>
  <si>
    <t xml:space="preserve">KWC|- Lane 1 - Kamis|18:00</t>
  </si>
  <si>
    <t xml:space="preserve">Frido</t>
  </si>
  <si>
    <t xml:space="preserve">KWC|- Lane 1 - Jumat|18:00</t>
  </si>
  <si>
    <t xml:space="preserve">KWC|- Lane 1 - Sabtu|18:00</t>
  </si>
  <si>
    <t xml:space="preserve">KWC|- Lane 1 - Minggu|18:00</t>
  </si>
  <si>
    <t xml:space="preserve">Tiny - Lane 2 - Senin - 08:00</t>
  </si>
  <si>
    <t xml:space="preserve">KWC|- Lane 2 - Senin|08:00</t>
  </si>
  <si>
    <t xml:space="preserve">Tiny - Lane 2 - Senin - 08:45</t>
  </si>
  <si>
    <t xml:space="preserve">KWC|- Lane 2 - Senin|08:45</t>
  </si>
  <si>
    <t xml:space="preserve">Tiny - Lane 2 - Senin - 09:30</t>
  </si>
  <si>
    <t xml:space="preserve">KWC|- Lane 2 - Senin|09:30</t>
  </si>
  <si>
    <t xml:space="preserve">Tiny - Lane 2 - Senin - 10:15</t>
  </si>
  <si>
    <t xml:space="preserve">KWC|- Lane 2 - Senin|10:15</t>
  </si>
  <si>
    <t xml:space="preserve">Tiny - Lane 2 - Senin - 11:00</t>
  </si>
  <si>
    <t xml:space="preserve">KWC|- Lane 2 - Senin|11:00</t>
  </si>
  <si>
    <t xml:space="preserve">Tiny - Lane 2 - Senin - 11:45</t>
  </si>
  <si>
    <t xml:space="preserve">KWC|- Lane 2 - Senin|11:45</t>
  </si>
  <si>
    <t xml:space="preserve">Tiny - Lane 2 - Senin - 13:15</t>
  </si>
  <si>
    <t xml:space="preserve">KWC|- Lane 2 - Senin|13:15</t>
  </si>
  <si>
    <t xml:space="preserve">Tiny - Lane 2 - Senin - 14:00</t>
  </si>
  <si>
    <t xml:space="preserve">KWC|- Lane 2 - Senin|14:00</t>
  </si>
  <si>
    <t xml:space="preserve">Tiny - Lane 2 - Senin - 14:45</t>
  </si>
  <si>
    <t xml:space="preserve">KWC|- Lane 2 - Senin|14:45</t>
  </si>
  <si>
    <t xml:space="preserve">Tiny - Lane 2 - Senin - 15:30</t>
  </si>
  <si>
    <t xml:space="preserve">KWC|- Lane 2 - Senin|15:30</t>
  </si>
  <si>
    <t xml:space="preserve">Tiny - Lane 2 - Senin - 16:15</t>
  </si>
  <si>
    <t xml:space="preserve">KWC|- Lane 2 - Senin|16:15</t>
  </si>
  <si>
    <t xml:space="preserve">Tiny - Lane 2 - Senin - 17:00</t>
  </si>
  <si>
    <t xml:space="preserve">KWC|- Lane 2 - Senin|17:00</t>
  </si>
  <si>
    <t xml:space="preserve">Tiny - Lane 2 - Selasa - 08:00</t>
  </si>
  <si>
    <t xml:space="preserve">KWC|- Lane 2 - Selasa|08:00</t>
  </si>
  <si>
    <t xml:space="preserve">Tiny - Lane 2 - Selasa - 08:45</t>
  </si>
  <si>
    <t xml:space="preserve">KWC|- Lane 2 - Selasa|08:45</t>
  </si>
  <si>
    <t xml:space="preserve">Tiny - Lane 2 - Selasa - 09:30</t>
  </si>
  <si>
    <t xml:space="preserve">KWC|- Lane 2 - Selasa|09:30</t>
  </si>
  <si>
    <t xml:space="preserve">Tiny - Lane 2 - Selasa - 10:15</t>
  </si>
  <si>
    <t xml:space="preserve">KWC|- Lane 2 - Selasa|10:15</t>
  </si>
  <si>
    <t xml:space="preserve">Tiny - Lane 2 - Selasa - 11:00</t>
  </si>
  <si>
    <t xml:space="preserve">KWC|- Lane 2 - Selasa|11:00</t>
  </si>
  <si>
    <t xml:space="preserve">Tiny - Lane 2 - Selasa - 11:45</t>
  </si>
  <si>
    <t xml:space="preserve">KWC|- Lane 2 - Selasa|11:45</t>
  </si>
  <si>
    <t xml:space="preserve">Tiny - Lane 2 - Selasa - 13:15</t>
  </si>
  <si>
    <t xml:space="preserve">KWC|- Lane 2 - Selasa|13:15</t>
  </si>
  <si>
    <t xml:space="preserve">Tiny - Lane 2 - Selasa - 14:00</t>
  </si>
  <si>
    <t xml:space="preserve">KWC|- Lane 2 - Selasa|14:00</t>
  </si>
  <si>
    <t xml:space="preserve">Tiny - Lane 2 - Selasa - 14:45</t>
  </si>
  <si>
    <t xml:space="preserve">KWC|- Lane 2 - Selasa|14:45</t>
  </si>
  <si>
    <t xml:space="preserve">Tiny - Lane 2 - Selasa - 15:30</t>
  </si>
  <si>
    <t xml:space="preserve">KWC|- Lane 2 - Selasa|15:30</t>
  </si>
  <si>
    <t xml:space="preserve">Tiny - Lane 2 - Selasa - 16:15</t>
  </si>
  <si>
    <t xml:space="preserve">KWC|- Lane 2 - Selasa|16:15</t>
  </si>
  <si>
    <t xml:space="preserve">Tiny - Lane 2 - Selasa - 17:00</t>
  </si>
  <si>
    <t xml:space="preserve">KWC|- Lane 2 - Selasa|17:00</t>
  </si>
  <si>
    <t xml:space="preserve">Tiny - Lane 2 - Rabu - 08:00</t>
  </si>
  <si>
    <t xml:space="preserve">KWC|- Lane 2 - Rabu|08:00</t>
  </si>
  <si>
    <t xml:space="preserve">Tiny - Lane 2 - Rabu - 08:45</t>
  </si>
  <si>
    <t xml:space="preserve">KWC|- Lane 2 - Rabu|08:45</t>
  </si>
  <si>
    <t xml:space="preserve">Tiny - Lane 2 - Rabu - 09:30</t>
  </si>
  <si>
    <t xml:space="preserve">KWC|- Lane 2 - Rabu|09:30</t>
  </si>
  <si>
    <t xml:space="preserve">Tiny - Lane 2 - Rabu - 10:15</t>
  </si>
  <si>
    <t xml:space="preserve">KWC|- Lane 2 - Rabu|10:15</t>
  </si>
  <si>
    <t xml:space="preserve">Tiny - Lane 2 - Rabu - 11:00</t>
  </si>
  <si>
    <t xml:space="preserve">KWC|- Lane 2 - Rabu|11:00</t>
  </si>
  <si>
    <t xml:space="preserve">Tiny - Lane 2 - Rabu - 11:45</t>
  </si>
  <si>
    <t xml:space="preserve">KWC|- Lane 2 - Rabu|11:45</t>
  </si>
  <si>
    <t xml:space="preserve">Tiny - Lane 2 - Rabu - 13:15</t>
  </si>
  <si>
    <t xml:space="preserve">KWC|- Lane 2 - Rabu|13:15</t>
  </si>
  <si>
    <t xml:space="preserve">Tiny - Lane 2 - Rabu - 14:00</t>
  </si>
  <si>
    <t xml:space="preserve">KWC|- Lane 2 - Rabu|14:00</t>
  </si>
  <si>
    <t xml:space="preserve">Tiny - Lane 2 - Rabu - 14:45</t>
  </si>
  <si>
    <t xml:space="preserve">KWC|- Lane 2 - Rabu|14:45</t>
  </si>
  <si>
    <t xml:space="preserve">Tiny - Lane 2 - Rabu - 15:30</t>
  </si>
  <si>
    <t xml:space="preserve">KWC|- Lane 2 - Rabu|15:30</t>
  </si>
  <si>
    <t xml:space="preserve">Tiny - Lane 2 - Rabu - 16:15</t>
  </si>
  <si>
    <t xml:space="preserve">KWC|- Lane 2 - Rabu|16:15</t>
  </si>
  <si>
    <t xml:space="preserve">Tiny - Lane 2 - Rabu - 17:00</t>
  </si>
  <si>
    <t xml:space="preserve">KWC|- Lane 2 - Rabu|17:00</t>
  </si>
  <si>
    <t xml:space="preserve">Tiny - Lane 2 - Kamis - 08:00</t>
  </si>
  <si>
    <t xml:space="preserve">KWC|- Lane 2 - Kamis|08:00</t>
  </si>
  <si>
    <t xml:space="preserve">Tiny - Lane 2 - Kamis - 08:45</t>
  </si>
  <si>
    <t xml:space="preserve">KWC|- Lane 2 - Kamis|08:45</t>
  </si>
  <si>
    <t xml:space="preserve">Tiny - Lane 2 - Kamis - 09:30</t>
  </si>
  <si>
    <t xml:space="preserve">KWC|- Lane 2 - Kamis|09:30</t>
  </si>
  <si>
    <t xml:space="preserve">Tiny - Lane 2 - Kamis - 10:15</t>
  </si>
  <si>
    <t xml:space="preserve">KWC|- Lane 2 - Kamis|10:15</t>
  </si>
  <si>
    <t xml:space="preserve">Tiny - Lane 2 - Kamis - 11:00</t>
  </si>
  <si>
    <t xml:space="preserve">KWC|- Lane 2 - Kamis|11:00</t>
  </si>
  <si>
    <t xml:space="preserve">Tiny - Lane 2 - Kamis - 11:45</t>
  </si>
  <si>
    <t xml:space="preserve">KWC|- Lane 2 - Kamis|11:45</t>
  </si>
  <si>
    <t xml:space="preserve">Tiny - Lane 2 - Kamis - 13:15</t>
  </si>
  <si>
    <t xml:space="preserve">KWC|- Lane 2 - Kamis|13:15</t>
  </si>
  <si>
    <t xml:space="preserve">Tiny - Lane 2 - Kamis - 14:00</t>
  </si>
  <si>
    <t xml:space="preserve">KWC|- Lane 2 - Kamis|14:00</t>
  </si>
  <si>
    <t xml:space="preserve">Tiny - Lane 2 - Kamis - 14:45</t>
  </si>
  <si>
    <t xml:space="preserve">KWC|- Lane 2 - Kamis|14:45</t>
  </si>
  <si>
    <t xml:space="preserve">Tiny - Lane 2 - Kamis - 15:30</t>
  </si>
  <si>
    <t xml:space="preserve">KWC|- Lane 2 - Kamis|15:30</t>
  </si>
  <si>
    <t xml:space="preserve">Tiny - Lane 2 - Kamis - 16:15</t>
  </si>
  <si>
    <t xml:space="preserve">KWC|- Lane 2 - Kamis|16:15</t>
  </si>
  <si>
    <t xml:space="preserve">Tiny - Lane 2 - Kamis - 17:00</t>
  </si>
  <si>
    <t xml:space="preserve">KWC|- Lane 2 - Kamis|17:00</t>
  </si>
  <si>
    <t xml:space="preserve">Tiny - Lane 2 - Jumat - 08:00</t>
  </si>
  <si>
    <t xml:space="preserve">KWC|- Lane 2 - Jumat|08:00</t>
  </si>
  <si>
    <t xml:space="preserve">Tiny - Lane 2 - Jumat - 08:45</t>
  </si>
  <si>
    <t xml:space="preserve">KWC|- Lane 2 - Jumat|08:45</t>
  </si>
  <si>
    <t xml:space="preserve">Tiny - Lane 2 - Jumat - 09:30</t>
  </si>
  <si>
    <t xml:space="preserve">KWC|- Lane 2 - Jumat|09:30</t>
  </si>
  <si>
    <t xml:space="preserve">Tiny - Lane 2 - Jumat - 10:15</t>
  </si>
  <si>
    <t xml:space="preserve">KWC|- Lane 2 - Jumat|10:15</t>
  </si>
  <si>
    <t xml:space="preserve">Tiny - Lane 2 - Jumat - 11:00</t>
  </si>
  <si>
    <t xml:space="preserve">KWC|- Lane 2 - Jumat|11:00</t>
  </si>
  <si>
    <t xml:space="preserve">Tiny - Lane 2 - Jumat - 11:45</t>
  </si>
  <si>
    <t xml:space="preserve">KWC|- Lane 2 - Jumat|11:45</t>
  </si>
  <si>
    <t xml:space="preserve">Tiny - Lane 2 - Jumat - 13:15</t>
  </si>
  <si>
    <t xml:space="preserve">KWC|- Lane 2 - Jumat|13:15</t>
  </si>
  <si>
    <t xml:space="preserve">Tiny - Lane 2 - Jumat - 14:00</t>
  </si>
  <si>
    <t xml:space="preserve">KWC|- Lane 2 - Jumat|14:00</t>
  </si>
  <si>
    <t xml:space="preserve">Tiny - Lane 2 - Jumat - 14:45</t>
  </si>
  <si>
    <t xml:space="preserve">KWC|- Lane 2 - Jumat|14:45</t>
  </si>
  <si>
    <t xml:space="preserve">Tiny - Lane 2 - Jumat - 15:30</t>
  </si>
  <si>
    <t xml:space="preserve">KWC|- Lane 2 - Jumat|15:30</t>
  </si>
  <si>
    <t xml:space="preserve">Tiny - Lane 2 - Jumat - 16:15</t>
  </si>
  <si>
    <t xml:space="preserve">KWC|- Lane 2 - Jumat|16:15</t>
  </si>
  <si>
    <t xml:space="preserve">Tiny - Lane 2 - Jumat - 17:00</t>
  </si>
  <si>
    <t xml:space="preserve">KWC|- Lane 2 - Jumat|17:00</t>
  </si>
  <si>
    <t xml:space="preserve">Tiny - Lane 2 - Sabtu - 08:00</t>
  </si>
  <si>
    <t xml:space="preserve">KWC|- Lane 2 - Sabtu|08:00</t>
  </si>
  <si>
    <t xml:space="preserve">Tiny - Lane 2 - Sabtu - 08:45</t>
  </si>
  <si>
    <t xml:space="preserve">KWC|- Lane 2 - Sabtu|08:45</t>
  </si>
  <si>
    <t xml:space="preserve">Tiny - Lane 2 - Sabtu - 09:30</t>
  </si>
  <si>
    <t xml:space="preserve">KWC|- Lane 2 - Sabtu|09:30</t>
  </si>
  <si>
    <t xml:space="preserve">Tiny - Lane 2 - Sabtu - 10:15</t>
  </si>
  <si>
    <t xml:space="preserve">KWC|- Lane 2 - Sabtu|10:15</t>
  </si>
  <si>
    <t xml:space="preserve">Tiny - Lane 2 - Sabtu - 11:00</t>
  </si>
  <si>
    <t xml:space="preserve">KWC|- Lane 2 - Sabtu|11:00</t>
  </si>
  <si>
    <t xml:space="preserve">Tiny - Lane 2 - Sabtu - 11:45</t>
  </si>
  <si>
    <t xml:space="preserve">KWC|- Lane 2 - Sabtu|11:45</t>
  </si>
  <si>
    <t xml:space="preserve">Tiny - Lane 2 - Sabtu - 13:15</t>
  </si>
  <si>
    <t xml:space="preserve">KWC|- Lane 2 - Sabtu|13:15</t>
  </si>
  <si>
    <t xml:space="preserve">Tiny - Lane 2 - Sabtu - 14:00</t>
  </si>
  <si>
    <t xml:space="preserve">KWC|- Lane 2 - Sabtu|14:00</t>
  </si>
  <si>
    <t xml:space="preserve">Tiny - Lane 2 - Sabtu - 14:45</t>
  </si>
  <si>
    <t xml:space="preserve">KWC|- Lane 2 - Sabtu|14:45</t>
  </si>
  <si>
    <t xml:space="preserve">Tiny - Lane 2 - Sabtu - 15:30</t>
  </si>
  <si>
    <t xml:space="preserve">KWC|- Lane 2 - Sabtu|15:30</t>
  </si>
  <si>
    <t xml:space="preserve">Tiny - Lane 2 - Sabtu - 16:15</t>
  </si>
  <si>
    <t xml:space="preserve">KWC|- Lane 2 - Sabtu|16:15</t>
  </si>
  <si>
    <t xml:space="preserve">Tiny - Lane 2 - Sabtu - 17:00</t>
  </si>
  <si>
    <t xml:space="preserve">KWC|- Lane 2 - Sabtu|17:00</t>
  </si>
  <si>
    <t xml:space="preserve">Tiny - Lane 2 - Minggu - 08:00</t>
  </si>
  <si>
    <t xml:space="preserve">KWC|- Lane 2 - Minggu|08:00</t>
  </si>
  <si>
    <t xml:space="preserve">Tiny - Lane 2 - Minggu - 08:45</t>
  </si>
  <si>
    <t xml:space="preserve">KWC|- Lane 2 - Minggu|08:45</t>
  </si>
  <si>
    <t xml:space="preserve">Tiny - Lane 2 - Minggu - 09:30</t>
  </si>
  <si>
    <t xml:space="preserve">KWC|- Lane 2 - Minggu|09:30</t>
  </si>
  <si>
    <t xml:space="preserve">Tiny - Lane 2 - Minggu - 10:15</t>
  </si>
  <si>
    <t xml:space="preserve">KWC|- Lane 2 - Minggu|10:15</t>
  </si>
  <si>
    <t xml:space="preserve">Tiny - Lane 2 - Minggu - 11:00</t>
  </si>
  <si>
    <t xml:space="preserve">KWC|- Lane 2 - Minggu|11:00</t>
  </si>
  <si>
    <t xml:space="preserve">Tiny - Lane 2 - Minggu - 11:45</t>
  </si>
  <si>
    <t xml:space="preserve">KWC|- Lane 2 - Minggu|11:45</t>
  </si>
  <si>
    <t xml:space="preserve">Tiny - Lane 2 - Minggu - 13:15</t>
  </si>
  <si>
    <t xml:space="preserve"> </t>
  </si>
  <si>
    <t xml:space="preserve">KWC|- Lane 2 - Minggu|13:15</t>
  </si>
  <si>
    <t xml:space="preserve">Tiny - Lane 2 - Minggu - 14:00</t>
  </si>
  <si>
    <t xml:space="preserve">KWC|- Lane 2 - Minggu|14:00</t>
  </si>
  <si>
    <t xml:space="preserve">Tiny - Lane 2 - Minggu - 14:45</t>
  </si>
  <si>
    <t xml:space="preserve">KWC|- Lane 2 - Minggu|14:45</t>
  </si>
  <si>
    <t xml:space="preserve">Tiny - Lane 2 - Minggu - 15:30</t>
  </si>
  <si>
    <t xml:space="preserve">KWC|- Lane 2 - Minggu|15:30</t>
  </si>
  <si>
    <t xml:space="preserve">Tiny - Lane 2 - Minggu - 16:15</t>
  </si>
  <si>
    <t xml:space="preserve">KWC|- Lane 2 - Minggu|16:15</t>
  </si>
  <si>
    <t xml:space="preserve">Tiny - Lane 2 - Minggu - 17:00</t>
  </si>
  <si>
    <t xml:space="preserve">KWC|- Lane 2 - Minggu|17:00</t>
  </si>
  <si>
    <t xml:space="preserve">Little - Lane 3 - Senin - 08:15</t>
  </si>
  <si>
    <t xml:space="preserve">KWC|- Lane 3 - Senin|08:15</t>
  </si>
  <si>
    <t xml:space="preserve">Little - Lane 3 - Senin - 09:00</t>
  </si>
  <si>
    <t xml:space="preserve">KWC|- Lane 3 - Senin|09:00</t>
  </si>
  <si>
    <t xml:space="preserve">Little - Lane 3 - Senin - 09:45</t>
  </si>
  <si>
    <t xml:space="preserve">KWC|- Lane 3 - Senin|09:45</t>
  </si>
  <si>
    <t xml:space="preserve">Little - Lane 3 - Senin - 10:30</t>
  </si>
  <si>
    <t xml:space="preserve">KWC|- Lane 3 - Senin|10:30</t>
  </si>
  <si>
    <t xml:space="preserve">Little - Lane 3 - Senin - 11:15</t>
  </si>
  <si>
    <t xml:space="preserve">KWC|- Lane 3 - Senin|11:15</t>
  </si>
  <si>
    <t xml:space="preserve">Little - Lane 3 - Senin - 12:00</t>
  </si>
  <si>
    <t xml:space="preserve">KWC|- Lane 3 - Senin|12:00</t>
  </si>
  <si>
    <t xml:space="preserve">Little - Lane 3 - Senin - 13:30</t>
  </si>
  <si>
    <t xml:space="preserve">KWC|- Lane 3 - Senin|13:30</t>
  </si>
  <si>
    <t xml:space="preserve">Little - Lane 3 - Senin - 14:15</t>
  </si>
  <si>
    <t xml:space="preserve">KWC|- Lane 3 - Senin|14:15</t>
  </si>
  <si>
    <t xml:space="preserve">Little - Lane 3 - Senin - 15:00</t>
  </si>
  <si>
    <t xml:space="preserve">KWC|- Lane 3 - Senin|15:00</t>
  </si>
  <si>
    <t xml:space="preserve">Little - Lane 3 - Senin - 15:45</t>
  </si>
  <si>
    <t xml:space="preserve">KWC|- Lane 3 - Senin|15:45</t>
  </si>
  <si>
    <t xml:space="preserve">Little - Lane 3 - Senin - 16:30</t>
  </si>
  <si>
    <t xml:space="preserve">KWC|- Lane 3 - Senin|16:30</t>
  </si>
  <si>
    <t xml:space="preserve">Little - Lane 3 - Senin - 17:15</t>
  </si>
  <si>
    <t xml:space="preserve">KWC|- Lane 3 - Senin|17:15</t>
  </si>
  <si>
    <t xml:space="preserve">Little - Lane 3 - Selasa - 08:15</t>
  </si>
  <si>
    <t xml:space="preserve">KWC|- Lane 3 - Selasa|08:15</t>
  </si>
  <si>
    <t xml:space="preserve">Little - Lane 3 - Selasa - 09:00</t>
  </si>
  <si>
    <t xml:space="preserve">KWC|- Lane 3 - Selasa|09:00</t>
  </si>
  <si>
    <t xml:space="preserve">Little - Lane 3 - Selasa - 09:45</t>
  </si>
  <si>
    <t xml:space="preserve">KWC|- Lane 3 - Selasa|09:45</t>
  </si>
  <si>
    <t xml:space="preserve">Little - Lane 3 - Selasa - 10:30</t>
  </si>
  <si>
    <t xml:space="preserve">KWC|- Lane 3 - Selasa|10:30</t>
  </si>
  <si>
    <t xml:space="preserve">Little - Lane 3 - Selasa - 11:15</t>
  </si>
  <si>
    <t xml:space="preserve">KWC|- Lane 3 - Selasa|11:15</t>
  </si>
  <si>
    <t xml:space="preserve">Little - Lane 3 - Selasa - 12:00</t>
  </si>
  <si>
    <t xml:space="preserve">KWC|- Lane 3 - Selasa|12:00</t>
  </si>
  <si>
    <t xml:space="preserve">Little - Lane 3 - Selasa - 13:30</t>
  </si>
  <si>
    <t xml:space="preserve">KWC|- Lane 3 - Selasa|13:30</t>
  </si>
  <si>
    <t xml:space="preserve">Little - Lane 3 - Selasa - 14:15</t>
  </si>
  <si>
    <t xml:space="preserve">Eriek</t>
  </si>
  <si>
    <t xml:space="preserve">KWC|- Lane 3 - Selasa|14:15</t>
  </si>
  <si>
    <t xml:space="preserve">Little - Lane 3 - Selasa - 15:00</t>
  </si>
  <si>
    <t xml:space="preserve">KWC|- Lane 3 - Selasa|15:00</t>
  </si>
  <si>
    <t xml:space="preserve">Little - Lane 3 - Selasa - 15:45</t>
  </si>
  <si>
    <t xml:space="preserve">KWC|- Lane 3 - Selasa|15:45</t>
  </si>
  <si>
    <t xml:space="preserve">Little - Lane 3 - Selasa - 16:30</t>
  </si>
  <si>
    <t xml:space="preserve">KWC|- Lane 3 - Selasa|16:30</t>
  </si>
  <si>
    <t xml:space="preserve">Little - Lane 3 - Selasa - 17:15</t>
  </si>
  <si>
    <t xml:space="preserve">KWC|- Lane 3 - Selasa|17:15</t>
  </si>
  <si>
    <t xml:space="preserve">Little - Lane 3 - Rabu - 08:15</t>
  </si>
  <si>
    <t xml:space="preserve">KWC|- Lane 3 - Rabu|08:15</t>
  </si>
  <si>
    <t xml:space="preserve">Little - Lane 3 - Rabu - 09:00</t>
  </si>
  <si>
    <t xml:space="preserve">KWC|- Lane 3 - Rabu|09:00</t>
  </si>
  <si>
    <t xml:space="preserve">Little - Lane 3 - Rabu - 09:45</t>
  </si>
  <si>
    <t xml:space="preserve">KWC|- Lane 3 - Rabu|09:45</t>
  </si>
  <si>
    <t xml:space="preserve">Little - Lane 3 - Rabu - 10:30</t>
  </si>
  <si>
    <t xml:space="preserve">KWC|- Lane 3 - Rabu|10:30</t>
  </si>
  <si>
    <t xml:space="preserve">Little - Lane 3 - Rabu - 11:15</t>
  </si>
  <si>
    <t xml:space="preserve">KWC|- Lane 3 - Rabu|11:15</t>
  </si>
  <si>
    <t xml:space="preserve">Little - Lane 3 - Rabu - 12:00</t>
  </si>
  <si>
    <t xml:space="preserve">KWC|- Lane 3 - Rabu|12:00</t>
  </si>
  <si>
    <t xml:space="preserve">Little - Lane 3 - Rabu - 13:30</t>
  </si>
  <si>
    <t xml:space="preserve">KWC|- Lane 3 - Rabu|13:30</t>
  </si>
  <si>
    <t xml:space="preserve">Little - Lane 3 - Rabu - 14:15</t>
  </si>
  <si>
    <t xml:space="preserve">KWC|- Lane 3 - Rabu|14:15</t>
  </si>
  <si>
    <t xml:space="preserve">Little - Lane 3 - Rabu - 15:00</t>
  </si>
  <si>
    <t xml:space="preserve">KWC|- Lane 3 - Rabu|15:00</t>
  </si>
  <si>
    <t xml:space="preserve">Little - Lane 3 - Rabu - 15:45</t>
  </si>
  <si>
    <t xml:space="preserve">KWC|- Lane 3 - Rabu|15:45</t>
  </si>
  <si>
    <t xml:space="preserve">Little - Lane 3 - Rabu - 16:30</t>
  </si>
  <si>
    <t xml:space="preserve">KWC|- Lane 3 - Rabu|16:30</t>
  </si>
  <si>
    <t xml:space="preserve">Little - Lane 3 - Rabu - 17:15</t>
  </si>
  <si>
    <t xml:space="preserve">KWC|- Lane 3 - Rabu|17:15</t>
  </si>
  <si>
    <t xml:space="preserve">  </t>
  </si>
  <si>
    <t xml:space="preserve">KWC|- Lane 3 - Kamis|08:15</t>
  </si>
  <si>
    <t xml:space="preserve">Little - Lane 3 - Kamis - 09:00</t>
  </si>
  <si>
    <t xml:space="preserve">KWC|- Lane 3 - Kamis|09:00</t>
  </si>
  <si>
    <t xml:space="preserve">Little - Lane 3 - Kamis - 09:45</t>
  </si>
  <si>
    <t xml:space="preserve">KWC|- Lane 3 - Kamis|09:45</t>
  </si>
  <si>
    <t xml:space="preserve">Little - Lane 3 - Kamis - 10:30</t>
  </si>
  <si>
    <t xml:space="preserve">KWC|- Lane 3 - Kamis|10:30</t>
  </si>
  <si>
    <t xml:space="preserve">Little - Lane 3 - Kamis - 11:15</t>
  </si>
  <si>
    <t xml:space="preserve">KWC|- Lane 3 - Kamis|11:15</t>
  </si>
  <si>
    <t xml:space="preserve">Little - Lane 3 - Kamis - 12:00</t>
  </si>
  <si>
    <t xml:space="preserve">KWC|- Lane 3 - Kamis|12:00</t>
  </si>
  <si>
    <t xml:space="preserve">Little - Lane 3 - Kamis - 13:30</t>
  </si>
  <si>
    <t xml:space="preserve">KWC|- Lane 3 - Kamis|13:30</t>
  </si>
  <si>
    <t xml:space="preserve">Little - Lane 3 - Kamis - 14:15</t>
  </si>
  <si>
    <t xml:space="preserve">KWC|- Lane 3 - Kamis|14:15</t>
  </si>
  <si>
    <t xml:space="preserve">Little - Lane 3 - Kamis - 15:00</t>
  </si>
  <si>
    <t xml:space="preserve">Ziran</t>
  </si>
  <si>
    <t xml:space="preserve">KWC|- Lane 3 - Kamis|15:00</t>
  </si>
  <si>
    <t xml:space="preserve">Little - Lane 3 - Kamis - 15:45</t>
  </si>
  <si>
    <t xml:space="preserve">KWC|- Lane 3 - Kamis|15:45</t>
  </si>
  <si>
    <t xml:space="preserve">Little - Lane 3 - Kamis - 16:30</t>
  </si>
  <si>
    <t xml:space="preserve">KWC|- Lane 3 - Kamis|16:30</t>
  </si>
  <si>
    <t xml:space="preserve">Little - Lane 3 - Kamis - 17:15</t>
  </si>
  <si>
    <t xml:space="preserve">KWC|- Lane 3 - Kamis|17:15</t>
  </si>
  <si>
    <t xml:space="preserve">Little - Lane 3 - Jumat - 08:15</t>
  </si>
  <si>
    <t xml:space="preserve">KWC|- Lane 3 - Jumat|08:15</t>
  </si>
  <si>
    <t xml:space="preserve">Little - Lane 3 - Jumat - 09:00</t>
  </si>
  <si>
    <t xml:space="preserve">KWC|- Lane 3 - Jumat|09:00</t>
  </si>
  <si>
    <t xml:space="preserve">Little - Lane 3 - Jumat - 09:45</t>
  </si>
  <si>
    <t xml:space="preserve">KWC|- Lane 3 - Jumat|09:45</t>
  </si>
  <si>
    <t xml:space="preserve">Little - Lane 3 - Jumat - 10:30</t>
  </si>
  <si>
    <t xml:space="preserve">KWC|- Lane 3 - Jumat|10:30</t>
  </si>
  <si>
    <t xml:space="preserve">Little - Lane 3 - Jumat - 11:15</t>
  </si>
  <si>
    <t xml:space="preserve">KWC|- Lane 3 - Jumat|11:15</t>
  </si>
  <si>
    <t xml:space="preserve">Little - Lane 3 - Jumat - 12:00</t>
  </si>
  <si>
    <t xml:space="preserve">KWC|- Lane 3 - Jumat|12:00</t>
  </si>
  <si>
    <t xml:space="preserve">Little - Lane 3 - Jumat - 13:30</t>
  </si>
  <si>
    <t xml:space="preserve">KWC|- Lane 3 - Jumat|13:30</t>
  </si>
  <si>
    <t xml:space="preserve">Little - Lane 3 - Jumat - 14:15</t>
  </si>
  <si>
    <t xml:space="preserve">KWC|- Lane 3 - Jumat|14:15</t>
  </si>
  <si>
    <t xml:space="preserve">Little - Lane 3 - Jumat - 15:00</t>
  </si>
  <si>
    <t xml:space="preserve">KWC|- Lane 3 - Jumat|15:00</t>
  </si>
  <si>
    <t xml:space="preserve">Little - Lane 3 - Jumat - 15:45</t>
  </si>
  <si>
    <t xml:space="preserve">KWC|- Lane 3 - Jumat|15:45</t>
  </si>
  <si>
    <t xml:space="preserve">Little - Lane 3 - Jumat - 16:30</t>
  </si>
  <si>
    <t xml:space="preserve">KWC|- Lane 3 - Jumat|16:30</t>
  </si>
  <si>
    <t xml:space="preserve">Little - Lane 3 - Jumat - 17:15</t>
  </si>
  <si>
    <t xml:space="preserve">KWC|- Lane 3 - Jumat|17:15</t>
  </si>
  <si>
    <t xml:space="preserve">Little - Lane 3 - Sabtu - 08:15</t>
  </si>
  <si>
    <t xml:space="preserve">KWC|- Lane 3 - Sabtu|08:15</t>
  </si>
  <si>
    <t xml:space="preserve">Little - Lane 3 - Sabtu - 09:00</t>
  </si>
  <si>
    <t xml:space="preserve">KWC|- Lane 3 - Sabtu|09:00</t>
  </si>
  <si>
    <t xml:space="preserve">Little - Lane 3 - Sabtu - 09:45</t>
  </si>
  <si>
    <t xml:space="preserve">KWC|- Lane 3 - Sabtu|09:45</t>
  </si>
  <si>
    <t xml:space="preserve">Little - Lane 3 - Sabtu - 10:30</t>
  </si>
  <si>
    <t xml:space="preserve">KWC|- Lane 3 - Sabtu|10:30</t>
  </si>
  <si>
    <t xml:space="preserve">Little - Lane 3 - Sabtu - 11:15</t>
  </si>
  <si>
    <t xml:space="preserve">Faris</t>
  </si>
  <si>
    <t xml:space="preserve">KWC|- Lane 3 - Sabtu|11:15</t>
  </si>
  <si>
    <t xml:space="preserve">Little - Lane 3 - Sabtu - 12:00</t>
  </si>
  <si>
    <t xml:space="preserve">KWC|- Lane 3 - Sabtu|12:00</t>
  </si>
  <si>
    <t xml:space="preserve">Little - Lane 3 - Sabtu - 13:30</t>
  </si>
  <si>
    <t xml:space="preserve">KWC|- Lane 3 - Sabtu|13:30</t>
  </si>
  <si>
    <t xml:space="preserve">Little - Lane 3 - Sabtu - 14:15</t>
  </si>
  <si>
    <t xml:space="preserve">KWC|- Lane 3 - Sabtu|14:15</t>
  </si>
  <si>
    <t xml:space="preserve">Little - Lane 3 - Sabtu - 15:00</t>
  </si>
  <si>
    <t xml:space="preserve">KWC|- Lane 3 - Sabtu|15:00</t>
  </si>
  <si>
    <t xml:space="preserve">Little - Lane 3 - Sabtu - 15:45</t>
  </si>
  <si>
    <t xml:space="preserve">KWC|- Lane 3 - Sabtu|15:45</t>
  </si>
  <si>
    <t xml:space="preserve">Little - Lane 3 - Sabtu - 16:30</t>
  </si>
  <si>
    <t xml:space="preserve">KWC|- Lane 3 - Sabtu|16:30</t>
  </si>
  <si>
    <t xml:space="preserve">Little - Lane 3 - Sabtu - 17:15</t>
  </si>
  <si>
    <t xml:space="preserve">KWC|- Lane 3 - Sabtu|17:15</t>
  </si>
  <si>
    <t xml:space="preserve">Little - Lane 3 - Minggu - 08:15</t>
  </si>
  <si>
    <t xml:space="preserve">KWC|- Lane 3 - Minggu|08:15</t>
  </si>
  <si>
    <t xml:space="preserve">Little - Lane 3 - Minggu - 09:00</t>
  </si>
  <si>
    <t xml:space="preserve">KWC|- Lane 3 - Minggu|09:00</t>
  </si>
  <si>
    <t xml:space="preserve">Little - Lane 3 - Minggu - 09:45</t>
  </si>
  <si>
    <t xml:space="preserve">KWC|- Lane 3 - Minggu|09:45</t>
  </si>
  <si>
    <t xml:space="preserve">Little - Lane 3 - Minggu - 10:30</t>
  </si>
  <si>
    <t xml:space="preserve">KWC|- Lane 3 - Minggu|10:30</t>
  </si>
  <si>
    <t xml:space="preserve">Little - Lane 3 - Minggu - 11:15</t>
  </si>
  <si>
    <t xml:space="preserve">KWC|- Lane 3 - Minggu|11:15</t>
  </si>
  <si>
    <t xml:space="preserve">Little - Lane 3 - Minggu - 12:00</t>
  </si>
  <si>
    <t xml:space="preserve">KWC|- Lane 3 - Minggu|12:00</t>
  </si>
  <si>
    <t xml:space="preserve">Little - Lane 3 - Minggu - 13:30</t>
  </si>
  <si>
    <t xml:space="preserve">KWC|- Lane 3 - Minggu|13:30</t>
  </si>
  <si>
    <t xml:space="preserve">Little - Lane 3 - Minggu - 14:15</t>
  </si>
  <si>
    <t xml:space="preserve">KWC|- Lane 3 - Minggu|14:15</t>
  </si>
  <si>
    <t xml:space="preserve">Little - Lane 3 - Minggu - 15:00</t>
  </si>
  <si>
    <t xml:space="preserve">KWC|- Lane 3 - Minggu|15:00</t>
  </si>
  <si>
    <t xml:space="preserve">Little - Lane 3 - Minggu - 15:45</t>
  </si>
  <si>
    <t xml:space="preserve">KWC|- Lane 3 - Minggu|15:45</t>
  </si>
  <si>
    <t xml:space="preserve">Little - Lane 3 - Minggu - 16:30</t>
  </si>
  <si>
    <t xml:space="preserve">KWC|- Lane 3 - Minggu|16:30</t>
  </si>
  <si>
    <t xml:space="preserve">Little - Lane 3 - Minggu - 17:15</t>
  </si>
  <si>
    <t xml:space="preserve">KWC|- Lane 3 - Minggu|17:15</t>
  </si>
  <si>
    <t xml:space="preserve">Kids - Lane 4 - Senin - 08:15</t>
  </si>
  <si>
    <t xml:space="preserve">KWC|- Lane 4 - Senin|08:15</t>
  </si>
  <si>
    <t xml:space="preserve">Kids - Lane 4 - Senin - 09:00</t>
  </si>
  <si>
    <t xml:space="preserve">KWC|- Lane 4 - Senin|09:00</t>
  </si>
  <si>
    <t xml:space="preserve">Kids - Lane 4 - Senin - 09:45</t>
  </si>
  <si>
    <t xml:space="preserve">KWC|- Lane 4 - Senin|09:45</t>
  </si>
  <si>
    <t xml:space="preserve">Kids - Lane 4 - Senin - 10:30</t>
  </si>
  <si>
    <t xml:space="preserve">KWC|- Lane 4 - Senin|10:30</t>
  </si>
  <si>
    <t xml:space="preserve">Kids - Lane 4 - Senin - 11:15</t>
  </si>
  <si>
    <t xml:space="preserve">KWC|- Lane 4 - Senin|11:15</t>
  </si>
  <si>
    <t xml:space="preserve">Kids - Lane 4 - Senin - 12:00</t>
  </si>
  <si>
    <t xml:space="preserve">KWC|- Lane 4 - Senin|12:00</t>
  </si>
  <si>
    <t xml:space="preserve">Kids - Lane 4 - Senin - 13:30</t>
  </si>
  <si>
    <t xml:space="preserve">KWC|- Lane 4 - Senin|13:30</t>
  </si>
  <si>
    <t xml:space="preserve">Kids - Lane 4 - Senin - 14:15</t>
  </si>
  <si>
    <t xml:space="preserve">KWC|- Lane 4 - Senin|14:15</t>
  </si>
  <si>
    <t xml:space="preserve">Kids - Lane 4 - Senin - 15:00</t>
  </si>
  <si>
    <t xml:space="preserve">KWC|- Lane 4 - Senin|15:00</t>
  </si>
  <si>
    <t xml:space="preserve">Kids - Lane 4 - Senin - 15:45</t>
  </si>
  <si>
    <t xml:space="preserve">KWC|- Lane 4 - Senin|15:45</t>
  </si>
  <si>
    <t xml:space="preserve">Kids - Lane 4 - Senin - 16:30</t>
  </si>
  <si>
    <t xml:space="preserve">KWC|- Lane 4 - Senin|16:30</t>
  </si>
  <si>
    <t xml:space="preserve">Kids - Lane 4 - Senin - 17:15</t>
  </si>
  <si>
    <t xml:space="preserve">KWC|- Lane 4 - Senin|17:15</t>
  </si>
  <si>
    <t xml:space="preserve">Kids - Lane 4 - Selasa - 08:15</t>
  </si>
  <si>
    <t xml:space="preserve">KWC|- Lane 4 - Selasa|08:15</t>
  </si>
  <si>
    <t xml:space="preserve">Kids - Lane 4 - Selasa - 09:00</t>
  </si>
  <si>
    <t xml:space="preserve">KWC|- Lane 4 - Selasa|09:00</t>
  </si>
  <si>
    <t xml:space="preserve">Kids - Lane 4 - Selasa - 09:45</t>
  </si>
  <si>
    <t xml:space="preserve">KWC|- Lane 4 - Selasa|09:45</t>
  </si>
  <si>
    <t xml:space="preserve">Kids - Lane 4 - Selasa - 10:30</t>
  </si>
  <si>
    <t xml:space="preserve">KWC|- Lane 4 - Selasa|10:30</t>
  </si>
  <si>
    <t xml:space="preserve">Kids - Lane 4 - Selasa - 11:15</t>
  </si>
  <si>
    <t xml:space="preserve">KWC|- Lane 4 - Selasa|11:15</t>
  </si>
  <si>
    <t xml:space="preserve">Kids - Lane 4 - Selasa - 12:00</t>
  </si>
  <si>
    <t xml:space="preserve">KWC|- Lane 4 - Selasa|12:00</t>
  </si>
  <si>
    <t xml:space="preserve">Kids - Lane 4 - Selasa - 13:30</t>
  </si>
  <si>
    <t xml:space="preserve">KWC|- Lane 4 - Selasa|13:30</t>
  </si>
  <si>
    <t xml:space="preserve">Kids - Lane 4 - Selasa - 14:15</t>
  </si>
  <si>
    <t xml:space="preserve">KWC|- Lane 4 - Selasa|14:15</t>
  </si>
  <si>
    <t xml:space="preserve">Kids - Lane 4 - Selasa - 15:00</t>
  </si>
  <si>
    <t xml:space="preserve">KWC|- Lane 4 - Selasa|15:00</t>
  </si>
  <si>
    <t xml:space="preserve">Kids - Lane 4 - Selasa - 15:45</t>
  </si>
  <si>
    <t xml:space="preserve">KWC|- Lane 4 - Selasa|15:45</t>
  </si>
  <si>
    <t xml:space="preserve">Kids - Lane 4 - Selasa - 16:30</t>
  </si>
  <si>
    <t xml:space="preserve">KWC|- Lane 4 - Selasa|16:30</t>
  </si>
  <si>
    <t xml:space="preserve">Kids - Lane 4 - Selasa - 17:15</t>
  </si>
  <si>
    <t xml:space="preserve">KWC|- Lane 4 - Selasa|17:15</t>
  </si>
  <si>
    <t xml:space="preserve">Kids - Lane 4 - Rabu - 08:15</t>
  </si>
  <si>
    <t xml:space="preserve">KWC|- Lane 4 - Rabu|08:15</t>
  </si>
  <si>
    <t xml:space="preserve">Kids - Lane 4 - Rabu - 09:00</t>
  </si>
  <si>
    <t xml:space="preserve">KWC|- Lane 4 - Rabu|09:00</t>
  </si>
  <si>
    <t xml:space="preserve">Kids - Lane 4 - Rabu - 09:45</t>
  </si>
  <si>
    <t xml:space="preserve">KWC|- Lane 4 - Rabu|09:45</t>
  </si>
  <si>
    <t xml:space="preserve">Kids - Lane 4 - Rabu - 10:30</t>
  </si>
  <si>
    <t xml:space="preserve">KWC|- Lane 4 - Rabu|10:30</t>
  </si>
  <si>
    <t xml:space="preserve">Kids - Lane 4 - Rabu - 11:15</t>
  </si>
  <si>
    <t xml:space="preserve">KWC|- Lane 4 - Rabu|11:15</t>
  </si>
  <si>
    <t xml:space="preserve">Kids - Lane 4 - Rabu - 12:00</t>
  </si>
  <si>
    <t xml:space="preserve">KWC|- Lane 4 - Rabu|12:00</t>
  </si>
  <si>
    <t xml:space="preserve">Kids - Lane 4 - Rabu - 13:30</t>
  </si>
  <si>
    <t xml:space="preserve">KWC|- Lane 4 - Rabu|13:30</t>
  </si>
  <si>
    <t xml:space="preserve">Kids - Lane 4 - Rabu - 14:15</t>
  </si>
  <si>
    <t xml:space="preserve">KWC|- Lane 4 - Rabu|14:15</t>
  </si>
  <si>
    <t xml:space="preserve">Kids - Lane 4 - Rabu - 15:00</t>
  </si>
  <si>
    <t xml:space="preserve">KWC|- Lane 4 - Rabu|15:00</t>
  </si>
  <si>
    <t xml:space="preserve">Kids - Lane 4 - Rabu - 15:45</t>
  </si>
  <si>
    <t xml:space="preserve">KWC|- Lane 4 - Rabu|15:45</t>
  </si>
  <si>
    <t xml:space="preserve">Kids - Lane 4 - Rabu - 16:30</t>
  </si>
  <si>
    <t xml:space="preserve">KWC|- Lane 4 - Rabu|16:30</t>
  </si>
  <si>
    <t xml:space="preserve">Kids - Lane 4 - Rabu - 17:15</t>
  </si>
  <si>
    <t xml:space="preserve">KWC|- Lane 4 - Rabu|17:15</t>
  </si>
  <si>
    <t xml:space="preserve">Kids - Lane 4 - Kamis - 08:15</t>
  </si>
  <si>
    <t xml:space="preserve">KWC|- Lane 4 - Kamis|08:15</t>
  </si>
  <si>
    <t xml:space="preserve">Kids - Lane 4 - Kamis - 09:00</t>
  </si>
  <si>
    <t xml:space="preserve">KWC|- Lane 4 - Kamis|09:00</t>
  </si>
  <si>
    <t xml:space="preserve">Kids - Lane 4 - Kamis - 09:45</t>
  </si>
  <si>
    <t xml:space="preserve">KWC|- Lane 4 - Kamis|09:45</t>
  </si>
  <si>
    <t xml:space="preserve">Kids - Lane 4 - Kamis - 10:30</t>
  </si>
  <si>
    <t xml:space="preserve">KWC|- Lane 4 - Kamis|10:30</t>
  </si>
  <si>
    <t xml:space="preserve">Kids - Lane 4 - Kamis - 11:15</t>
  </si>
  <si>
    <t xml:space="preserve">KWC|- Lane 4 - Kamis|11:15</t>
  </si>
  <si>
    <t xml:space="preserve">Kids - Lane 4 - Kamis - 12:00</t>
  </si>
  <si>
    <t xml:space="preserve">KWC|- Lane 4 - Kamis|12:00</t>
  </si>
  <si>
    <t xml:space="preserve">Kids - Lane 4 - Kamis - 13:30</t>
  </si>
  <si>
    <t xml:space="preserve">KWC|- Lane 4 - Kamis|13:30</t>
  </si>
  <si>
    <t xml:space="preserve">Kids - Lane 4 - Kamis - 14:15</t>
  </si>
  <si>
    <t xml:space="preserve">KWC|- Lane 4 - Kamis|14:15</t>
  </si>
  <si>
    <t xml:space="preserve">Kids - Lane 4 - Kamis - 15:00</t>
  </si>
  <si>
    <t xml:space="preserve">KWC|- Lane 4 - Kamis|15:00</t>
  </si>
  <si>
    <t xml:space="preserve">Kids - Lane 4 - Kamis - 15:45</t>
  </si>
  <si>
    <t xml:space="preserve">KWC|- Lane 4 - Kamis|15:45</t>
  </si>
  <si>
    <t xml:space="preserve">Kids - Lane 4 - Kamis - 16:30</t>
  </si>
  <si>
    <t xml:space="preserve">KWC|- Lane 4 - Kamis|16:30</t>
  </si>
  <si>
    <t xml:space="preserve">Kids - Lane 4 - Kamis - 17:15</t>
  </si>
  <si>
    <t xml:space="preserve">KWC|- Lane 4 - Kamis|17:15</t>
  </si>
  <si>
    <t xml:space="preserve">Kids - Lane 4 - Jumat - 08:15</t>
  </si>
  <si>
    <t xml:space="preserve">KWC|- Lane 4 - Jumat|08:15</t>
  </si>
  <si>
    <t xml:space="preserve">Kids - Lane 4 - Jumat - 09:00</t>
  </si>
  <si>
    <t xml:space="preserve">KWC|- Lane 4 - Jumat|09:00</t>
  </si>
  <si>
    <t xml:space="preserve">Kids - Lane 4 - Jumat - 09:45</t>
  </si>
  <si>
    <t xml:space="preserve">KWC|- Lane 4 - Jumat|09:45</t>
  </si>
  <si>
    <t xml:space="preserve">Kids - Lane 4 - Jumat - 10:30</t>
  </si>
  <si>
    <t xml:space="preserve">KWC|- Lane 4 - Jumat|10:30</t>
  </si>
  <si>
    <t xml:space="preserve">Kids - Lane 4 - Jumat - 11:15</t>
  </si>
  <si>
    <t xml:space="preserve">KWC|- Lane 4 - Jumat|11:15</t>
  </si>
  <si>
    <t xml:space="preserve">Kids - Lane 4 - Jumat - 12:00</t>
  </si>
  <si>
    <t xml:space="preserve">KWC|- Lane 4 - Jumat|12:00</t>
  </si>
  <si>
    <t xml:space="preserve">Kids - Lane 4 - Jumat - 13:30</t>
  </si>
  <si>
    <t xml:space="preserve">KWC|- Lane 4 - Jumat|13:30</t>
  </si>
  <si>
    <t xml:space="preserve">Kids - Lane 4 - Jumat - 14:15</t>
  </si>
  <si>
    <t xml:space="preserve">KWC|- Lane 4 - Jumat|14:15</t>
  </si>
  <si>
    <t xml:space="preserve">Kids - Lane 4 - Jumat - 15:00</t>
  </si>
  <si>
    <t xml:space="preserve">KWC|- Lane 4 - Jumat|15:00</t>
  </si>
  <si>
    <t xml:space="preserve">Kids - Lane 4 - Jumat - 15:45</t>
  </si>
  <si>
    <t xml:space="preserve">KWC|- Lane 4 - Jumat|15:45</t>
  </si>
  <si>
    <t xml:space="preserve">Kids - Lane 4 - Jumat - 16:30</t>
  </si>
  <si>
    <t xml:space="preserve">KWC|- Lane 4 - Jumat|16:30</t>
  </si>
  <si>
    <t xml:space="preserve">Kids - Lane 4 - Jumat - 17:15</t>
  </si>
  <si>
    <t xml:space="preserve">KWC|- Lane 4 - Jumat|17:15</t>
  </si>
  <si>
    <t xml:space="preserve">Kids - Lane 4 - Sabtu - 08:15</t>
  </si>
  <si>
    <t xml:space="preserve">KWC|- Lane 4 - Sabtu|08:15</t>
  </si>
  <si>
    <t xml:space="preserve">Kids - Lane 4 - Sabtu - 09:00</t>
  </si>
  <si>
    <t xml:space="preserve">KWC|- Lane 4 - Sabtu|09:00</t>
  </si>
  <si>
    <t xml:space="preserve">Kids - Lane 4 - Sabtu - 09:45</t>
  </si>
  <si>
    <t xml:space="preserve">KWC|- Lane 4 - Sabtu|09:45</t>
  </si>
  <si>
    <t xml:space="preserve">Kids - Lane 4 - Sabtu - 10:30</t>
  </si>
  <si>
    <t xml:space="preserve">KWC|- Lane 4 - Sabtu|10:30</t>
  </si>
  <si>
    <t xml:space="preserve">Kids - Lane 4 - Sabtu - 11:15</t>
  </si>
  <si>
    <t xml:space="preserve">KWC|- Lane 4 - Sabtu|11:15</t>
  </si>
  <si>
    <t xml:space="preserve">Kids - Lane 4 - Sabtu - 12:00</t>
  </si>
  <si>
    <t xml:space="preserve">KWC|- Lane 4 - Sabtu|12:00</t>
  </si>
  <si>
    <t xml:space="preserve">Kids - Lane 4 - Sabtu - 13:30</t>
  </si>
  <si>
    <t xml:space="preserve">KWC|- Lane 4 - Sabtu|13:30</t>
  </si>
  <si>
    <t xml:space="preserve">Kids - Lane 4 - Sabtu - 14:15</t>
  </si>
  <si>
    <t xml:space="preserve">KWC|- Lane 4 - Sabtu|14:15</t>
  </si>
  <si>
    <t xml:space="preserve">Kids - Lane 4 - Sabtu - 15:00</t>
  </si>
  <si>
    <t xml:space="preserve">KWC|- Lane 4 - Sabtu|15:00</t>
  </si>
  <si>
    <t xml:space="preserve">Kids - Lane 4 - Sabtu - 15:45</t>
  </si>
  <si>
    <t xml:space="preserve">KWC|- Lane 4 - Sabtu|15:45</t>
  </si>
  <si>
    <t xml:space="preserve">Kids - Lane 4 - Sabtu - 16:30</t>
  </si>
  <si>
    <t xml:space="preserve">KWC|- Lane 4 - Sabtu|16:30</t>
  </si>
  <si>
    <t xml:space="preserve">Kids - Lane 4 - Sabtu - 17:15</t>
  </si>
  <si>
    <t xml:space="preserve">KWC|- Lane 4 - Sabtu|17:15</t>
  </si>
  <si>
    <t xml:space="preserve">Kids - Lane 4 - Minggu - 08:15</t>
  </si>
  <si>
    <t xml:space="preserve">KWC|- Lane 4 - Minggu|08:15</t>
  </si>
  <si>
    <t xml:space="preserve">Kids - Lane 4 - Minggu - 09:00</t>
  </si>
  <si>
    <t xml:space="preserve">KWC|- Lane 4 - Minggu|09:00</t>
  </si>
  <si>
    <t xml:space="preserve">Kids - Lane 4 - Minggu - 09:45</t>
  </si>
  <si>
    <t xml:space="preserve">KWC|- Lane 4 - Minggu|09:45</t>
  </si>
  <si>
    <t xml:space="preserve">Kids - Lane 4 - Minggu - 10:30</t>
  </si>
  <si>
    <t xml:space="preserve">KWC|- Lane 4 - Minggu|10:30</t>
  </si>
  <si>
    <t xml:space="preserve">Kids - Lane 4 - Minggu - 11:15</t>
  </si>
  <si>
    <t xml:space="preserve">KWC|- Lane 4 - Minggu|11:15</t>
  </si>
  <si>
    <t xml:space="preserve">Kids - Lane 4 - Minggu - 12:00</t>
  </si>
  <si>
    <t xml:space="preserve">KWC|- Lane 4 - Minggu|12:00</t>
  </si>
  <si>
    <t xml:space="preserve">Kids - Lane 4 - Minggu - 13:30</t>
  </si>
  <si>
    <t xml:space="preserve">KWC|- Lane 4 - Minggu|13:30</t>
  </si>
  <si>
    <t xml:space="preserve">Kids - Lane 4 - Minggu - 14:15</t>
  </si>
  <si>
    <t xml:space="preserve">KWC|- Lane 4 - Minggu|14:15</t>
  </si>
  <si>
    <t xml:space="preserve">Kids - Lane 4 - Minggu - 15:00</t>
  </si>
  <si>
    <t xml:space="preserve">KWC|- Lane 4 - Minggu|15:00</t>
  </si>
  <si>
    <t xml:space="preserve">Kids - Lane 4 - Minggu - 15:45</t>
  </si>
  <si>
    <t xml:space="preserve">KWC|- Lane 4 - Minggu|15:45</t>
  </si>
  <si>
    <t xml:space="preserve">Kids - Lane 4 - Minggu - 16:30</t>
  </si>
  <si>
    <t xml:space="preserve">KWC|- Lane 4 - Minggu|16:30</t>
  </si>
  <si>
    <t xml:space="preserve">Kids - Lane 4 - Minggu - 17:15</t>
  </si>
  <si>
    <t xml:space="preserve">KWC|- Lane 4 - Minggu|17:15</t>
  </si>
  <si>
    <t xml:space="preserve">KWC|- Lane 5 - Senin|08:00</t>
  </si>
  <si>
    <t xml:space="preserve">KWC|- Lane 5 - Senin|08:45</t>
  </si>
  <si>
    <t xml:space="preserve">KWC|- Lane 5 - Senin|09:30</t>
  </si>
  <si>
    <t xml:space="preserve">KWC|- Lane 5 - Senin|10:15</t>
  </si>
  <si>
    <t xml:space="preserve">KWC|- Lane 5 - Senin|11:00</t>
  </si>
  <si>
    <t xml:space="preserve">KWC|- Lane 5 - Senin|11:45</t>
  </si>
  <si>
    <t xml:space="preserve">KWC|- Lane 5 - Senin|13:15</t>
  </si>
  <si>
    <t xml:space="preserve"> - Lane 5 - Senin - 14:00</t>
  </si>
  <si>
    <t xml:space="preserve">KWC|- Lane 5 - Senin|14:00</t>
  </si>
  <si>
    <t xml:space="preserve"> - Lane 5 - Senin - 14:45</t>
  </si>
  <si>
    <t xml:space="preserve">KWC|- Lane 5 - Senin|14:45</t>
  </si>
  <si>
    <t xml:space="preserve">KWC|- Lane 5 - Senin|15:30</t>
  </si>
  <si>
    <t xml:space="preserve">Little - Lane 5 - Senin - 16:15</t>
  </si>
  <si>
    <t xml:space="preserve">KWC|- Lane 5 - Senin|16:15</t>
  </si>
  <si>
    <t xml:space="preserve"> - Lane 5 - Senin - 17:00</t>
  </si>
  <si>
    <t xml:space="preserve">KWC|- Lane 5 - Senin|17:00</t>
  </si>
  <si>
    <t xml:space="preserve">KWC|- Lane 5 - Selasa|08:00</t>
  </si>
  <si>
    <t xml:space="preserve">KWC|- Lane 5 - Selasa|08:45</t>
  </si>
  <si>
    <t xml:space="preserve">KWC|- Lane 5 - Selasa|09:30</t>
  </si>
  <si>
    <t xml:space="preserve">KWC|- Lane 5 - Selasa|10:15</t>
  </si>
  <si>
    <t xml:space="preserve">KWC|- Lane 5 - Selasa|11:00</t>
  </si>
  <si>
    <t xml:space="preserve">KWC|- Lane 5 - Selasa|11:45</t>
  </si>
  <si>
    <t xml:space="preserve">KWC|- Lane 5 - Selasa|13:15</t>
  </si>
  <si>
    <t xml:space="preserve"> - Lane 5 - Selasa - 14:00</t>
  </si>
  <si>
    <t xml:space="preserve">KWC|- Lane 5 - Selasa|14:00</t>
  </si>
  <si>
    <t xml:space="preserve">Kids - Lane 5 - Selasa - 14:45</t>
  </si>
  <si>
    <t xml:space="preserve">KWC|- Lane 5 - Selasa|14:45</t>
  </si>
  <si>
    <t xml:space="preserve"> - Lane 5 - Selasa - 15:30</t>
  </si>
  <si>
    <t xml:space="preserve">KWC|- Lane 5 - Selasa|15:30</t>
  </si>
  <si>
    <t xml:space="preserve">KWC|- Lane 5 - Selasa|16:15</t>
  </si>
  <si>
    <t xml:space="preserve">KWC|- Lane 5 - Selasa|17:00</t>
  </si>
  <si>
    <t xml:space="preserve">KWC|- Lane 5 - Rabu|08:00</t>
  </si>
  <si>
    <t xml:space="preserve">KWC|- Lane 5 - Rabu|08:45</t>
  </si>
  <si>
    <t xml:space="preserve">KWC|- Lane 5 - Rabu|09:30</t>
  </si>
  <si>
    <t xml:space="preserve">KWC|- Lane 5 - Rabu|10:15</t>
  </si>
  <si>
    <t xml:space="preserve">KWC|- Lane 5 - Rabu|11:00</t>
  </si>
  <si>
    <t xml:space="preserve">KWC|- Lane 5 - Rabu|11:45</t>
  </si>
  <si>
    <t xml:space="preserve"> - Lane 5 - Rabu - 13:15</t>
  </si>
  <si>
    <t xml:space="preserve">KWC|- Lane 5 - Rabu|13:15</t>
  </si>
  <si>
    <t xml:space="preserve">KWC|- Lane 5 - Rabu|14:00</t>
  </si>
  <si>
    <t xml:space="preserve">Little - Lane 5 - Rabu - 14:45</t>
  </si>
  <si>
    <t xml:space="preserve">KWC|- Lane 5 - Rabu|14:45</t>
  </si>
  <si>
    <t xml:space="preserve">KWC|- Lane 5 - Rabu|15:30</t>
  </si>
  <si>
    <t xml:space="preserve"> - Lane 5 - Rabu - 16:15</t>
  </si>
  <si>
    <t xml:space="preserve">KWC|- Lane 5 - Rabu|16:15</t>
  </si>
  <si>
    <t xml:space="preserve">KWC|- Lane 5 - Rabu|17:00</t>
  </si>
  <si>
    <t xml:space="preserve">KWC|- Lane 5 - Kamis|08:00</t>
  </si>
  <si>
    <t xml:space="preserve">KWC|- Lane 5 - Kamis|08:45</t>
  </si>
  <si>
    <t xml:space="preserve">KWC|- Lane 5 - Kamis|09:30</t>
  </si>
  <si>
    <t xml:space="preserve">KWC|- Lane 5 - Kamis|10:15</t>
  </si>
  <si>
    <t xml:space="preserve">KWC|- Lane 5 - Kamis|11:00</t>
  </si>
  <si>
    <t xml:space="preserve">KWC|- Lane 5 - Kamis|11:45</t>
  </si>
  <si>
    <t xml:space="preserve">KWC|- Lane 5 - Kamis|13:15</t>
  </si>
  <si>
    <t xml:space="preserve"> - Lane 5 - Kamis - 14:00</t>
  </si>
  <si>
    <t xml:space="preserve">KWC|- Lane 5 - Kamis|14:00</t>
  </si>
  <si>
    <t xml:space="preserve">KWC|- Lane 5 - Kamis|14:45</t>
  </si>
  <si>
    <t xml:space="preserve"> - Lane 5 - Kamis - 15:30</t>
  </si>
  <si>
    <t xml:space="preserve">KWC|- Lane 5 - Kamis|15:30</t>
  </si>
  <si>
    <t xml:space="preserve"> - Lane 5 - Kamis - 16:15</t>
  </si>
  <si>
    <t xml:space="preserve">KWC|- Lane 5 - Kamis|16:15</t>
  </si>
  <si>
    <t xml:space="preserve"> - Lane 5 - Kamis - 17:00</t>
  </si>
  <si>
    <t xml:space="preserve">KWC|- Lane 5 - Kamis|17:00</t>
  </si>
  <si>
    <t xml:space="preserve">KWC|- Lane 5 - Jumat|08:00</t>
  </si>
  <si>
    <t xml:space="preserve">KWC|- Lane 5 - Jumat|08:45</t>
  </si>
  <si>
    <t xml:space="preserve">KWC|- Lane 5 - Jumat|09:30</t>
  </si>
  <si>
    <t xml:space="preserve">KWC|- Lane 5 - Jumat|10:15</t>
  </si>
  <si>
    <t xml:space="preserve"> - Lane 5 - Jumat - 11:00</t>
  </si>
  <si>
    <t xml:space="preserve">KWC|- Lane 5 - Jumat|11:00</t>
  </si>
  <si>
    <t xml:space="preserve">KWC|- Lane 5 - Jumat|11:45</t>
  </si>
  <si>
    <t xml:space="preserve">Little - Lane 5 - Jumat - 13:15</t>
  </si>
  <si>
    <t xml:space="preserve">KWC|- Lane 5 - Jumat|13:15</t>
  </si>
  <si>
    <t xml:space="preserve">KWC|- Lane 5 - Jumat|14:00</t>
  </si>
  <si>
    <t xml:space="preserve">Kids - Lane 5 - Jumat - 14:45</t>
  </si>
  <si>
    <t xml:space="preserve">KWC|- Lane 5 - Jumat|14:45</t>
  </si>
  <si>
    <t xml:space="preserve">KWC|- Lane 5 - Jumat|15:30</t>
  </si>
  <si>
    <t xml:space="preserve">Little - Lane 5 - Jumat - 16:15</t>
  </si>
  <si>
    <t xml:space="preserve">KWC|- Lane 5 - Jumat|16:15</t>
  </si>
  <si>
    <t xml:space="preserve">Kids - Lane 5 - Jumat - 17:00</t>
  </si>
  <si>
    <t xml:space="preserve">KWC|- Lane 5 - Jumat|17:00</t>
  </si>
  <si>
    <t xml:space="preserve">KWC|- Lane 5 - Sabtu|08:00</t>
  </si>
  <si>
    <t xml:space="preserve">Kids - Lane 5 - Sabtu - 08:45</t>
  </si>
  <si>
    <t xml:space="preserve">KWC|- Lane 5 - Sabtu|08:45</t>
  </si>
  <si>
    <t xml:space="preserve">KWC|- Lane 5 - Sabtu|09:30</t>
  </si>
  <si>
    <t xml:space="preserve">Tiny - Lane 5 - Sabtu - 10:15</t>
  </si>
  <si>
    <t xml:space="preserve">KWC|- Lane 5 - Sabtu|10:15</t>
  </si>
  <si>
    <t xml:space="preserve">KWC|- Lane 5 - Sabtu|11:00</t>
  </si>
  <si>
    <t xml:space="preserve">Little - Lane 5 - Sabtu - 11:45</t>
  </si>
  <si>
    <t xml:space="preserve">KWC|- Lane 5 - Sabtu|11:45</t>
  </si>
  <si>
    <t xml:space="preserve">Kids - Lane 5 - Sabtu - 13:15</t>
  </si>
  <si>
    <t xml:space="preserve">KWC|- Lane 5 - Sabtu|13:15</t>
  </si>
  <si>
    <t xml:space="preserve">KWC|- Lane 5 - Sabtu|14:00</t>
  </si>
  <si>
    <t xml:space="preserve">Tiny - Lane 5 - Sabtu - 14:45</t>
  </si>
  <si>
    <t xml:space="preserve">KWC|- Lane 5 - Sabtu|14:45</t>
  </si>
  <si>
    <t xml:space="preserve">KWC|- Lane 5 - Sabtu|15:30</t>
  </si>
  <si>
    <t xml:space="preserve">KWC|- Lane 5 - Sabtu|16:15</t>
  </si>
  <si>
    <t xml:space="preserve">Kids - Lane 5 - Sabtu - 17:00</t>
  </si>
  <si>
    <t xml:space="preserve">KWC|- Lane 5 - Sabtu|17:00</t>
  </si>
  <si>
    <t xml:space="preserve">KWC|- Lane 5 - Minggu|08:00</t>
  </si>
  <si>
    <t xml:space="preserve">Kids - Lane 5 - Minggu - 08:45</t>
  </si>
  <si>
    <t xml:space="preserve">KWC|- Lane 5 - Minggu|08:45</t>
  </si>
  <si>
    <t xml:space="preserve">KWC|- Lane 5 - Minggu|09:30</t>
  </si>
  <si>
    <t xml:space="preserve">KWC|- Lane 5 - Minggu|10:15</t>
  </si>
  <si>
    <t xml:space="preserve">Kids - Lane 5 - Minggu - 11:00</t>
  </si>
  <si>
    <t xml:space="preserve">KWC|- Lane 5 - Minggu|11:00</t>
  </si>
  <si>
    <t xml:space="preserve">Little - Lane 5 - Minggu - 11:45</t>
  </si>
  <si>
    <t xml:space="preserve">KWC|- Lane 5 - Minggu|11:45</t>
  </si>
  <si>
    <t xml:space="preserve">KWC|- Lane 5 - Minggu|13:15</t>
  </si>
  <si>
    <t xml:space="preserve">KWC|- Lane 5 - Minggu|14:00</t>
  </si>
  <si>
    <t xml:space="preserve">KWC|- Lane 5 - Minggu|14:45</t>
  </si>
  <si>
    <t xml:space="preserve">KWC|- Lane 5 - Minggu|15:30</t>
  </si>
  <si>
    <t xml:space="preserve">KWC|- Lane 5 - Minggu|16:15</t>
  </si>
  <si>
    <t xml:space="preserve">Little - Lane 5 - Minggu - 17:00</t>
  </si>
  <si>
    <t xml:space="preserve">KWC|- Lane 5 - Minggu|17:00</t>
  </si>
  <si>
    <t xml:space="preserve">KWC|- Lane 6 - Senin|08:00</t>
  </si>
  <si>
    <t xml:space="preserve">KWC|- Lane 6 - Senin|08:45</t>
  </si>
  <si>
    <t xml:space="preserve">KWC|- Lane 6 - Senin|09:30</t>
  </si>
  <si>
    <t xml:space="preserve">KWC|- Lane 6 - Senin|10:15</t>
  </si>
  <si>
    <t xml:space="preserve">KWC|- Lane 6 - Senin|11:00</t>
  </si>
  <si>
    <t xml:space="preserve">KWC|- Lane 6 - Senin|11:45</t>
  </si>
  <si>
    <t xml:space="preserve">KWC|- Lane 6 - Senin|13:15</t>
  </si>
  <si>
    <t xml:space="preserve">KWC|- Lane 6 - Senin|14:00</t>
  </si>
  <si>
    <t xml:space="preserve">KWC|- Lane 6 - Senin|14:45</t>
  </si>
  <si>
    <t xml:space="preserve"> - Lane 6 - Senin - 15:30</t>
  </si>
  <si>
    <t xml:space="preserve">KWC|- Lane 6 - Senin|15:30</t>
  </si>
  <si>
    <t xml:space="preserve"> - Lane 6 - Senin - 16:15</t>
  </si>
  <si>
    <t xml:space="preserve">KWC|- Lane 6 - Senin|16:15</t>
  </si>
  <si>
    <t xml:space="preserve"> - Lane 6 - Senin - 17:00</t>
  </si>
  <si>
    <t xml:space="preserve">KWC|- Lane 6 - Senin|17:00</t>
  </si>
  <si>
    <t xml:space="preserve">KWC|- Lane 6 - Selasa|08:00</t>
  </si>
  <si>
    <t xml:space="preserve">KWC|- Lane 6 - Selasa|08:45</t>
  </si>
  <si>
    <t xml:space="preserve">KWC|- Lane 6 - Selasa|09:30</t>
  </si>
  <si>
    <t xml:space="preserve">KWC|- Lane 6 - Selasa|10:15</t>
  </si>
  <si>
    <t xml:space="preserve">KWC|- Lane 6 - Selasa|11:00</t>
  </si>
  <si>
    <t xml:space="preserve">KWC|- Lane 6 - Selasa|11:45</t>
  </si>
  <si>
    <t xml:space="preserve">KWC|- Lane 6 - Selasa|13:15</t>
  </si>
  <si>
    <t xml:space="preserve">KWC|- Lane 6 - Selasa|14:00</t>
  </si>
  <si>
    <t xml:space="preserve">KWC|- Lane 6 - Selasa|14:45</t>
  </si>
  <si>
    <t xml:space="preserve">KWC|- Lane 6 - Selasa|15:30</t>
  </si>
  <si>
    <t xml:space="preserve">KWC|- Lane 6 - Selasa|16:15</t>
  </si>
  <si>
    <t xml:space="preserve">KWC|- Lane 6 - Selasa|17:00</t>
  </si>
  <si>
    <t xml:space="preserve">KWC|- Lane 6 - Rabu|08:00</t>
  </si>
  <si>
    <t xml:space="preserve">KWC|- Lane 6 - Rabu|08:45</t>
  </si>
  <si>
    <t xml:space="preserve">KWC|- Lane 6 - Rabu|09:30</t>
  </si>
  <si>
    <t xml:space="preserve">KWC|- Lane 6 - Rabu|10:15</t>
  </si>
  <si>
    <t xml:space="preserve">KWC|- Lane 6 - Rabu|11:00</t>
  </si>
  <si>
    <t xml:space="preserve">KWC|- Lane 6 - Rabu|11:45</t>
  </si>
  <si>
    <t xml:space="preserve">KWC|- Lane 6 - Rabu|13:15</t>
  </si>
  <si>
    <t xml:space="preserve">KWC|- Lane 6 - Rabu|14:00</t>
  </si>
  <si>
    <t xml:space="preserve">KWC|- Lane 6 - Rabu|14:45</t>
  </si>
  <si>
    <t xml:space="preserve">KWC|- Lane 6 - Rabu|15:30</t>
  </si>
  <si>
    <t xml:space="preserve">KWC|- Lane 6 - Rabu|16:15</t>
  </si>
  <si>
    <t xml:space="preserve">KWC|- Lane 6 - Rabu|17:00</t>
  </si>
  <si>
    <t xml:space="preserve">KWC|- Lane 6 - Kamis|08:00</t>
  </si>
  <si>
    <t xml:space="preserve">KWC|- Lane 6 - Kamis|08:45</t>
  </si>
  <si>
    <t xml:space="preserve">KWC|- Lane 6 - Kamis|09:30</t>
  </si>
  <si>
    <t xml:space="preserve">KWC|- Lane 6 - Kamis|10:15</t>
  </si>
  <si>
    <t xml:space="preserve">KWC|- Lane 6 - Kamis|11:00</t>
  </si>
  <si>
    <t xml:space="preserve">KWC|- Lane 6 - Kamis|11:45</t>
  </si>
  <si>
    <t xml:space="preserve">KWC|- Lane 6 - Kamis|13:15</t>
  </si>
  <si>
    <t xml:space="preserve">KWC|- Lane 6 - Kamis|14:00</t>
  </si>
  <si>
    <t xml:space="preserve">KWC|- Lane 6 - Kamis|14:45</t>
  </si>
  <si>
    <t xml:space="preserve">KWC|- Lane 6 - Kamis|15:30</t>
  </si>
  <si>
    <t xml:space="preserve">KWC|- Lane 6 - Kamis|16:15</t>
  </si>
  <si>
    <t xml:space="preserve">KWC|- Lane 6 - Kamis|17:00</t>
  </si>
  <si>
    <t xml:space="preserve">KWC|- Lane 6 - Jumat|08:00</t>
  </si>
  <si>
    <t xml:space="preserve">KWC|- Lane 6 - Jumat|08:45</t>
  </si>
  <si>
    <t xml:space="preserve">KWC|- Lane 6 - Jumat|09:30</t>
  </si>
  <si>
    <t xml:space="preserve">KWC|- Lane 6 - Jumat|10:15</t>
  </si>
  <si>
    <t xml:space="preserve">KWC|- Lane 6 - Jumat|11:00</t>
  </si>
  <si>
    <t xml:space="preserve">KWC|- Lane 6 - Jumat|11:45</t>
  </si>
  <si>
    <t xml:space="preserve">KWC|- Lane 6 - Jumat|13:15</t>
  </si>
  <si>
    <t xml:space="preserve">KWC|- Lane 6 - Jumat|14:00</t>
  </si>
  <si>
    <t xml:space="preserve">KWC|- Lane 6 - Jumat|14:45</t>
  </si>
  <si>
    <t xml:space="preserve">KWC|- Lane 6 - Jumat|15:30</t>
  </si>
  <si>
    <t xml:space="preserve">KWC|- Lane 6 - Jumat|16:15</t>
  </si>
  <si>
    <t xml:space="preserve"> - Lane 6 - Jumat - 17:00</t>
  </si>
  <si>
    <t xml:space="preserve">KWC|- Lane 6 - Jumat|17:00</t>
  </si>
  <si>
    <t xml:space="preserve">KWC|- Lane 6 - Sabtu|08:00</t>
  </si>
  <si>
    <t xml:space="preserve"> - Lane 6 - Sabtu - 08:45</t>
  </si>
  <si>
    <t xml:space="preserve">KWC|- Lane 6 - Sabtu|08:45</t>
  </si>
  <si>
    <t xml:space="preserve"> - Lane 6 - Sabtu - 09:30</t>
  </si>
  <si>
    <t xml:space="preserve">KWC|- Lane 6 - Sabtu|09:30</t>
  </si>
  <si>
    <t xml:space="preserve"> - Lane 6 - Sabtu - 10:15</t>
  </si>
  <si>
    <t xml:space="preserve">KWC|- Lane 6 - Sabtu|10:15</t>
  </si>
  <si>
    <t xml:space="preserve">KWC|- Lane 6 - Sabtu|11:00</t>
  </si>
  <si>
    <t xml:space="preserve">KWC|- Lane 6 - Sabtu|11:45</t>
  </si>
  <si>
    <t xml:space="preserve">KWC|- Lane 6 - Sabtu|13:15</t>
  </si>
  <si>
    <t xml:space="preserve">KWC|- Lane 6 - Sabtu|14:00</t>
  </si>
  <si>
    <t xml:space="preserve">KWC|- Lane 6 - Sabtu|14:45</t>
  </si>
  <si>
    <t xml:space="preserve">KWC|- Lane 6 - Sabtu|15:30</t>
  </si>
  <si>
    <t xml:space="preserve">KWC|- Lane 6 - Sabtu|16:15</t>
  </si>
  <si>
    <t xml:space="preserve">KWC|- Lane 6 - Sabtu|17:00</t>
  </si>
  <si>
    <t xml:space="preserve">KWC|- Lane 6 - Minggu|08:00</t>
  </si>
  <si>
    <t xml:space="preserve">KWC|- Lane 6 - Minggu|08:45</t>
  </si>
  <si>
    <t xml:space="preserve">KWC|- Lane 6 - Minggu|09:30</t>
  </si>
  <si>
    <t xml:space="preserve">KWC|- Lane 6 - Minggu|10:15</t>
  </si>
  <si>
    <t xml:space="preserve">KWC|- Lane 6 - Minggu|11:00</t>
  </si>
  <si>
    <t xml:space="preserve">KWC|- Lane 6 - Minggu|11:45</t>
  </si>
  <si>
    <t xml:space="preserve">KWC|- Lane 6 - Minggu|13:15</t>
  </si>
  <si>
    <t xml:space="preserve">KWC|- Lane 6 - Minggu|14:00</t>
  </si>
  <si>
    <t xml:space="preserve">KWC|- Lane 6 - Minggu|14:45</t>
  </si>
  <si>
    <t xml:space="preserve">KWC|- Lane 6 - Minggu|15:30</t>
  </si>
  <si>
    <t xml:space="preserve"> - Lane 6 - Minggu - 16:15</t>
  </si>
  <si>
    <t xml:space="preserve">KWC|- Lane 6 - Minggu|16:15</t>
  </si>
  <si>
    <t xml:space="preserve">KWC|- Lane 6 - Minggu|17:00</t>
  </si>
  <si>
    <t xml:space="preserve">PML</t>
  </si>
  <si>
    <t xml:space="preserve">Baby - Lane 1 - Senin - 08:15</t>
  </si>
  <si>
    <t xml:space="preserve">PML|- Lane 1 - Senin|08:15</t>
  </si>
  <si>
    <t xml:space="preserve">Baby - Lane 1 - Senin - 09:00</t>
  </si>
  <si>
    <t xml:space="preserve">Kamal</t>
  </si>
  <si>
    <t xml:space="preserve">PML|- Lane 1 - Senin|09:00</t>
  </si>
  <si>
    <t xml:space="preserve">Baby - Lane 1 - Senin - 09:45</t>
  </si>
  <si>
    <t xml:space="preserve">PML|- Lane 1 - Senin|09:45</t>
  </si>
  <si>
    <t xml:space="preserve">PML|- Lane 1 - Senin|10:30</t>
  </si>
  <si>
    <t xml:space="preserve">Baby - Lane 1 - Senin - 11:15</t>
  </si>
  <si>
    <t xml:space="preserve">PML|- Lane 1 - Senin|11:15</t>
  </si>
  <si>
    <t xml:space="preserve">PML|- Lane 1 - Senin|12:00</t>
  </si>
  <si>
    <t xml:space="preserve">Baby - Lane 1 - Senin - 13:30</t>
  </si>
  <si>
    <t xml:space="preserve">PML|- Lane 1 - Senin|13:30</t>
  </si>
  <si>
    <t xml:space="preserve">Baby - Lane 1 - Senin - 14:15</t>
  </si>
  <si>
    <t xml:space="preserve">PML|- Lane 1 - Senin|14:15</t>
  </si>
  <si>
    <t xml:space="preserve"> - Lane 1 - Senin - 15:00</t>
  </si>
  <si>
    <t xml:space="preserve">PML|- Lane 1 - Senin|15:00</t>
  </si>
  <si>
    <t xml:space="preserve">PML|- Lane 1 - Senin|15:45</t>
  </si>
  <si>
    <t xml:space="preserve"> - Lane 1 - Senin - 16:30</t>
  </si>
  <si>
    <t xml:space="preserve">PML|- Lane 1 - Senin|16:30</t>
  </si>
  <si>
    <t xml:space="preserve">PML|- Lane 1 - Senin|17:15</t>
  </si>
  <si>
    <t xml:space="preserve">Baby - Lane 1 - Selasa - 08:15</t>
  </si>
  <si>
    <t xml:space="preserve">PML|- Lane 1 - Selasa|08:15</t>
  </si>
  <si>
    <t xml:space="preserve">Baby - Lane 1 - Selasa - 09:00</t>
  </si>
  <si>
    <t xml:space="preserve">PML|- Lane 1 - Selasa|09:00</t>
  </si>
  <si>
    <t xml:space="preserve">Baby - Lane 1 - Selasa - 09:45</t>
  </si>
  <si>
    <t xml:space="preserve">PML|- Lane 1 - Selasa|09:45</t>
  </si>
  <si>
    <t xml:space="preserve">PML|- Lane 1 - Selasa|10:30</t>
  </si>
  <si>
    <t xml:space="preserve">PML|- Lane 1 - Selasa|11:15</t>
  </si>
  <si>
    <t xml:space="preserve">Baby - Lane 1 - Selasa - 12:00</t>
  </si>
  <si>
    <t xml:space="preserve">PML|- Lane 1 - Selasa|12:00</t>
  </si>
  <si>
    <t xml:space="preserve">Baby - Lane 1 - Selasa - 13:30</t>
  </si>
  <si>
    <t xml:space="preserve">PML|- Lane 1 - Selasa|13:30</t>
  </si>
  <si>
    <t xml:space="preserve">Baby - Lane 1 - Selasa - 14:15</t>
  </si>
  <si>
    <t xml:space="preserve">PML|- Lane 1 - Selasa|14:15</t>
  </si>
  <si>
    <t xml:space="preserve"> - Lane 1 - Selasa - 15:00</t>
  </si>
  <si>
    <t xml:space="preserve">PML|- Lane 1 - Selasa|15:00</t>
  </si>
  <si>
    <t xml:space="preserve">PML|- Lane 1 - Selasa|15:45</t>
  </si>
  <si>
    <t xml:space="preserve">PML|- Lane 1 - Selasa|16:30</t>
  </si>
  <si>
    <t xml:space="preserve"> - Lane 1 - Selasa - 17:15</t>
  </si>
  <si>
    <t xml:space="preserve">PML|- Lane 1 - Selasa|17:15</t>
  </si>
  <si>
    <t xml:space="preserve">Baby - Lane 1 - Rabu - 08:15</t>
  </si>
  <si>
    <t xml:space="preserve">PML|- Lane 1 - Rabu|08:15</t>
  </si>
  <si>
    <t xml:space="preserve">PML|- Lane 1 - Rabu|09:00</t>
  </si>
  <si>
    <t xml:space="preserve">Baby - Lane 1 - Rabu - 09:45</t>
  </si>
  <si>
    <t xml:space="preserve">Laksamana</t>
  </si>
  <si>
    <t xml:space="preserve">PML|- Lane 1 - Rabu|09:45</t>
  </si>
  <si>
    <t xml:space="preserve">Baby - Lane 1 - Rabu - 10:30</t>
  </si>
  <si>
    <t xml:space="preserve">PML|- Lane 1 - Rabu|10:30</t>
  </si>
  <si>
    <t xml:space="preserve">PML|- Lane 1 - Rabu|11:15</t>
  </si>
  <si>
    <t xml:space="preserve">Baby - Lane 1 - Rabu - 12:00</t>
  </si>
  <si>
    <t xml:space="preserve">PML|- Lane 1 - Rabu|12:00</t>
  </si>
  <si>
    <t xml:space="preserve">Little - Lane 1 - Rabu - 13:30</t>
  </si>
  <si>
    <t xml:space="preserve">PML|- Lane 1 - Rabu|13:30</t>
  </si>
  <si>
    <t xml:space="preserve">Baby - Lane 1 - Rabu - 14:15</t>
  </si>
  <si>
    <t xml:space="preserve">PML|- Lane 1 - Rabu|14:15</t>
  </si>
  <si>
    <t xml:space="preserve"> - Lane 1 - Rabu - 15:00</t>
  </si>
  <si>
    <t xml:space="preserve">PML|- Lane 1 - Rabu|15:00</t>
  </si>
  <si>
    <t xml:space="preserve"> - Lane 1 - Rabu - 15:45</t>
  </si>
  <si>
    <t xml:space="preserve">PML|- Lane 1 - Rabu|15:45</t>
  </si>
  <si>
    <t xml:space="preserve">Baby - Lane 1 - Rabu - 16:30</t>
  </si>
  <si>
    <t xml:space="preserve">PML|- Lane 1 - Rabu|16:30</t>
  </si>
  <si>
    <t xml:space="preserve">PML|- Lane 1 - Rabu|17:15</t>
  </si>
  <si>
    <t xml:space="preserve">Baby - Lane 1 - Kamis - 08:15</t>
  </si>
  <si>
    <t xml:space="preserve">PML|- Lane 1 - Kamis|08:15</t>
  </si>
  <si>
    <t xml:space="preserve">Baby - Lane 1 - Kamis - 09:00</t>
  </si>
  <si>
    <t xml:space="preserve">PML|- Lane 1 - Kamis|09:00</t>
  </si>
  <si>
    <t xml:space="preserve">Baby - Lane 1 - Kamis - 09:45</t>
  </si>
  <si>
    <t xml:space="preserve">PML|- Lane 1 - Kamis|09:45</t>
  </si>
  <si>
    <t xml:space="preserve">Baby - Lane 1 - Kamis - 10:30</t>
  </si>
  <si>
    <t xml:space="preserve">PML|- Lane 1 - Kamis|10:30</t>
  </si>
  <si>
    <t xml:space="preserve">Baby - Lane 1 - Kamis - 11:15</t>
  </si>
  <si>
    <t xml:space="preserve">PML|- Lane 1 - Kamis|11:15</t>
  </si>
  <si>
    <t xml:space="preserve">Baby - Lane 1 - Kamis - 12:00</t>
  </si>
  <si>
    <t xml:space="preserve">PML|- Lane 1 - Kamis|12:00</t>
  </si>
  <si>
    <t xml:space="preserve">Baby - Lane 1 - Kamis - 13:30</t>
  </si>
  <si>
    <t xml:space="preserve">PML|- Lane 1 - Kamis|13:30</t>
  </si>
  <si>
    <t xml:space="preserve">Baby - Lane 1 - Kamis - 14:15</t>
  </si>
  <si>
    <t xml:space="preserve">PML|- Lane 1 - Kamis|14:15</t>
  </si>
  <si>
    <t xml:space="preserve">PML|- Lane 1 - Kamis|15:00</t>
  </si>
  <si>
    <t xml:space="preserve"> - Lane 1 - Kamis - 15:45</t>
  </si>
  <si>
    <t xml:space="preserve">PML|- Lane 1 - Kamis|15:45</t>
  </si>
  <si>
    <t xml:space="preserve">KIDS - Lane 1 - Kamis - 16:30</t>
  </si>
  <si>
    <t xml:space="preserve">Shofwan</t>
  </si>
  <si>
    <t xml:space="preserve">PML|- Lane 1 - Kamis|16:30</t>
  </si>
  <si>
    <t xml:space="preserve">PML|- Lane 1 - Kamis|17:15</t>
  </si>
  <si>
    <t xml:space="preserve">Baby - Lane 1 - Jumat - 08:15</t>
  </si>
  <si>
    <t xml:space="preserve">PML|- Lane 1 - Jumat|08:15</t>
  </si>
  <si>
    <t xml:space="preserve">Damai</t>
  </si>
  <si>
    <t xml:space="preserve">PML|- Lane 1 - Jumat|09:00</t>
  </si>
  <si>
    <t xml:space="preserve">Baby - Lane 1 - Jumat - 09:45</t>
  </si>
  <si>
    <t xml:space="preserve">PML|- Lane 1 - Jumat|09:45</t>
  </si>
  <si>
    <t xml:space="preserve">Baby - Lane 1 - Jumat - 10:30</t>
  </si>
  <si>
    <t xml:space="preserve">PML|- Lane 1 - Jumat|10:30</t>
  </si>
  <si>
    <t xml:space="preserve">Baby - Lane 1 - Jumat - 11:15</t>
  </si>
  <si>
    <t xml:space="preserve">PML|- Lane 1 - Jumat|11:15</t>
  </si>
  <si>
    <t xml:space="preserve">Baby - Lane 1 - Jumat - 12:00</t>
  </si>
  <si>
    <t xml:space="preserve">PML|- Lane 1 - Jumat|12:00</t>
  </si>
  <si>
    <t xml:space="preserve">KIDS - Lane 1 - Jumat - 13:30</t>
  </si>
  <si>
    <t xml:space="preserve">PML|- Lane 1 - Jumat|13:30</t>
  </si>
  <si>
    <t xml:space="preserve">Baby - Lane 1 - Jumat - 14:15</t>
  </si>
  <si>
    <t xml:space="preserve">PML|- Lane 1 - Jumat|14:15</t>
  </si>
  <si>
    <t xml:space="preserve"> - Lane 1 - Jumat - 15:00</t>
  </si>
  <si>
    <t xml:space="preserve">PML|- Lane 1 - Jumat|15:00</t>
  </si>
  <si>
    <t xml:space="preserve">KIDS - Lane 1 - Jumat - 15:45</t>
  </si>
  <si>
    <t xml:space="preserve">PML|- Lane 1 - Jumat|15:45</t>
  </si>
  <si>
    <t xml:space="preserve">Baby - Lane 1 - Jumat - 16:30</t>
  </si>
  <si>
    <t xml:space="preserve">PML|- Lane 1 - Jumat|16:30</t>
  </si>
  <si>
    <t xml:space="preserve">PML|- Lane 1 - Jumat|17:15</t>
  </si>
  <si>
    <t xml:space="preserve">-</t>
  </si>
  <si>
    <t xml:space="preserve">- - Lane 1 - Sabtu - 08:15</t>
  </si>
  <si>
    <t xml:space="preserve">PML|- Lane 1 - Sabtu|08:15</t>
  </si>
  <si>
    <t xml:space="preserve">PML|- Lane 1 - Sabtu|09:00</t>
  </si>
  <si>
    <t xml:space="preserve">PML|- Lane 1 - Sabtu|09:45</t>
  </si>
  <si>
    <t xml:space="preserve">PML|- Lane 1 - Sabtu|10:30</t>
  </si>
  <si>
    <t xml:space="preserve">Baby - Lane 1 - Sabtu - 11:15</t>
  </si>
  <si>
    <t xml:space="preserve">PML|- Lane 1 - Sabtu|11:15</t>
  </si>
  <si>
    <t xml:space="preserve">Baby - Lane 1 - Sabtu - 12:00</t>
  </si>
  <si>
    <t xml:space="preserve">PML|- Lane 1 - Sabtu|12:00</t>
  </si>
  <si>
    <t xml:space="preserve">PML|- Lane 1 - Sabtu|13:30</t>
  </si>
  <si>
    <t xml:space="preserve">Baby - Lane 1 - Sabtu - 14:15</t>
  </si>
  <si>
    <t xml:space="preserve">PML|- Lane 1 - Sabtu|14:15</t>
  </si>
  <si>
    <t xml:space="preserve">PML|- Lane 1 - Sabtu|15:00</t>
  </si>
  <si>
    <t xml:space="preserve">Baby - Lane 1 - Sabtu - 15:45</t>
  </si>
  <si>
    <t xml:space="preserve">PML|- Lane 1 - Sabtu|15:45</t>
  </si>
  <si>
    <t xml:space="preserve">Indah</t>
  </si>
  <si>
    <t xml:space="preserve">PML|- Lane 1 - Sabtu|16:30</t>
  </si>
  <si>
    <t xml:space="preserve">Baby - Lane 1 - Sabtu - 17:15</t>
  </si>
  <si>
    <t xml:space="preserve">PML|- Lane 1 - Sabtu|17:15</t>
  </si>
  <si>
    <t xml:space="preserve">Baby - Lane 1 - Minggu - 08:15</t>
  </si>
  <si>
    <t xml:space="preserve">PML|- Lane 1 - Minggu|08:15</t>
  </si>
  <si>
    <t xml:space="preserve">PML|- Lane 1 - Minggu|09:00</t>
  </si>
  <si>
    <t xml:space="preserve">PML|- Lane 1 - Minggu|09:45</t>
  </si>
  <si>
    <t xml:space="preserve">PML|- Lane 1 - Minggu|10:30</t>
  </si>
  <si>
    <t xml:space="preserve">Baby - Lane 1 - Minggu - 11:15</t>
  </si>
  <si>
    <t xml:space="preserve">PML|- Lane 1 - Minggu|11:15</t>
  </si>
  <si>
    <t xml:space="preserve">Baby - Lane 1 - Minggu - 12:00</t>
  </si>
  <si>
    <t xml:space="preserve">PML|- Lane 1 - Minggu|12:00</t>
  </si>
  <si>
    <t xml:space="preserve">PML|- Lane 1 - Minggu|13:30</t>
  </si>
  <si>
    <t xml:space="preserve">Baby - Lane 1 - Minggu - 14:15</t>
  </si>
  <si>
    <t xml:space="preserve">PML|- Lane 1 - Minggu|14:15</t>
  </si>
  <si>
    <t xml:space="preserve">PML|- Lane 1 - Minggu|15:00</t>
  </si>
  <si>
    <t xml:space="preserve">KIDS - Lane 1 - Minggu - 15:45</t>
  </si>
  <si>
    <t xml:space="preserve">PML|- Lane 1 - Minggu|15:45</t>
  </si>
  <si>
    <t xml:space="preserve">Baby - Lane 1 - Minggu - 16:30</t>
  </si>
  <si>
    <t xml:space="preserve">PML|- Lane 1 - Minggu|16:30</t>
  </si>
  <si>
    <t xml:space="preserve">Baby - Lane 1 - Minggu - 17:15</t>
  </si>
  <si>
    <t xml:space="preserve">PML|- Lane 1 - Minggu|17:15</t>
  </si>
  <si>
    <t xml:space="preserve">PML|- Lane 1 - Senin|07:30</t>
  </si>
  <si>
    <t xml:space="preserve">PML|- Lane 1 - Selasa|07:30</t>
  </si>
  <si>
    <t xml:space="preserve">PML|- Lane 1 - Rabu|07:30</t>
  </si>
  <si>
    <t xml:space="preserve">PML|- Lane 1 - Kamis|07:30</t>
  </si>
  <si>
    <t xml:space="preserve">PML|- Lane 1 - Jumat|07:30</t>
  </si>
  <si>
    <t xml:space="preserve">PML|- Lane 1 - Sabtu|07:30</t>
  </si>
  <si>
    <t xml:space="preserve">PML|- Lane 1 - Minggu|07:30</t>
  </si>
  <si>
    <t xml:space="preserve">PML|- Lane 1 - Senin|18:00</t>
  </si>
  <si>
    <t xml:space="preserve">PML|- Lane 1 - Selasa|18:00</t>
  </si>
  <si>
    <t xml:space="preserve">PML|- Lane 1 - Rabu|18:00</t>
  </si>
  <si>
    <t xml:space="preserve">PML|- Lane 1 - Kamis|18:00</t>
  </si>
  <si>
    <t xml:space="preserve">PML|- Lane 1 - Jumat|18:00</t>
  </si>
  <si>
    <t xml:space="preserve">PML|- Lane 1 - Sabtu|18:00</t>
  </si>
  <si>
    <t xml:space="preserve">PML|- Lane 1 - Minggu|18:00</t>
  </si>
  <si>
    <t xml:space="preserve">PML|- Lane 2 - Senin|08:15</t>
  </si>
  <si>
    <t xml:space="preserve">PML|- Lane 2 - Senin|09:00</t>
  </si>
  <si>
    <t xml:space="preserve">PML|- Lane 2 - Senin|09:45</t>
  </si>
  <si>
    <t xml:space="preserve">PML|- Lane 2 - Senin|10:30</t>
  </si>
  <si>
    <t xml:space="preserve">PML|- Lane 2 - Senin|11:15</t>
  </si>
  <si>
    <t xml:space="preserve">PML|- Lane 2 - Senin|12:00</t>
  </si>
  <si>
    <t xml:space="preserve">PML|- Lane 2 - Senin|13:30</t>
  </si>
  <si>
    <t xml:space="preserve">PML|- Lane 2 - Senin|14:15</t>
  </si>
  <si>
    <t xml:space="preserve"> - Lane 2 - Senin - 15:00</t>
  </si>
  <si>
    <t xml:space="preserve">PML|- Lane 2 - Senin|15:00</t>
  </si>
  <si>
    <t xml:space="preserve"> - Lane 2 - Senin - 15:45</t>
  </si>
  <si>
    <t xml:space="preserve">PML|- Lane 2 - Senin|15:45</t>
  </si>
  <si>
    <t xml:space="preserve"> - Lane 2 - Senin - 16:30</t>
  </si>
  <si>
    <t xml:space="preserve">PML|- Lane 2 - Senin|16:30</t>
  </si>
  <si>
    <t xml:space="preserve"> - Lane 2 - Senin - 17:15</t>
  </si>
  <si>
    <t xml:space="preserve">PML|- Lane 2 - Senin|17:15</t>
  </si>
  <si>
    <t xml:space="preserve">PML|- Lane 2 - Selasa|08:15</t>
  </si>
  <si>
    <t xml:space="preserve">PML|- Lane 2 - Selasa|09:00</t>
  </si>
  <si>
    <t xml:space="preserve">PML|- Lane 2 - Selasa|09:45</t>
  </si>
  <si>
    <t xml:space="preserve">PML|- Lane 2 - Selasa|10:30</t>
  </si>
  <si>
    <t xml:space="preserve">PML|- Lane 2 - Selasa|11:15</t>
  </si>
  <si>
    <t xml:space="preserve">PML|- Lane 2 - Selasa|12:00</t>
  </si>
  <si>
    <t xml:space="preserve">PML|- Lane 2 - Selasa|13:30</t>
  </si>
  <si>
    <t xml:space="preserve">PML|- Lane 2 - Selasa|14:15</t>
  </si>
  <si>
    <t xml:space="preserve"> - Lane 2 - Selasa - 15:00</t>
  </si>
  <si>
    <t xml:space="preserve">PML|- Lane 2 - Selasa|15:00</t>
  </si>
  <si>
    <t xml:space="preserve"> - Lane 2 - Selasa - 15:45</t>
  </si>
  <si>
    <t xml:space="preserve">PML|- Lane 2 - Selasa|15:45</t>
  </si>
  <si>
    <t xml:space="preserve">PML|- Lane 2 - Selasa|16:30</t>
  </si>
  <si>
    <t xml:space="preserve"> - Lane 2 - Selasa - 17:15</t>
  </si>
  <si>
    <t xml:space="preserve">PML|- Lane 2 - Selasa|17:15</t>
  </si>
  <si>
    <t xml:space="preserve">PML|- Lane 2 - Rabu|08:15</t>
  </si>
  <si>
    <t xml:space="preserve">PML|- Lane 2 - Rabu|09:00</t>
  </si>
  <si>
    <t xml:space="preserve">PML|- Lane 2 - Rabu|09:45</t>
  </si>
  <si>
    <t xml:space="preserve">PML|- Lane 2 - Rabu|10:30</t>
  </si>
  <si>
    <t xml:space="preserve">PML|- Lane 2 - Rabu|11:15</t>
  </si>
  <si>
    <t xml:space="preserve">PML|- Lane 2 - Rabu|12:00</t>
  </si>
  <si>
    <t xml:space="preserve">PML|- Lane 2 - Rabu|13:30</t>
  </si>
  <si>
    <t xml:space="preserve">PML|- Lane 2 - Rabu|14:15</t>
  </si>
  <si>
    <t xml:space="preserve"> - Lane 2 - Rabu - 15:00</t>
  </si>
  <si>
    <t xml:space="preserve">PML|- Lane 2 - Rabu|15:00</t>
  </si>
  <si>
    <t xml:space="preserve"> - Lane 2 - Rabu - 15:45</t>
  </si>
  <si>
    <t xml:space="preserve">PML|- Lane 2 - Rabu|15:45</t>
  </si>
  <si>
    <t xml:space="preserve">PML|- Lane 2 - Rabu|16:30</t>
  </si>
  <si>
    <t xml:space="preserve"> - Lane 2 - Rabu - 17:15</t>
  </si>
  <si>
    <t xml:space="preserve">PML|- Lane 2 - Rabu|17:15</t>
  </si>
  <si>
    <t xml:space="preserve">PML|- Lane 2 - Kamis|08:15</t>
  </si>
  <si>
    <t xml:space="preserve">PML|- Lane 2 - Kamis|09:00</t>
  </si>
  <si>
    <t xml:space="preserve">PML|- Lane 2 - Kamis|09:45</t>
  </si>
  <si>
    <t xml:space="preserve">PML|- Lane 2 - Kamis|10:30</t>
  </si>
  <si>
    <t xml:space="preserve">PML|- Lane 2 - Kamis|11:15</t>
  </si>
  <si>
    <t xml:space="preserve">PML|- Lane 2 - Kamis|12:00</t>
  </si>
  <si>
    <t xml:space="preserve">PML|- Lane 2 - Kamis|13:30</t>
  </si>
  <si>
    <t xml:space="preserve">PML|- Lane 2 - Kamis|14:15</t>
  </si>
  <si>
    <t xml:space="preserve"> - Lane 2 - Kamis - 15:00</t>
  </si>
  <si>
    <t xml:space="preserve">PML|- Lane 2 - Kamis|15:00</t>
  </si>
  <si>
    <t xml:space="preserve"> - Lane 2 - Kamis - 15:45</t>
  </si>
  <si>
    <t xml:space="preserve">PML|- Lane 2 - Kamis|15:45</t>
  </si>
  <si>
    <t xml:space="preserve">PML|- Lane 2 - Kamis|16:30</t>
  </si>
  <si>
    <t xml:space="preserve"> - Lane 2 - Kamis - 17:15</t>
  </si>
  <si>
    <t xml:space="preserve">PML|- Lane 2 - Kamis|17:15</t>
  </si>
  <si>
    <t xml:space="preserve">PML|- Lane 2 - Jumat|08:15</t>
  </si>
  <si>
    <t xml:space="preserve">PML|- Lane 2 - Jumat|09:00</t>
  </si>
  <si>
    <t xml:space="preserve">PML|- Lane 2 - Jumat|09:45</t>
  </si>
  <si>
    <t xml:space="preserve">PML|- Lane 2 - Jumat|10:30</t>
  </si>
  <si>
    <t xml:space="preserve">PML|- Lane 2 - Jumat|11:15</t>
  </si>
  <si>
    <t xml:space="preserve">PML|- Lane 2 - Jumat|12:00</t>
  </si>
  <si>
    <t xml:space="preserve">PML|- Lane 2 - Jumat|13:30</t>
  </si>
  <si>
    <t xml:space="preserve">PML|- Lane 2 - Jumat|14:15</t>
  </si>
  <si>
    <t xml:space="preserve">PML|- Lane 2 - Jumat|15:00</t>
  </si>
  <si>
    <t xml:space="preserve">Tiny - Lane 2 - Jumat - 15:45</t>
  </si>
  <si>
    <t xml:space="preserve">PML|- Lane 2 - Jumat|15:45</t>
  </si>
  <si>
    <t xml:space="preserve">PML|- Lane 2 - Jumat|16:30</t>
  </si>
  <si>
    <t xml:space="preserve">PML|- Lane 2 - Jumat|17:15</t>
  </si>
  <si>
    <t xml:space="preserve">PML|- Lane 2 - Sabtu|08:15</t>
  </si>
  <si>
    <t xml:space="preserve">PML|- Lane 2 - Sabtu|09:00</t>
  </si>
  <si>
    <t xml:space="preserve">PML|- Lane 2 - Sabtu|09:45</t>
  </si>
  <si>
    <t xml:space="preserve">PML|- Lane 2 - Sabtu|10:30</t>
  </si>
  <si>
    <t xml:space="preserve">PML|- Lane 2 - Sabtu|11:15</t>
  </si>
  <si>
    <t xml:space="preserve">Tiny - Lane 2 - Sabtu - 12:00</t>
  </si>
  <si>
    <t xml:space="preserve">PML|- Lane 2 - Sabtu|12:00</t>
  </si>
  <si>
    <t xml:space="preserve">PML|- Lane 2 - Sabtu|13:30</t>
  </si>
  <si>
    <t xml:space="preserve">PML|- Lane 2 - Sabtu|14:15</t>
  </si>
  <si>
    <t xml:space="preserve">PML|- Lane 2 - Sabtu|15:00</t>
  </si>
  <si>
    <t xml:space="preserve">Tiny - Lane 2 - Sabtu - 15:45</t>
  </si>
  <si>
    <t xml:space="preserve">PML|- Lane 2 - Sabtu|15:45</t>
  </si>
  <si>
    <t xml:space="preserve">PML|- Lane 2 - Sabtu|16:30</t>
  </si>
  <si>
    <t xml:space="preserve">PML|- Lane 2 - Sabtu|17:15</t>
  </si>
  <si>
    <t xml:space="preserve">PML|- Lane 2 - Minggu|08:15</t>
  </si>
  <si>
    <t xml:space="preserve">PML|- Lane 2 - Minggu|09:00</t>
  </si>
  <si>
    <t xml:space="preserve">PML|- Lane 2 - Minggu|09:45</t>
  </si>
  <si>
    <t xml:space="preserve">PML|- Lane 2 - Minggu|10:30</t>
  </si>
  <si>
    <t xml:space="preserve">PML|- Lane 2 - Minggu|11:15</t>
  </si>
  <si>
    <t xml:space="preserve">PML|- Lane 2 - Minggu|12:00</t>
  </si>
  <si>
    <t xml:space="preserve">PML|- Lane 2 - Minggu|13:30</t>
  </si>
  <si>
    <t xml:space="preserve">Tiny - Lane 2 - Minggu - 14:15</t>
  </si>
  <si>
    <t xml:space="preserve">PML|- Lane 2 - Minggu|14:15</t>
  </si>
  <si>
    <t xml:space="preserve">PML|- Lane 2 - Minggu|15:00</t>
  </si>
  <si>
    <t xml:space="preserve">PML|- Lane 2 - Minggu|15:45</t>
  </si>
  <si>
    <t xml:space="preserve">PML|- Lane 2 - Minggu|16:30</t>
  </si>
  <si>
    <t xml:space="preserve">PML|- Lane 2 - Minggu|17:15</t>
  </si>
  <si>
    <t xml:space="preserve">PML|- Lane 3 - Senin|08:00</t>
  </si>
  <si>
    <t xml:space="preserve">PML|- Lane 3 - Senin|08:45</t>
  </si>
  <si>
    <t xml:space="preserve">Dadi</t>
  </si>
  <si>
    <t xml:space="preserve">PML|- Lane 3 - Senin|09:30</t>
  </si>
  <si>
    <t xml:space="preserve">PML|- Lane 3 - Senin|10:15</t>
  </si>
  <si>
    <t xml:space="preserve">PML|- Lane 3 - Senin|11:00</t>
  </si>
  <si>
    <t xml:space="preserve">PML|- Lane 3 - Senin|11:45</t>
  </si>
  <si>
    <t xml:space="preserve">PML|- Lane 3 - Senin|13:15</t>
  </si>
  <si>
    <t xml:space="preserve">PML|- Lane 3 - Senin|14:00</t>
  </si>
  <si>
    <t xml:space="preserve">PML|- Lane 3 - Senin|14:45</t>
  </si>
  <si>
    <t xml:space="preserve">PML|- Lane 3 - Senin|15:30</t>
  </si>
  <si>
    <t xml:space="preserve">PML|- Lane 3 - Senin|16:15</t>
  </si>
  <si>
    <t xml:space="preserve">PML|- Lane 3 - Senin|17:00</t>
  </si>
  <si>
    <t xml:space="preserve">PML|- Lane 3 - Selasa|08:00</t>
  </si>
  <si>
    <t xml:space="preserve">PML|- Lane 3 - Selasa|08:45</t>
  </si>
  <si>
    <t xml:space="preserve">PML|- Lane 3 - Selasa|09:30</t>
  </si>
  <si>
    <t xml:space="preserve">PML|- Lane 3 - Selasa|10:15</t>
  </si>
  <si>
    <t xml:space="preserve">PML|- Lane 3 - Selasa|11:00</t>
  </si>
  <si>
    <t xml:space="preserve">PML|- Lane 3 - Selasa|11:45</t>
  </si>
  <si>
    <t xml:space="preserve">PML|- Lane 3 - Selasa|13:15</t>
  </si>
  <si>
    <t xml:space="preserve">PML|- Lane 3 - Selasa|14:00</t>
  </si>
  <si>
    <t xml:space="preserve">Dyana</t>
  </si>
  <si>
    <t xml:space="preserve">PML|- Lane 3 - Selasa|14:45</t>
  </si>
  <si>
    <t xml:space="preserve">PML|- Lane 3 - Selasa|15:30</t>
  </si>
  <si>
    <t xml:space="preserve">PML|- Lane 3 - Selasa|16:15</t>
  </si>
  <si>
    <t xml:space="preserve">PML|- Lane 3 - Selasa|17:00</t>
  </si>
  <si>
    <t xml:space="preserve">PML|- Lane 3 - Rabu|08:00</t>
  </si>
  <si>
    <t xml:space="preserve">PML|- Lane 3 - Rabu|08:45</t>
  </si>
  <si>
    <t xml:space="preserve">PML|- Lane 3 - Rabu|09:30</t>
  </si>
  <si>
    <t xml:space="preserve">PML|- Lane 3 - Rabu|10:15</t>
  </si>
  <si>
    <t xml:space="preserve">ZIdan</t>
  </si>
  <si>
    <t xml:space="preserve">PML|- Lane 3 - Rabu|11:00</t>
  </si>
  <si>
    <t xml:space="preserve">PML|- Lane 3 - Rabu|11:45</t>
  </si>
  <si>
    <t xml:space="preserve">PML|- Lane 3 - Rabu|13:15</t>
  </si>
  <si>
    <t xml:space="preserve">PML|- Lane 3 - Rabu|14:00</t>
  </si>
  <si>
    <t xml:space="preserve">PML|- Lane 3 - Rabu|14:45</t>
  </si>
  <si>
    <t xml:space="preserve">PML|- Lane 3 - Rabu|15:30</t>
  </si>
  <si>
    <t xml:space="preserve">PML|- Lane 3 - Rabu|16:15</t>
  </si>
  <si>
    <t xml:space="preserve">PML|- Lane 3 - Rabu|17:00</t>
  </si>
  <si>
    <t xml:space="preserve">PML|- Lane 3 - Kamis|08:00</t>
  </si>
  <si>
    <t xml:space="preserve">PML|- Lane 3 - Kamis|08:45</t>
  </si>
  <si>
    <t xml:space="preserve">Zidan</t>
  </si>
  <si>
    <t xml:space="preserve">PML|- Lane 3 - Kamis|09:30</t>
  </si>
  <si>
    <t xml:space="preserve">PML|- Lane 3 - Kamis|10:15</t>
  </si>
  <si>
    <t xml:space="preserve">PML|- Lane 3 - Kamis|11:00</t>
  </si>
  <si>
    <t xml:space="preserve">PML|- Lane 3 - Kamis|11:45</t>
  </si>
  <si>
    <t xml:space="preserve">PML|- Lane 3 - Kamis|13:15</t>
  </si>
  <si>
    <t xml:space="preserve">PML|- Lane 3 - Kamis|14:00</t>
  </si>
  <si>
    <t xml:space="preserve">PML|- Lane 3 - Kamis|14:45</t>
  </si>
  <si>
    <t xml:space="preserve">PML|- Lane 3 - Kamis|15:30</t>
  </si>
  <si>
    <t xml:space="preserve">PML|- Lane 3 - Kamis|16:15</t>
  </si>
  <si>
    <t xml:space="preserve">PML|- Lane 3 - Kamis|17:00</t>
  </si>
  <si>
    <t xml:space="preserve">PML|- Lane 3 - Jumat|08:00</t>
  </si>
  <si>
    <t xml:space="preserve">PML|- Lane 3 - Jumat|08:45</t>
  </si>
  <si>
    <t xml:space="preserve">PML|- Lane 3 - Jumat|09:30</t>
  </si>
  <si>
    <t xml:space="preserve">PML|- Lane 3 - Jumat|10:15</t>
  </si>
  <si>
    <t xml:space="preserve">PML|- Lane 3 - Jumat|11:00</t>
  </si>
  <si>
    <t xml:space="preserve">PML|- Lane 3 - Jumat|11:45</t>
  </si>
  <si>
    <t xml:space="preserve">PML|- Lane 3 - Jumat|13:15</t>
  </si>
  <si>
    <t xml:space="preserve">PML|- Lane 3 - Jumat|14:00</t>
  </si>
  <si>
    <t xml:space="preserve">PML|- Lane 3 - Jumat|14:45</t>
  </si>
  <si>
    <t xml:space="preserve">PML|- Lane 3 - Jumat|15:30</t>
  </si>
  <si>
    <t xml:space="preserve">PML|- Lane 3 - Jumat|16:15</t>
  </si>
  <si>
    <t xml:space="preserve">PML|- Lane 3 - Jumat|17:00</t>
  </si>
  <si>
    <t xml:space="preserve">PML|- Lane 3 - Sabtu|08:00</t>
  </si>
  <si>
    <t xml:space="preserve">PML|- Lane 3 - Sabtu|08:45</t>
  </si>
  <si>
    <t xml:space="preserve">PML|- Lane 3 - Sabtu|09:30</t>
  </si>
  <si>
    <t xml:space="preserve">PML|- Lane 3 - Sabtu|10:15</t>
  </si>
  <si>
    <t xml:space="preserve">PML|- Lane 3 - Sabtu|11:00</t>
  </si>
  <si>
    <t xml:space="preserve">PML|- Lane 3 - Sabtu|11:45</t>
  </si>
  <si>
    <t xml:space="preserve">PML|- Lane 3 - Sabtu|13:15</t>
  </si>
  <si>
    <t xml:space="preserve">PML|- Lane 3 - Sabtu|14:00</t>
  </si>
  <si>
    <t xml:space="preserve">PML|- Lane 3 - Sabtu|14:45</t>
  </si>
  <si>
    <t xml:space="preserve">PML|- Lane 3 - Sabtu|15:30</t>
  </si>
  <si>
    <t xml:space="preserve">PML|- Lane 3 - Sabtu|16:15</t>
  </si>
  <si>
    <t xml:space="preserve">PML|- Lane 3 - Sabtu|17:00</t>
  </si>
  <si>
    <t xml:space="preserve">PML|- Lane 3 - Minggu|08:00</t>
  </si>
  <si>
    <t xml:space="preserve">PML|- Lane 3 - Minggu|08:45</t>
  </si>
  <si>
    <t xml:space="preserve">PML|- Lane 3 - Minggu|09:30</t>
  </si>
  <si>
    <t xml:space="preserve">PML|- Lane 3 - Minggu|10:15</t>
  </si>
  <si>
    <t xml:space="preserve">PML|- Lane 3 - Minggu|11:00</t>
  </si>
  <si>
    <t xml:space="preserve">PML|- Lane 3 - Minggu|11:45</t>
  </si>
  <si>
    <t xml:space="preserve">PML|- Lane 3 - Minggu|13:15</t>
  </si>
  <si>
    <t xml:space="preserve">PML|- Lane 3 - Minggu|14:00</t>
  </si>
  <si>
    <t xml:space="preserve">PML|- Lane 3 - Minggu|14:45</t>
  </si>
  <si>
    <t xml:space="preserve">PML|- Lane 3 - Minggu|15:30</t>
  </si>
  <si>
    <t xml:space="preserve">PML|- Lane 3 - Minggu|16:15</t>
  </si>
  <si>
    <t xml:space="preserve">PML|- Lane 3 - Minggu|17:00</t>
  </si>
  <si>
    <t xml:space="preserve">PML|- Lane 4 - Senin|08:00</t>
  </si>
  <si>
    <t xml:space="preserve">PML|- Lane 4 - Senin|08:45</t>
  </si>
  <si>
    <t xml:space="preserve">PML|- Lane 4 - Senin|09:30</t>
  </si>
  <si>
    <t xml:space="preserve">PML|- Lane 4 - Senin|10:15</t>
  </si>
  <si>
    <t xml:space="preserve">PML|- Lane 4 - Senin|11:00</t>
  </si>
  <si>
    <t xml:space="preserve">PML|- Lane 4 - Senin|11:45</t>
  </si>
  <si>
    <t xml:space="preserve">PML|- Lane 4 - Senin|13:15</t>
  </si>
  <si>
    <t xml:space="preserve">PML|- Lane 4 - Senin|14:00</t>
  </si>
  <si>
    <t xml:space="preserve">PML|- Lane 4 - Senin|14:45</t>
  </si>
  <si>
    <t xml:space="preserve">PML|- Lane 4 - Senin|15:30</t>
  </si>
  <si>
    <t xml:space="preserve">PML|- Lane 4 - Senin|16:15</t>
  </si>
  <si>
    <t xml:space="preserve">PML|- Lane 4 - Senin|17:00</t>
  </si>
  <si>
    <t xml:space="preserve">PML|- Lane 4 - Selasa|08:00</t>
  </si>
  <si>
    <t xml:space="preserve">PML|- Lane 4 - Selasa|08:45</t>
  </si>
  <si>
    <t xml:space="preserve">PML|- Lane 4 - Selasa|09:30</t>
  </si>
  <si>
    <t xml:space="preserve">PML|- Lane 4 - Selasa|10:15</t>
  </si>
  <si>
    <t xml:space="preserve">PML|- Lane 4 - Selasa|11:00</t>
  </si>
  <si>
    <t xml:space="preserve">PML|- Lane 4 - Selasa|11:45</t>
  </si>
  <si>
    <t xml:space="preserve">PML|- Lane 4 - Selasa|13:15</t>
  </si>
  <si>
    <t xml:space="preserve">PML|- Lane 4 - Selasa|14:00</t>
  </si>
  <si>
    <t xml:space="preserve">PML|- Lane 4 - Selasa|14:45</t>
  </si>
  <si>
    <t xml:space="preserve">PML|- Lane 4 - Selasa|15:30</t>
  </si>
  <si>
    <t xml:space="preserve">PML|- Lane 4 - Selasa|16:15</t>
  </si>
  <si>
    <t xml:space="preserve">PML|- Lane 4 - Selasa|17:00</t>
  </si>
  <si>
    <t xml:space="preserve">PML|- Lane 4 - Rabu|08:00</t>
  </si>
  <si>
    <t xml:space="preserve">PML|- Lane 4 - Rabu|08:45</t>
  </si>
  <si>
    <t xml:space="preserve">PML|- Lane 4 - Rabu|09:30</t>
  </si>
  <si>
    <t xml:space="preserve">PML|- Lane 4 - Rabu|10:15</t>
  </si>
  <si>
    <t xml:space="preserve">PML|- Lane 4 - Rabu|11:00</t>
  </si>
  <si>
    <t xml:space="preserve">PML|- Lane 4 - Rabu|11:45</t>
  </si>
  <si>
    <t xml:space="preserve">PML|- Lane 4 - Rabu|13:15</t>
  </si>
  <si>
    <t xml:space="preserve">PML|- Lane 4 - Rabu|14:00</t>
  </si>
  <si>
    <t xml:space="preserve">PML|- Lane 4 - Rabu|14:45</t>
  </si>
  <si>
    <t xml:space="preserve">PML|- Lane 4 - Rabu|15:30</t>
  </si>
  <si>
    <t xml:space="preserve">PML|- Lane 4 - Rabu|16:15</t>
  </si>
  <si>
    <t xml:space="preserve">PML|- Lane 4 - Rabu|17:00</t>
  </si>
  <si>
    <t xml:space="preserve">PML|- Lane 4 - Kamis|08:00</t>
  </si>
  <si>
    <t xml:space="preserve">PML|- Lane 4 - Kamis|08:45</t>
  </si>
  <si>
    <t xml:space="preserve">PML|- Lane 4 - Kamis|09:30</t>
  </si>
  <si>
    <t xml:space="preserve">PML|- Lane 4 - Kamis|10:15</t>
  </si>
  <si>
    <t xml:space="preserve">PML|- Lane 4 - Kamis|11:00</t>
  </si>
  <si>
    <t xml:space="preserve">PML|- Lane 4 - Kamis|11:45</t>
  </si>
  <si>
    <t xml:space="preserve">PML|- Lane 4 - Kamis|13:15</t>
  </si>
  <si>
    <t xml:space="preserve">PML|- Lane 4 - Kamis|14:00</t>
  </si>
  <si>
    <t xml:space="preserve">PML|- Lane 4 - Kamis|14:45</t>
  </si>
  <si>
    <t xml:space="preserve">PML|- Lane 4 - Kamis|15:30</t>
  </si>
  <si>
    <t xml:space="preserve">PML|- Lane 4 - Kamis|16:15</t>
  </si>
  <si>
    <t xml:space="preserve">PML|- Lane 4 - Kamis|17:00</t>
  </si>
  <si>
    <t xml:space="preserve">PML|- Lane 4 - Jumat|08:00</t>
  </si>
  <si>
    <t xml:space="preserve">PML|- Lane 4 - Jumat|08:45</t>
  </si>
  <si>
    <t xml:space="preserve">PML|- Lane 4 - Jumat|09:30</t>
  </si>
  <si>
    <t xml:space="preserve">PML|- Lane 4 - Jumat|10:15</t>
  </si>
  <si>
    <t xml:space="preserve">PML|- Lane 4 - Jumat|11:00</t>
  </si>
  <si>
    <t xml:space="preserve">PML|- Lane 4 - Jumat|11:45</t>
  </si>
  <si>
    <t xml:space="preserve">PML|- Lane 4 - Jumat|13:15</t>
  </si>
  <si>
    <t xml:space="preserve">PML|- Lane 4 - Jumat|14:00</t>
  </si>
  <si>
    <t xml:space="preserve">PML|- Lane 4 - Jumat|14:45</t>
  </si>
  <si>
    <t xml:space="preserve">PML|- Lane 4 - Jumat|15:30</t>
  </si>
  <si>
    <t xml:space="preserve">PML|- Lane 4 - Jumat|16:15</t>
  </si>
  <si>
    <t xml:space="preserve">PML|- Lane 4 - Jumat|17:00</t>
  </si>
  <si>
    <t xml:space="preserve">PML|- Lane 4 - Sabtu|08:00</t>
  </si>
  <si>
    <t xml:space="preserve">PML|- Lane 4 - Sabtu|08:45</t>
  </si>
  <si>
    <t xml:space="preserve">PML|- Lane 4 - Sabtu|09:30</t>
  </si>
  <si>
    <t xml:space="preserve">PML|- Lane 4 - Sabtu|10:15</t>
  </si>
  <si>
    <t xml:space="preserve">PML|- Lane 4 - Sabtu|11:00</t>
  </si>
  <si>
    <t xml:space="preserve">PML|- Lane 4 - Sabtu|11:45</t>
  </si>
  <si>
    <t xml:space="preserve">PML|- Lane 4 - Sabtu|13:15</t>
  </si>
  <si>
    <t xml:space="preserve">PML|- Lane 4 - Sabtu|14:00</t>
  </si>
  <si>
    <t xml:space="preserve">PML|- Lane 4 - Sabtu|14:45</t>
  </si>
  <si>
    <t xml:space="preserve">PML|- Lane 4 - Sabtu|15:30</t>
  </si>
  <si>
    <t xml:space="preserve">PML|- Lane 4 - Sabtu|16:15</t>
  </si>
  <si>
    <t xml:space="preserve">PML|- Lane 4 - Sabtu|17:00</t>
  </si>
  <si>
    <t xml:space="preserve">PML|- Lane 4 - Minggu|08:00</t>
  </si>
  <si>
    <t xml:space="preserve">PML|- Lane 4 - Minggu|08:45</t>
  </si>
  <si>
    <t xml:space="preserve">PML|- Lane 4 - Minggu|09:30</t>
  </si>
  <si>
    <t xml:space="preserve">PML|- Lane 4 - Minggu|10:15</t>
  </si>
  <si>
    <t xml:space="preserve">PML|- Lane 4 - Minggu|11:00</t>
  </si>
  <si>
    <t xml:space="preserve">PML|- Lane 4 - Minggu|11:45</t>
  </si>
  <si>
    <t xml:space="preserve">PML|- Lane 4 - Minggu|13:15</t>
  </si>
  <si>
    <t xml:space="preserve">PML|- Lane 4 - Minggu|14:00</t>
  </si>
  <si>
    <t xml:space="preserve">PML|- Lane 4 - Minggu|14:45</t>
  </si>
  <si>
    <t xml:space="preserve">PML|- Lane 4 - Minggu|15:30</t>
  </si>
  <si>
    <t xml:space="preserve">PML|- Lane 4 - Minggu|16:15</t>
  </si>
  <si>
    <t xml:space="preserve"> - Lane 4 - Minggu - 17:00</t>
  </si>
  <si>
    <t xml:space="preserve">PML|- Lane 4 - Minggu|17:00</t>
  </si>
  <si>
    <t xml:space="preserve">PML|- Lane 5 - Senin|08:00</t>
  </si>
  <si>
    <t xml:space="preserve">PML|- Lane 5 - Senin|08:45</t>
  </si>
  <si>
    <t xml:space="preserve">PML|- Lane 5 - Senin|09:30</t>
  </si>
  <si>
    <t xml:space="preserve">PML|- Lane 5 - Senin|10:15</t>
  </si>
  <si>
    <t xml:space="preserve">PML|- Lane 5 - Senin|11:00</t>
  </si>
  <si>
    <t xml:space="preserve">PML|- Lane 5 - Senin|11:45</t>
  </si>
  <si>
    <t xml:space="preserve">PML|- Lane 5 - Senin|13:15</t>
  </si>
  <si>
    <t xml:space="preserve">PML|- Lane 5 - Senin|14:00</t>
  </si>
  <si>
    <t xml:space="preserve">PML|- Lane 5 - Senin|14:45</t>
  </si>
  <si>
    <t xml:space="preserve"> - Lane 5 - Senin - 15:30</t>
  </si>
  <si>
    <t xml:space="preserve">PML|- Lane 5 - Senin|15:30</t>
  </si>
  <si>
    <t xml:space="preserve">KIDS - Lane 5 - Senin - 16:15</t>
  </si>
  <si>
    <t xml:space="preserve">PML|- Lane 5 - Senin|16:15</t>
  </si>
  <si>
    <t xml:space="preserve">KIDS - Lane 5 - Senin - 17:00</t>
  </si>
  <si>
    <t xml:space="preserve">PML|- Lane 5 - Senin|17:00</t>
  </si>
  <si>
    <t xml:space="preserve">PML|- Lane 5 - Selasa|08:00</t>
  </si>
  <si>
    <t xml:space="preserve">PML|- Lane 5 - Selasa|08:45</t>
  </si>
  <si>
    <t xml:space="preserve">PML|- Lane 5 - Selasa|09:30</t>
  </si>
  <si>
    <t xml:space="preserve">PML|- Lane 5 - Selasa|10:15</t>
  </si>
  <si>
    <t xml:space="preserve">PML|- Lane 5 - Selasa|11:00</t>
  </si>
  <si>
    <t xml:space="preserve">PML|- Lane 5 - Selasa|11:45</t>
  </si>
  <si>
    <t xml:space="preserve">PML|- Lane 5 - Selasa|13:15</t>
  </si>
  <si>
    <t xml:space="preserve">PML|- Lane 5 - Selasa|14:00</t>
  </si>
  <si>
    <t xml:space="preserve">PML|- Lane 5 - Selasa|14:45</t>
  </si>
  <si>
    <t xml:space="preserve">PML|- Lane 5 - Selasa|15:30</t>
  </si>
  <si>
    <t xml:space="preserve">KIDS - Lane 5 - Selasa - 16:15</t>
  </si>
  <si>
    <t xml:space="preserve">PML|- Lane 5 - Selasa|16:15</t>
  </si>
  <si>
    <t xml:space="preserve">KIDS - Lane 5 - Selasa - 17:00</t>
  </si>
  <si>
    <t xml:space="preserve">PML|- Lane 5 - Selasa|17:00</t>
  </si>
  <si>
    <t xml:space="preserve">PML|- Lane 5 - Rabu|08:00</t>
  </si>
  <si>
    <t xml:space="preserve">PML|- Lane 5 - Rabu|08:45</t>
  </si>
  <si>
    <t xml:space="preserve">PML|- Lane 5 - Rabu|09:30</t>
  </si>
  <si>
    <t xml:space="preserve">PML|- Lane 5 - Rabu|10:15</t>
  </si>
  <si>
    <t xml:space="preserve">PML|- Lane 5 - Rabu|11:00</t>
  </si>
  <si>
    <t xml:space="preserve">PML|- Lane 5 - Rabu|11:45</t>
  </si>
  <si>
    <t xml:space="preserve">PML|- Lane 5 - Rabu|13:15</t>
  </si>
  <si>
    <t xml:space="preserve">KIDS - Lane 5 - Rabu - 14:00</t>
  </si>
  <si>
    <t xml:space="preserve">PML|- Lane 5 - Rabu|14:00</t>
  </si>
  <si>
    <t xml:space="preserve">LITTLE</t>
  </si>
  <si>
    <t xml:space="preserve">LITTLE - Lane 5 - Rabu - 14:45</t>
  </si>
  <si>
    <t xml:space="preserve">PML|- Lane 5 - Rabu|14:45</t>
  </si>
  <si>
    <t xml:space="preserve">KIDS - Lane 5 - Rabu - 15:30</t>
  </si>
  <si>
    <t xml:space="preserve">PML|- Lane 5 - Rabu|15:30</t>
  </si>
  <si>
    <t xml:space="preserve">PML|- Lane 5 - Rabu|16:15</t>
  </si>
  <si>
    <t xml:space="preserve"> - Lane 5 - Rabu - 17:00</t>
  </si>
  <si>
    <t xml:space="preserve">PML|- Lane 5 - Rabu|17:00</t>
  </si>
  <si>
    <t xml:space="preserve">PML|- Lane 5 - Kamis|08:00</t>
  </si>
  <si>
    <t xml:space="preserve">PML|- Lane 5 - Kamis|08:45</t>
  </si>
  <si>
    <t xml:space="preserve">PML|- Lane 5 - Kamis|09:30</t>
  </si>
  <si>
    <t xml:space="preserve">PML|- Lane 5 - Kamis|10:15</t>
  </si>
  <si>
    <t xml:space="preserve">LITTLE - Lane 5 - Kamis - 11:00</t>
  </si>
  <si>
    <t xml:space="preserve">PML|- Lane 5 - Kamis|11:00</t>
  </si>
  <si>
    <t xml:space="preserve">PML|- Lane 5 - Kamis|11:45</t>
  </si>
  <si>
    <t xml:space="preserve"> - Lane 5 - Kamis - 13:15</t>
  </si>
  <si>
    <t xml:space="preserve">PML|- Lane 5 - Kamis|13:15</t>
  </si>
  <si>
    <t xml:space="preserve">PML|- Lane 5 - Kamis|14:00</t>
  </si>
  <si>
    <t xml:space="preserve">PML|- Lane 5 - Kamis|14:45</t>
  </si>
  <si>
    <t xml:space="preserve">PML|- Lane 5 - Kamis|15:30</t>
  </si>
  <si>
    <t xml:space="preserve">KIDS - Lane 5 - Kamis - 16:15</t>
  </si>
  <si>
    <t xml:space="preserve">PML|- Lane 5 - Kamis|16:15</t>
  </si>
  <si>
    <t xml:space="preserve">KIDS - Lane 5 - Kamis - 17:00</t>
  </si>
  <si>
    <t xml:space="preserve">PML|- Lane 5 - Kamis|17:00</t>
  </si>
  <si>
    <t xml:space="preserve">PML|- Lane 5 - Jumat|08:00</t>
  </si>
  <si>
    <t xml:space="preserve">BABY</t>
  </si>
  <si>
    <t xml:space="preserve">BABY - Lane 5 - Jumat - 08:45</t>
  </si>
  <si>
    <t xml:space="preserve">PML|- Lane 5 - Jumat|08:45</t>
  </si>
  <si>
    <t xml:space="preserve">PML|- Lane 5 - Jumat|09:30</t>
  </si>
  <si>
    <t xml:space="preserve">PML|- Lane 5 - Jumat|10:15</t>
  </si>
  <si>
    <t xml:space="preserve">PML|- Lane 5 - Jumat|11:00</t>
  </si>
  <si>
    <t xml:space="preserve">PML|- Lane 5 - Jumat|11:45</t>
  </si>
  <si>
    <t xml:space="preserve"> - Lane 5 - Jumat - 13:15</t>
  </si>
  <si>
    <t xml:space="preserve">PML|- Lane 5 - Jumat|13:15</t>
  </si>
  <si>
    <t xml:space="preserve">KIDS - Lane 5 - Jumat - 14:00</t>
  </si>
  <si>
    <t xml:space="preserve">PML|- Lane 5 - Jumat|14:00</t>
  </si>
  <si>
    <t xml:space="preserve">KIDS - Lane 5 - Jumat - 14:45</t>
  </si>
  <si>
    <t xml:space="preserve">PML|- Lane 5 - Jumat|14:45</t>
  </si>
  <si>
    <t xml:space="preserve">KIDS - Lane 5 - Jumat - 15:30</t>
  </si>
  <si>
    <t xml:space="preserve">PML|- Lane 5 - Jumat|15:30</t>
  </si>
  <si>
    <t xml:space="preserve">KIDS - Lane 5 - Jumat - 16:15</t>
  </si>
  <si>
    <t xml:space="preserve">PML|- Lane 5 - Jumat|16:15</t>
  </si>
  <si>
    <t xml:space="preserve">KIDS - Lane 5 - Jumat - 17:00</t>
  </si>
  <si>
    <t xml:space="preserve">PML|- Lane 5 - Jumat|17:00</t>
  </si>
  <si>
    <t xml:space="preserve">PML|- Lane 5 - Sabtu|08:00</t>
  </si>
  <si>
    <t xml:space="preserve">KIDS - Lane 5 - Sabtu - 08:45</t>
  </si>
  <si>
    <t xml:space="preserve">PML|- Lane 5 - Sabtu|08:45</t>
  </si>
  <si>
    <t xml:space="preserve">KIDS - Lane 5 - Sabtu - 09:30</t>
  </si>
  <si>
    <t xml:space="preserve">PML|- Lane 5 - Sabtu|09:30</t>
  </si>
  <si>
    <t xml:space="preserve">KIDS - Lane 5 - Sabtu - 10:15</t>
  </si>
  <si>
    <t xml:space="preserve">PML|- Lane 5 - Sabtu|10:15</t>
  </si>
  <si>
    <t xml:space="preserve">LITTLE - Lane 5 - Sabtu - 11:00</t>
  </si>
  <si>
    <t xml:space="preserve">PML|- Lane 5 - Sabtu|11:00</t>
  </si>
  <si>
    <t xml:space="preserve">KIDS - Lane 5 - Sabtu - 11:45</t>
  </si>
  <si>
    <t xml:space="preserve">PML|- Lane 5 - Sabtu|11:45</t>
  </si>
  <si>
    <t xml:space="preserve"> - Lane 5 - Sabtu - 13:15</t>
  </si>
  <si>
    <t xml:space="preserve">PML|- Lane 5 - Sabtu|13:15</t>
  </si>
  <si>
    <t xml:space="preserve">KIDS - Lane 5 - Sabtu - 14:00</t>
  </si>
  <si>
    <t xml:space="preserve">PML|- Lane 5 - Sabtu|14:00</t>
  </si>
  <si>
    <t xml:space="preserve"> - Lane 5 - Sabtu - 14:45</t>
  </si>
  <si>
    <t xml:space="preserve">PML|- Lane 5 - Sabtu|14:45</t>
  </si>
  <si>
    <t xml:space="preserve">LITTLE - Lane 5 - Sabtu - 15:30</t>
  </si>
  <si>
    <t xml:space="preserve">PML|- Lane 5 - Sabtu|15:30</t>
  </si>
  <si>
    <t xml:space="preserve"> - Lane 5 - Sabtu - 16:15</t>
  </si>
  <si>
    <t xml:space="preserve">PML|- Lane 5 - Sabtu|16:15</t>
  </si>
  <si>
    <t xml:space="preserve">KIDS - Lane 5 - Sabtu - 17:00</t>
  </si>
  <si>
    <t xml:space="preserve">PML|- Lane 5 - Sabtu|17:00</t>
  </si>
  <si>
    <t xml:space="preserve">PML|- Lane 5 - Minggu|08:00</t>
  </si>
  <si>
    <t xml:space="preserve"> - Lane 5 - Minggu - 08:45</t>
  </si>
  <si>
    <t xml:space="preserve">PML|- Lane 5 - Minggu|08:45</t>
  </si>
  <si>
    <t xml:space="preserve">KIDS - Lane 5 - Minggu - 09:30</t>
  </si>
  <si>
    <t xml:space="preserve">PML|- Lane 5 - Minggu|09:30</t>
  </si>
  <si>
    <t xml:space="preserve">KIDS - Lane 5 - Minggu - 10:15</t>
  </si>
  <si>
    <t xml:space="preserve">PML|- Lane 5 - Minggu|10:15</t>
  </si>
  <si>
    <t xml:space="preserve"> - Lane 5 - Minggu - 11:00</t>
  </si>
  <si>
    <t xml:space="preserve">PML|- Lane 5 - Minggu|11:00</t>
  </si>
  <si>
    <t xml:space="preserve">PML|- Lane 5 - Minggu|11:45</t>
  </si>
  <si>
    <t xml:space="preserve"> - Lane 5 - Minggu - 13:15</t>
  </si>
  <si>
    <t xml:space="preserve">PML|- Lane 5 - Minggu|13:15</t>
  </si>
  <si>
    <t xml:space="preserve"> - Lane 5 - Minggu - 14:00</t>
  </si>
  <si>
    <t xml:space="preserve">PML|- Lane 5 - Minggu|14:00</t>
  </si>
  <si>
    <t xml:space="preserve"> - Lane 5 - Minggu - 14:45</t>
  </si>
  <si>
    <t xml:space="preserve">PML|- Lane 5 - Minggu|14:45</t>
  </si>
  <si>
    <t xml:space="preserve"> - Lane 5 - Minggu - 15:30</t>
  </si>
  <si>
    <t xml:space="preserve">PML|- Lane 5 - Minggu|15:30</t>
  </si>
  <si>
    <t xml:space="preserve">KIDS - Lane 5 - Minggu - 16:15</t>
  </si>
  <si>
    <t xml:space="preserve">PML|- Lane 5 - Minggu|16:15</t>
  </si>
  <si>
    <t xml:space="preserve">PML|- Lane 5 - Minggu|17:00</t>
  </si>
  <si>
    <t xml:space="preserve">PML|- Lane 6 - Senin|08:00</t>
  </si>
  <si>
    <t xml:space="preserve">PML|- Lane 6 - Senin|08:45</t>
  </si>
  <si>
    <t xml:space="preserve">PML|- Lane 6 - Senin|09:30</t>
  </si>
  <si>
    <t xml:space="preserve">PML|- Lane 6 - Senin|10:15</t>
  </si>
  <si>
    <t xml:space="preserve">PML|- Lane 6 - Senin|11:00</t>
  </si>
  <si>
    <t xml:space="preserve">PML|- Lane 6 - Senin|11:45</t>
  </si>
  <si>
    <t xml:space="preserve">PML|- Lane 6 - Senin|13:15</t>
  </si>
  <si>
    <t xml:space="preserve">PML|- Lane 6 - Senin|14:00</t>
  </si>
  <si>
    <t xml:space="preserve">PML|- Lane 6 - Senin|14:45</t>
  </si>
  <si>
    <t xml:space="preserve">PML|- Lane 6 - Senin|15:30</t>
  </si>
  <si>
    <t xml:space="preserve">PML|- Lane 6 - Senin|16:15</t>
  </si>
  <si>
    <t xml:space="preserve">PML|- Lane 6 - Senin|17:00</t>
  </si>
  <si>
    <t xml:space="preserve">PML|- Lane 6 - Selasa|08:00</t>
  </si>
  <si>
    <t xml:space="preserve">PML|- Lane 6 - Selasa|08:45</t>
  </si>
  <si>
    <t xml:space="preserve">PML|- Lane 6 - Selasa|09:30</t>
  </si>
  <si>
    <t xml:space="preserve">PML|- Lane 6 - Selasa|10:15</t>
  </si>
  <si>
    <t xml:space="preserve">PML|- Lane 6 - Selasa|11:00</t>
  </si>
  <si>
    <t xml:space="preserve">PML|- Lane 6 - Selasa|11:45</t>
  </si>
  <si>
    <t xml:space="preserve">PML|- Lane 6 - Selasa|13:15</t>
  </si>
  <si>
    <t xml:space="preserve">PML|- Lane 6 - Selasa|14:00</t>
  </si>
  <si>
    <t xml:space="preserve">PML|- Lane 6 - Selasa|14:45</t>
  </si>
  <si>
    <t xml:space="preserve">PML|- Lane 6 - Selasa|15:30</t>
  </si>
  <si>
    <t xml:space="preserve">PML|- Lane 6 - Selasa|16:15</t>
  </si>
  <si>
    <t xml:space="preserve">PML|- Lane 6 - Selasa|17:00</t>
  </si>
  <si>
    <t xml:space="preserve">PML|- Lane 6 - Rabu|08:00</t>
  </si>
  <si>
    <t xml:space="preserve">PML|- Lane 6 - Rabu|08:45</t>
  </si>
  <si>
    <t xml:space="preserve">PML|- Lane 6 - Rabu|09:30</t>
  </si>
  <si>
    <t xml:space="preserve">PML|- Lane 6 - Rabu|10:15</t>
  </si>
  <si>
    <t xml:space="preserve">PML|- Lane 6 - Rabu|11:00</t>
  </si>
  <si>
    <t xml:space="preserve">PML|- Lane 6 - Rabu|11:45</t>
  </si>
  <si>
    <t xml:space="preserve">PML|- Lane 6 - Rabu|13:15</t>
  </si>
  <si>
    <t xml:space="preserve">PML|- Lane 6 - Rabu|14:00</t>
  </si>
  <si>
    <t xml:space="preserve">PML|- Lane 6 - Rabu|14:45</t>
  </si>
  <si>
    <t xml:space="preserve">PML|- Lane 6 - Rabu|15:30</t>
  </si>
  <si>
    <t xml:space="preserve">PML|- Lane 6 - Rabu|16:15</t>
  </si>
  <si>
    <t xml:space="preserve">PML|- Lane 6 - Rabu|17:00</t>
  </si>
  <si>
    <t xml:space="preserve">PML|- Lane 6 - Kamis|08:00</t>
  </si>
  <si>
    <t xml:space="preserve">PML|- Lane 6 - Kamis|08:45</t>
  </si>
  <si>
    <t xml:space="preserve">PML|- Lane 6 - Kamis|09:30</t>
  </si>
  <si>
    <t xml:space="preserve">PML|- Lane 6 - Kamis|10:15</t>
  </si>
  <si>
    <t xml:space="preserve">PML|- Lane 6 - Kamis|11:00</t>
  </si>
  <si>
    <t xml:space="preserve">PML|- Lane 6 - Kamis|11:45</t>
  </si>
  <si>
    <t xml:space="preserve">PML|- Lane 6 - Kamis|13:15</t>
  </si>
  <si>
    <t xml:space="preserve">PML|- Lane 6 - Kamis|14:00</t>
  </si>
  <si>
    <t xml:space="preserve">PML|- Lane 6 - Kamis|14:45</t>
  </si>
  <si>
    <t xml:space="preserve">PML|- Lane 6 - Kamis|15:30</t>
  </si>
  <si>
    <t xml:space="preserve">PML|- Lane 6 - Kamis|16:15</t>
  </si>
  <si>
    <t xml:space="preserve">PML|- Lane 6 - Kamis|17:00</t>
  </si>
  <si>
    <t xml:space="preserve">PML|- Lane 6 - Jumat|08:00</t>
  </si>
  <si>
    <t xml:space="preserve">PML|- Lane 6 - Jumat|08:45</t>
  </si>
  <si>
    <t xml:space="preserve">PML|- Lane 6 - Jumat|09:30</t>
  </si>
  <si>
    <t xml:space="preserve">PML|- Lane 6 - Jumat|10:15</t>
  </si>
  <si>
    <t xml:space="preserve">PML|- Lane 6 - Jumat|11:00</t>
  </si>
  <si>
    <t xml:space="preserve">PML|- Lane 6 - Jumat|11:45</t>
  </si>
  <si>
    <t xml:space="preserve">PML|- Lane 6 - Jumat|13:15</t>
  </si>
  <si>
    <t xml:space="preserve">PML|- Lane 6 - Jumat|14:00</t>
  </si>
  <si>
    <t xml:space="preserve">PML|- Lane 6 - Jumat|14:45</t>
  </si>
  <si>
    <t xml:space="preserve">PML|- Lane 6 - Jumat|15:30</t>
  </si>
  <si>
    <t xml:space="preserve">PML|- Lane 6 - Jumat|16:15</t>
  </si>
  <si>
    <t xml:space="preserve">PML|- Lane 6 - Jumat|17:00</t>
  </si>
  <si>
    <t xml:space="preserve">PML|- Lane 6 - Sabtu|08:00</t>
  </si>
  <si>
    <t xml:space="preserve">LITTLE - Lane 6 - Sabtu - 08:45</t>
  </si>
  <si>
    <t xml:space="preserve">PML|- Lane 6 - Sabtu|08:45</t>
  </si>
  <si>
    <t xml:space="preserve">PML|- Lane 6 - Sabtu|09:30</t>
  </si>
  <si>
    <t xml:space="preserve">PML|- Lane 6 - Sabtu|10:15</t>
  </si>
  <si>
    <t xml:space="preserve">PML|- Lane 6 - Sabtu|11:00</t>
  </si>
  <si>
    <t xml:space="preserve">PML|- Lane 6 - Sabtu|11:45</t>
  </si>
  <si>
    <t xml:space="preserve">PML|- Lane 6 - Sabtu|13:15</t>
  </si>
  <si>
    <t xml:space="preserve">PML|- Lane 6 - Sabtu|14:00</t>
  </si>
  <si>
    <t xml:space="preserve">PML|- Lane 6 - Sabtu|14:45</t>
  </si>
  <si>
    <t xml:space="preserve">PML|- Lane 6 - Sabtu|15:30</t>
  </si>
  <si>
    <t xml:space="preserve">PML|- Lane 6 - Sabtu|16:15</t>
  </si>
  <si>
    <t xml:space="preserve">PML|- Lane 6 - Sabtu|17:00</t>
  </si>
  <si>
    <t xml:space="preserve">PML|- Lane 6 - Minggu|08:00</t>
  </si>
  <si>
    <t xml:space="preserve">PML|- Lane 6 - Minggu|08:45</t>
  </si>
  <si>
    <t xml:space="preserve">PML|- Lane 6 - Minggu|09:30</t>
  </si>
  <si>
    <t xml:space="preserve">PML|- Lane 6 - Minggu|10:15</t>
  </si>
  <si>
    <t xml:space="preserve">PML|- Lane 6 - Minggu|11:00</t>
  </si>
  <si>
    <t xml:space="preserve">PML|- Lane 6 - Minggu|11:45</t>
  </si>
  <si>
    <t xml:space="preserve">PML|- Lane 6 - Minggu|13:15</t>
  </si>
  <si>
    <t xml:space="preserve">PML|- Lane 6 - Minggu|14:00</t>
  </si>
  <si>
    <t xml:space="preserve">PML|- Lane 6 - Minggu|14:45</t>
  </si>
  <si>
    <t xml:space="preserve">PML|- Lane 6 - Minggu|15:30</t>
  </si>
  <si>
    <t xml:space="preserve">PML|- Lane 6 - Minggu|16:15</t>
  </si>
  <si>
    <t xml:space="preserve">PML|- Lane 6 - Minggu|17:00</t>
  </si>
  <si>
    <t xml:space="preserve">TMP</t>
  </si>
  <si>
    <t xml:space="preserve">Tiny - Lane 1 - Senin - 08:00</t>
  </si>
  <si>
    <t xml:space="preserve">TMP|- Lane 1 - Senin|08:00</t>
  </si>
  <si>
    <t xml:space="preserve">TMP|- Lane 1 - Senin|08:45</t>
  </si>
  <si>
    <t xml:space="preserve">Tiny - Lane 1 - Senin - 09:30</t>
  </si>
  <si>
    <t xml:space="preserve">TMP|- Lane 1 - Senin|09:30</t>
  </si>
  <si>
    <t xml:space="preserve">TMP|- Lane 1 - Senin|10:15</t>
  </si>
  <si>
    <t xml:space="preserve">Tiny - Lane 1 - Senin - 11:00</t>
  </si>
  <si>
    <t xml:space="preserve">TMP|- Lane 1 - Senin|11:00</t>
  </si>
  <si>
    <t xml:space="preserve">TMP|- Lane 1 - Senin|11:45</t>
  </si>
  <si>
    <t xml:space="preserve">Tiny - Lane 1 - Senin - 13:15</t>
  </si>
  <si>
    <t xml:space="preserve">TMP|- Lane 1 - Senin|13:15</t>
  </si>
  <si>
    <t xml:space="preserve">TMP|- Lane 1 - Senin|14:00</t>
  </si>
  <si>
    <t xml:space="preserve">Tiny - Lane 1 - Senin - 14:45</t>
  </si>
  <si>
    <t xml:space="preserve">TMP|- Lane 1 - Senin|14:45</t>
  </si>
  <si>
    <t xml:space="preserve">TMP|- Lane 1 - Senin|15:30</t>
  </si>
  <si>
    <t xml:space="preserve">Tiny - Lane 1 - Senin - 16:15</t>
  </si>
  <si>
    <t xml:space="preserve">TMP|- Lane 1 - Senin|16:15</t>
  </si>
  <si>
    <t xml:space="preserve">TMP|- Lane 1 - Senin|17:00</t>
  </si>
  <si>
    <t xml:space="preserve">Tiny - Lane 1 - Selasa - 08:00</t>
  </si>
  <si>
    <t xml:space="preserve">TMP|- Lane 1 - Selasa|08:00</t>
  </si>
  <si>
    <t xml:space="preserve">TMP|- Lane 1 - Selasa|08:45</t>
  </si>
  <si>
    <t xml:space="preserve">Tiny - Lane 1 - Selasa - 09:30</t>
  </si>
  <si>
    <t xml:space="preserve">TMP|- Lane 1 - Selasa|09:30</t>
  </si>
  <si>
    <t xml:space="preserve">Iqbal</t>
  </si>
  <si>
    <t xml:space="preserve">TMP|- Lane 1 - Selasa|10:15</t>
  </si>
  <si>
    <t xml:space="preserve">Tiny - Lane 1 - Selasa - 11:00</t>
  </si>
  <si>
    <t xml:space="preserve">TMP|- Lane 1 - Selasa|11:00</t>
  </si>
  <si>
    <t xml:space="preserve">TMP|- Lane 1 - Selasa|11:45</t>
  </si>
  <si>
    <t xml:space="preserve">Tiny - Lane 1 - Selasa - 13:15</t>
  </si>
  <si>
    <t xml:space="preserve">TMP|- Lane 1 - Selasa|13:15</t>
  </si>
  <si>
    <t xml:space="preserve">TMP|- Lane 1 - Selasa|14:00</t>
  </si>
  <si>
    <t xml:space="preserve">Tiny - Lane 1 - Selasa - 14:45</t>
  </si>
  <si>
    <t xml:space="preserve">TMP|- Lane 1 - Selasa|14:45</t>
  </si>
  <si>
    <t xml:space="preserve">TMP|- Lane 1 - Selasa|15:30</t>
  </si>
  <si>
    <t xml:space="preserve">Tiny - Lane 1 - Selasa - 16:15</t>
  </si>
  <si>
    <t xml:space="preserve">TMP|- Lane 1 - Selasa|16:15</t>
  </si>
  <si>
    <t xml:space="preserve">TMP|- Lane 1 - Selasa|17:00</t>
  </si>
  <si>
    <t xml:space="preserve">Tiny - Lane 1 - Rabu - 08:00</t>
  </si>
  <si>
    <t xml:space="preserve">TMP|- Lane 1 - Rabu|08:00</t>
  </si>
  <si>
    <t xml:space="preserve">Adam</t>
  </si>
  <si>
    <t xml:space="preserve">TMP|- Lane 1 - Rabu|08:45</t>
  </si>
  <si>
    <t xml:space="preserve">Tiny - Lane 1 - Rabu - 09:30</t>
  </si>
  <si>
    <t xml:space="preserve">TMP|- Lane 1 - Rabu|09:30</t>
  </si>
  <si>
    <t xml:space="preserve">TMP|- Lane 1 - Rabu|10:15</t>
  </si>
  <si>
    <t xml:space="preserve">Tiny - Lane 1 - Rabu - 11:00</t>
  </si>
  <si>
    <t xml:space="preserve">TMP|- Lane 1 - Rabu|11:00</t>
  </si>
  <si>
    <t xml:space="preserve">TMP|- Lane 1 - Rabu|11:45</t>
  </si>
  <si>
    <t xml:space="preserve">Tiny - Lane 1 - Rabu - 13:15</t>
  </si>
  <si>
    <t xml:space="preserve">TMP|- Lane 1 - Rabu|13:15</t>
  </si>
  <si>
    <t xml:space="preserve">TMP|- Lane 1 - Rabu|14:00</t>
  </si>
  <si>
    <t xml:space="preserve">Tiny - Lane 1 - Rabu - 14:45</t>
  </si>
  <si>
    <t xml:space="preserve">TMP|- Lane 1 - Rabu|14:45</t>
  </si>
  <si>
    <t xml:space="preserve">TMP|- Lane 1 - Rabu|15:30</t>
  </si>
  <si>
    <t xml:space="preserve">Tiny - Lane 1 - Rabu - 16:15</t>
  </si>
  <si>
    <t xml:space="preserve">TMP|- Lane 1 - Rabu|16:15</t>
  </si>
  <si>
    <t xml:space="preserve">TMP|- Lane 1 - Rabu|17:00</t>
  </si>
  <si>
    <t xml:space="preserve">Tiny - Lane 1 - Kamis - 08:00</t>
  </si>
  <si>
    <t xml:space="preserve">TMP|- Lane 1 - Kamis|08:00</t>
  </si>
  <si>
    <t xml:space="preserve">TMP|- Lane 1 - Kamis|08:45</t>
  </si>
  <si>
    <t xml:space="preserve">Tiny - Lane 1 - Kamis - 09:30</t>
  </si>
  <si>
    <t xml:space="preserve">TMP|- Lane 1 - Kamis|09:30</t>
  </si>
  <si>
    <t xml:space="preserve">TMP|- Lane 1 - Kamis|10:15</t>
  </si>
  <si>
    <t xml:space="preserve">Tiny - Lane 1 - Kamis - 11:00</t>
  </si>
  <si>
    <t xml:space="preserve">TMP|- Lane 1 - Kamis|11:00</t>
  </si>
  <si>
    <t xml:space="preserve">TMP|- Lane 1 - Kamis|11:45</t>
  </si>
  <si>
    <t xml:space="preserve">Tiny - Lane 1 - Kamis - 13:15</t>
  </si>
  <si>
    <t xml:space="preserve">TMP|- Lane 1 - Kamis|13:15</t>
  </si>
  <si>
    <t xml:space="preserve">TMP|- Lane 1 - Kamis|14:00</t>
  </si>
  <si>
    <t xml:space="preserve">Tiny - Lane 1 - Kamis - 14:45</t>
  </si>
  <si>
    <t xml:space="preserve">TMP|- Lane 1 - Kamis|14:45</t>
  </si>
  <si>
    <t xml:space="preserve">TMP|- Lane 1 - Kamis|15:30</t>
  </si>
  <si>
    <t xml:space="preserve">Tiny - Lane 1 - Kamis - 16:15</t>
  </si>
  <si>
    <t xml:space="preserve">TMP|- Lane 1 - Kamis|16:15</t>
  </si>
  <si>
    <t xml:space="preserve">TMP|- Lane 1 - Kamis|17:00</t>
  </si>
  <si>
    <t xml:space="preserve">Tiny - Lane 1 - Jumat - 08:00</t>
  </si>
  <si>
    <t xml:space="preserve">TMP|- Lane 1 - Jumat|08:00</t>
  </si>
  <si>
    <t xml:space="preserve">TMP|- Lane 1 - Jumat|08:45</t>
  </si>
  <si>
    <t xml:space="preserve">Tiny - Lane 1 - Jumat - 09:30</t>
  </si>
  <si>
    <t xml:space="preserve">TMP|- Lane 1 - Jumat|09:30</t>
  </si>
  <si>
    <t xml:space="preserve">TMP|- Lane 1 - Jumat|10:15</t>
  </si>
  <si>
    <t xml:space="preserve">Tiny - Lane 1 - Jumat - 11:00</t>
  </si>
  <si>
    <t xml:space="preserve">TMP|- Lane 1 - Jumat|11:00</t>
  </si>
  <si>
    <t xml:space="preserve">TMP|- Lane 1 - Jumat|11:45</t>
  </si>
  <si>
    <t xml:space="preserve">Tiny - Lane 1 - Jumat - 13:15</t>
  </si>
  <si>
    <t xml:space="preserve">TMP|- Lane 1 - Jumat|13:15</t>
  </si>
  <si>
    <t xml:space="preserve">TMP|- Lane 1 - Jumat|14:00</t>
  </si>
  <si>
    <t xml:space="preserve">Tiny - Lane 1 - Jumat - 14:45</t>
  </si>
  <si>
    <t xml:space="preserve">Agas</t>
  </si>
  <si>
    <t xml:space="preserve">TMP|- Lane 1 - Jumat|14:45</t>
  </si>
  <si>
    <t xml:space="preserve">TMP|- Lane 1 - Jumat|15:30</t>
  </si>
  <si>
    <t xml:space="preserve">Tiny - Lane 1 - Jumat - 16:15</t>
  </si>
  <si>
    <t xml:space="preserve">TMP|- Lane 1 - Jumat|16:15</t>
  </si>
  <si>
    <t xml:space="preserve">TMP|- Lane 1 - Jumat|17:00</t>
  </si>
  <si>
    <t xml:space="preserve">Tiny - Lane 1 - Sabtu - 08:00</t>
  </si>
  <si>
    <t xml:space="preserve">TMP|- Lane 1 - Sabtu|08:00</t>
  </si>
  <si>
    <t xml:space="preserve">TMP|- Lane 1 - Sabtu|08:45</t>
  </si>
  <si>
    <t xml:space="preserve">Tiny - Lane 1 - Sabtu - 09:30</t>
  </si>
  <si>
    <t xml:space="preserve">TMP|- Lane 1 - Sabtu|09:30</t>
  </si>
  <si>
    <t xml:space="preserve">TMP|- Lane 1 - Sabtu|10:15</t>
  </si>
  <si>
    <t xml:space="preserve">Tiny - Lane 1 - Sabtu - 11:00</t>
  </si>
  <si>
    <t xml:space="preserve">TMP|- Lane 1 - Sabtu|11:00</t>
  </si>
  <si>
    <t xml:space="preserve">TMP|- Lane 1 - Sabtu|11:45</t>
  </si>
  <si>
    <t xml:space="preserve">Tiny - Lane 1 - Sabtu - 13:15</t>
  </si>
  <si>
    <t xml:space="preserve">TMP|- Lane 1 - Sabtu|13:15</t>
  </si>
  <si>
    <t xml:space="preserve">TMP|- Lane 1 - Sabtu|14:00</t>
  </si>
  <si>
    <t xml:space="preserve">Tiny - Lane 1 - Sabtu - 14:45</t>
  </si>
  <si>
    <t xml:space="preserve">TMP|- Lane 1 - Sabtu|14:45</t>
  </si>
  <si>
    <t xml:space="preserve">TMP|- Lane 1 - Sabtu|15:30</t>
  </si>
  <si>
    <t xml:space="preserve">Tiny - Lane 1 - Sabtu - 16:15</t>
  </si>
  <si>
    <t xml:space="preserve">TMP|- Lane 1 - Sabtu|16:15</t>
  </si>
  <si>
    <t xml:space="preserve">TMP|- Lane 1 - Sabtu|17:00</t>
  </si>
  <si>
    <t xml:space="preserve">Tiny - Lane 1 - Minggu - 08:00</t>
  </si>
  <si>
    <t xml:space="preserve">TMP|- Lane 1 - Minggu|08:00</t>
  </si>
  <si>
    <t xml:space="preserve">TMP|- Lane 1 - Minggu|08:45</t>
  </si>
  <si>
    <t xml:space="preserve">Tiny - Lane 1 - Minggu - 09:30</t>
  </si>
  <si>
    <t xml:space="preserve">TMP|- Lane 1 - Minggu|09:30</t>
  </si>
  <si>
    <t xml:space="preserve">TMP|- Lane 1 - Minggu|10:15</t>
  </si>
  <si>
    <t xml:space="preserve">Tiny - Lane 1 - Minggu - 11:00</t>
  </si>
  <si>
    <t xml:space="preserve">TMP|- Lane 1 - Minggu|11:00</t>
  </si>
  <si>
    <t xml:space="preserve">TMP|- Lane 1 - Minggu|11:45</t>
  </si>
  <si>
    <t xml:space="preserve">Tiny - Lane 1 - Minggu - 13:15</t>
  </si>
  <si>
    <t xml:space="preserve">TMP|- Lane 1 - Minggu|13:15</t>
  </si>
  <si>
    <t xml:space="preserve">TMP|- Lane 1 - Minggu|14:00</t>
  </si>
  <si>
    <t xml:space="preserve">Tiny - Lane 1 - Minggu - 14:45</t>
  </si>
  <si>
    <t xml:space="preserve">TMP|- Lane 1 - Minggu|14:45</t>
  </si>
  <si>
    <t xml:space="preserve">TMP|- Lane 1 - Minggu|15:30</t>
  </si>
  <si>
    <t xml:space="preserve">Tiny - Lane 1 - Minggu - 16:15</t>
  </si>
  <si>
    <t xml:space="preserve">TMP|- Lane 1 - Minggu|16:15</t>
  </si>
  <si>
    <t xml:space="preserve">TMP|- Lane 1 - Minggu|17:00</t>
  </si>
  <si>
    <t xml:space="preserve">Little - Lane 2 - Senin - 08:00</t>
  </si>
  <si>
    <t xml:space="preserve">TMP|- Lane 2 - Senin|08:00</t>
  </si>
  <si>
    <t xml:space="preserve">Little - Lane 2 - Senin - 08:45</t>
  </si>
  <si>
    <t xml:space="preserve">TMP|- Lane 2 - Senin|08:45</t>
  </si>
  <si>
    <t xml:space="preserve">Little - Lane 2 - Senin - 09:30</t>
  </si>
  <si>
    <t xml:space="preserve">TMP|- Lane 2 - Senin|09:30</t>
  </si>
  <si>
    <t xml:space="preserve">Little - Lane 2 - Senin - 10:15</t>
  </si>
  <si>
    <t xml:space="preserve">TMP|- Lane 2 - Senin|10:15</t>
  </si>
  <si>
    <t xml:space="preserve">Little - Lane 2 - Senin - 11:00</t>
  </si>
  <si>
    <t xml:space="preserve">TMP|- Lane 2 - Senin|11:00</t>
  </si>
  <si>
    <t xml:space="preserve">Little - Lane 2 - Senin - 11:45</t>
  </si>
  <si>
    <t xml:space="preserve">TMP|- Lane 2 - Senin|11:45</t>
  </si>
  <si>
    <t xml:space="preserve">Little - Lane 2 - Senin - 13:15</t>
  </si>
  <si>
    <t xml:space="preserve">TMP|- Lane 2 - Senin|13:15</t>
  </si>
  <si>
    <t xml:space="preserve">Little - Lane 2 - Senin - 14:00</t>
  </si>
  <si>
    <t xml:space="preserve">TMP|- Lane 2 - Senin|14:00</t>
  </si>
  <si>
    <t xml:space="preserve">Little - Lane 2 - Senin - 14:45</t>
  </si>
  <si>
    <t xml:space="preserve">TMP|- Lane 2 - Senin|14:45</t>
  </si>
  <si>
    <t xml:space="preserve">Little - Lane 2 - Senin - 15:30</t>
  </si>
  <si>
    <t xml:space="preserve">TMP|- Lane 2 - Senin|15:30</t>
  </si>
  <si>
    <t xml:space="preserve">Little - Lane 2 - Senin - 16:15</t>
  </si>
  <si>
    <t xml:space="preserve">TMP|- Lane 2 - Senin|16:15</t>
  </si>
  <si>
    <t xml:space="preserve">Little - Lane 2 - Senin - 17:00</t>
  </si>
  <si>
    <t xml:space="preserve">TMP|- Lane 2 - Senin|17:00</t>
  </si>
  <si>
    <t xml:space="preserve">Little - Lane 2 - Selasa - 08:00</t>
  </si>
  <si>
    <t xml:space="preserve">TMP|- Lane 2 - Selasa|08:00</t>
  </si>
  <si>
    <t xml:space="preserve">Little - Lane 2 - Selasa - 08:45</t>
  </si>
  <si>
    <t xml:space="preserve">TMP|- Lane 2 - Selasa|08:45</t>
  </si>
  <si>
    <t xml:space="preserve">Little - Lane 2 - Selasa - 09:30</t>
  </si>
  <si>
    <t xml:space="preserve">Irvan</t>
  </si>
  <si>
    <t xml:space="preserve">TMP|- Lane 2 - Selasa|09:30</t>
  </si>
  <si>
    <t xml:space="preserve">Little - Lane 2 - Selasa - 10:15</t>
  </si>
  <si>
    <t xml:space="preserve">TMP|- Lane 2 - Selasa|10:15</t>
  </si>
  <si>
    <t xml:space="preserve">Little - Lane 2 - Selasa - 11:00</t>
  </si>
  <si>
    <t xml:space="preserve">TMP|- Lane 2 - Selasa|11:00</t>
  </si>
  <si>
    <t xml:space="preserve">Little - Lane 2 - Selasa - 11:45</t>
  </si>
  <si>
    <t xml:space="preserve">TMP|- Lane 2 - Selasa|11:45</t>
  </si>
  <si>
    <t xml:space="preserve">Little - Lane 2 - Selasa - 13:15</t>
  </si>
  <si>
    <t xml:space="preserve">TMP|- Lane 2 - Selasa|13:15</t>
  </si>
  <si>
    <t xml:space="preserve">Little - Lane 2 - Selasa - 14:00</t>
  </si>
  <si>
    <t xml:space="preserve">TMP|- Lane 2 - Selasa|14:00</t>
  </si>
  <si>
    <t xml:space="preserve">Little - Lane 2 - Selasa - 14:45</t>
  </si>
  <si>
    <t xml:space="preserve">TMP|- Lane 2 - Selasa|14:45</t>
  </si>
  <si>
    <t xml:space="preserve">Little - Lane 2 - Selasa - 15:30</t>
  </si>
  <si>
    <t xml:space="preserve">TMP|- Lane 2 - Selasa|15:30</t>
  </si>
  <si>
    <t xml:space="preserve">Little - Lane 2 - Selasa - 16:15</t>
  </si>
  <si>
    <t xml:space="preserve">TMP|- Lane 2 - Selasa|16:15</t>
  </si>
  <si>
    <t xml:space="preserve">Little - Lane 2 - Selasa - 17:00</t>
  </si>
  <si>
    <t xml:space="preserve">TMP|- Lane 2 - Selasa|17:00</t>
  </si>
  <si>
    <t xml:space="preserve">Little - Lane 2 - Rabu - 08:00</t>
  </si>
  <si>
    <t xml:space="preserve">TMP|- Lane 2 - Rabu|08:00</t>
  </si>
  <si>
    <t xml:space="preserve">Little - Lane 2 - Rabu - 08:45</t>
  </si>
  <si>
    <t xml:space="preserve">TMP|- Lane 2 - Rabu|08:45</t>
  </si>
  <si>
    <t xml:space="preserve">Little - Lane 2 - Rabu - 09:30</t>
  </si>
  <si>
    <t xml:space="preserve">TMP|- Lane 2 - Rabu|09:30</t>
  </si>
  <si>
    <t xml:space="preserve">Little - Lane 2 - Rabu - 10:15</t>
  </si>
  <si>
    <t xml:space="preserve">TMP|- Lane 2 - Rabu|10:15</t>
  </si>
  <si>
    <t xml:space="preserve">Little - Lane 2 - Rabu - 11:00</t>
  </si>
  <si>
    <t xml:space="preserve">TMP|- Lane 2 - Rabu|11:00</t>
  </si>
  <si>
    <t xml:space="preserve">Little - Lane 2 - Rabu - 11:45</t>
  </si>
  <si>
    <t xml:space="preserve">TMP|- Lane 2 - Rabu|11:45</t>
  </si>
  <si>
    <t xml:space="preserve">Little - Lane 2 - Rabu - 13:15</t>
  </si>
  <si>
    <t xml:space="preserve">TMP|- Lane 2 - Rabu|13:15</t>
  </si>
  <si>
    <t xml:space="preserve">Little - Lane 2 - Rabu - 14:00</t>
  </si>
  <si>
    <t xml:space="preserve">TMP|- Lane 2 - Rabu|14:00</t>
  </si>
  <si>
    <t xml:space="preserve">Little - Lane 2 - Rabu - 14:45</t>
  </si>
  <si>
    <t xml:space="preserve">Hanif</t>
  </si>
  <si>
    <t xml:space="preserve">TMP|- Lane 2 - Rabu|14:45</t>
  </si>
  <si>
    <t xml:space="preserve">Little - Lane 2 - Rabu - 15:30</t>
  </si>
  <si>
    <t xml:space="preserve">TMP|- Lane 2 - Rabu|15:30</t>
  </si>
  <si>
    <t xml:space="preserve">Little - Lane 2 - Rabu - 16:15</t>
  </si>
  <si>
    <t xml:space="preserve">TMP|- Lane 2 - Rabu|16:15</t>
  </si>
  <si>
    <t xml:space="preserve">Little - Lane 2 - Rabu - 17:00</t>
  </si>
  <si>
    <t xml:space="preserve">TMP|- Lane 2 - Rabu|17:00</t>
  </si>
  <si>
    <t xml:space="preserve">Little - Lane 2 - Kamis - 08:00</t>
  </si>
  <si>
    <t xml:space="preserve">TMP|- Lane 2 - Kamis|08:00</t>
  </si>
  <si>
    <t xml:space="preserve">Little - Lane 2 - Kamis - 08:45</t>
  </si>
  <si>
    <t xml:space="preserve">TMP|- Lane 2 - Kamis|08:45</t>
  </si>
  <si>
    <t xml:space="preserve">Little - Lane 2 - Kamis - 09:30</t>
  </si>
  <si>
    <t xml:space="preserve">TMP|- Lane 2 - Kamis|09:30</t>
  </si>
  <si>
    <t xml:space="preserve">Little - Lane 2 - Kamis - 10:15</t>
  </si>
  <si>
    <t xml:space="preserve">TMP|- Lane 2 - Kamis|10:15</t>
  </si>
  <si>
    <t xml:space="preserve">Little - Lane 2 - Kamis - 11:00</t>
  </si>
  <si>
    <t xml:space="preserve">TMP|- Lane 2 - Kamis|11:00</t>
  </si>
  <si>
    <t xml:space="preserve">Little - Lane 2 - Kamis - 11:45</t>
  </si>
  <si>
    <t xml:space="preserve">TMP|- Lane 2 - Kamis|11:45</t>
  </si>
  <si>
    <t xml:space="preserve">Little - Lane 2 - Kamis - 13:15</t>
  </si>
  <si>
    <t xml:space="preserve">TMP|- Lane 2 - Kamis|13:15</t>
  </si>
  <si>
    <t xml:space="preserve">Little - Lane 2 - Kamis - 14:00</t>
  </si>
  <si>
    <t xml:space="preserve">TMP|- Lane 2 - Kamis|14:00</t>
  </si>
  <si>
    <t xml:space="preserve">Little - Lane 2 - Kamis - 14:45</t>
  </si>
  <si>
    <t xml:space="preserve">TMP|- Lane 2 - Kamis|14:45</t>
  </si>
  <si>
    <t xml:space="preserve">Little - Lane 2 - Kamis - 15:30</t>
  </si>
  <si>
    <t xml:space="preserve">TMP|- Lane 2 - Kamis|15:30</t>
  </si>
  <si>
    <t xml:space="preserve">Little - Lane 2 - Kamis - 16:15</t>
  </si>
  <si>
    <t xml:space="preserve">TMP|- Lane 2 - Kamis|16:15</t>
  </si>
  <si>
    <t xml:space="preserve">Little - Lane 2 - Kamis - 17:00</t>
  </si>
  <si>
    <t xml:space="preserve">TMP|- Lane 2 - Kamis|17:00</t>
  </si>
  <si>
    <t xml:space="preserve">Little - Lane 2 - Jumat - 08:00</t>
  </si>
  <si>
    <t xml:space="preserve">TMP|- Lane 2 - Jumat|08:00</t>
  </si>
  <si>
    <t xml:space="preserve">Little - Lane 2 - Jumat - 08:45</t>
  </si>
  <si>
    <t xml:space="preserve">TMP|- Lane 2 - Jumat|08:45</t>
  </si>
  <si>
    <t xml:space="preserve">Little - Lane 2 - Jumat - 09:30</t>
  </si>
  <si>
    <t xml:space="preserve">TMP|- Lane 2 - Jumat|09:30</t>
  </si>
  <si>
    <t xml:space="preserve">Little - Lane 2 - Jumat - 10:15</t>
  </si>
  <si>
    <t xml:space="preserve">TMP|- Lane 2 - Jumat|10:15</t>
  </si>
  <si>
    <t xml:space="preserve">Little - Lane 2 - Jumat - 11:00</t>
  </si>
  <si>
    <t xml:space="preserve">TMP|- Lane 2 - Jumat|11:00</t>
  </si>
  <si>
    <t xml:space="preserve">Little - Lane 2 - Jumat - 11:45</t>
  </si>
  <si>
    <t xml:space="preserve">TMP|- Lane 2 - Jumat|11:45</t>
  </si>
  <si>
    <t xml:space="preserve">Little - Lane 2 - Jumat - 13:15</t>
  </si>
  <si>
    <t xml:space="preserve">TMP|- Lane 2 - Jumat|13:15</t>
  </si>
  <si>
    <t xml:space="preserve">Little - Lane 2 - Jumat - 14:00</t>
  </si>
  <si>
    <t xml:space="preserve">TMP|- Lane 2 - Jumat|14:00</t>
  </si>
  <si>
    <t xml:space="preserve">Little - Lane 2 - Jumat - 14:45</t>
  </si>
  <si>
    <t xml:space="preserve">TMP|- Lane 2 - Jumat|14:45</t>
  </si>
  <si>
    <t xml:space="preserve">Little - Lane 2 - Jumat - 15:30</t>
  </si>
  <si>
    <t xml:space="preserve">TMP|- Lane 2 - Jumat|15:30</t>
  </si>
  <si>
    <t xml:space="preserve">Little - Lane 2 - Jumat - 16:15</t>
  </si>
  <si>
    <t xml:space="preserve">TMP|- Lane 2 - Jumat|16:15</t>
  </si>
  <si>
    <t xml:space="preserve">Little - Lane 2 - Jumat - 17:00</t>
  </si>
  <si>
    <t xml:space="preserve">TMP|- Lane 2 - Jumat|17:00</t>
  </si>
  <si>
    <t xml:space="preserve">Little - Lane 2 - Sabtu - 08:00</t>
  </si>
  <si>
    <t xml:space="preserve">TMP|- Lane 2 - Sabtu|08:00</t>
  </si>
  <si>
    <t xml:space="preserve">Little - Lane 2 - Sabtu - 08:45</t>
  </si>
  <si>
    <t xml:space="preserve">TMP|- Lane 2 - Sabtu|08:45</t>
  </si>
  <si>
    <t xml:space="preserve">Little - Lane 2 - Sabtu - 09:30</t>
  </si>
  <si>
    <t xml:space="preserve">TMP|- Lane 2 - Sabtu|09:30</t>
  </si>
  <si>
    <t xml:space="preserve">Little - Lane 2 - Sabtu - 10:15</t>
  </si>
  <si>
    <t xml:space="preserve">TMP|- Lane 2 - Sabtu|10:15</t>
  </si>
  <si>
    <t xml:space="preserve">Little - Lane 2 - Sabtu - 11:00</t>
  </si>
  <si>
    <t xml:space="preserve">TMP|- Lane 2 - Sabtu|11:00</t>
  </si>
  <si>
    <t xml:space="preserve">Little - Lane 2 - Sabtu - 11:45</t>
  </si>
  <si>
    <t xml:space="preserve">TMP|- Lane 2 - Sabtu|11:45</t>
  </si>
  <si>
    <t xml:space="preserve">Little - Lane 2 - Sabtu - 13:15</t>
  </si>
  <si>
    <t xml:space="preserve">TMP|- Lane 2 - Sabtu|13:15</t>
  </si>
  <si>
    <t xml:space="preserve">Little - Lane 2 - Sabtu - 14:00</t>
  </si>
  <si>
    <t xml:space="preserve">TMP|- Lane 2 - Sabtu|14:00</t>
  </si>
  <si>
    <t xml:space="preserve">Little - Lane 2 - Sabtu - 14:45</t>
  </si>
  <si>
    <t xml:space="preserve">TMP|- Lane 2 - Sabtu|14:45</t>
  </si>
  <si>
    <t xml:space="preserve">Little - Lane 2 - Sabtu - 15:30</t>
  </si>
  <si>
    <t xml:space="preserve">TMP|- Lane 2 - Sabtu|15:30</t>
  </si>
  <si>
    <t xml:space="preserve">Little - Lane 2 - Sabtu - 16:15</t>
  </si>
  <si>
    <t xml:space="preserve">TMP|- Lane 2 - Sabtu|16:15</t>
  </si>
  <si>
    <t xml:space="preserve">Little - Lane 2 - Sabtu - 17:00</t>
  </si>
  <si>
    <t xml:space="preserve">TMP|- Lane 2 - Sabtu|17:00</t>
  </si>
  <si>
    <t xml:space="preserve">Little - Lane 2 - Minggu - 08:00</t>
  </si>
  <si>
    <t xml:space="preserve">TMP|- Lane 2 - Minggu|08:00</t>
  </si>
  <si>
    <t xml:space="preserve">Little - Lane 2 - Minggu - 08:45</t>
  </si>
  <si>
    <t xml:space="preserve">TMP|- Lane 2 - Minggu|08:45</t>
  </si>
  <si>
    <t xml:space="preserve">Little - Lane 2 - Minggu - 09:30</t>
  </si>
  <si>
    <t xml:space="preserve">TMP|- Lane 2 - Minggu|09:30</t>
  </si>
  <si>
    <t xml:space="preserve">Little - Lane 2 - Minggu - 10:15</t>
  </si>
  <si>
    <t xml:space="preserve">TMP|- Lane 2 - Minggu|10:15</t>
  </si>
  <si>
    <t xml:space="preserve">Little - Lane 2 - Minggu - 11:00</t>
  </si>
  <si>
    <t xml:space="preserve">TMP|- Lane 2 - Minggu|11:00</t>
  </si>
  <si>
    <t xml:space="preserve">Little - Lane 2 - Minggu - 11:45</t>
  </si>
  <si>
    <t xml:space="preserve">TMP|- Lane 2 - Minggu|11:45</t>
  </si>
  <si>
    <t xml:space="preserve">Little - Lane 2 - Minggu - 13:15</t>
  </si>
  <si>
    <t xml:space="preserve">TMP|- Lane 2 - Minggu|13:15</t>
  </si>
  <si>
    <t xml:space="preserve">Little - Lane 2 - Minggu - 14:00</t>
  </si>
  <si>
    <t xml:space="preserve">TMP|- Lane 2 - Minggu|14:00</t>
  </si>
  <si>
    <t xml:space="preserve">Little - Lane 2 - Minggu - 14:45</t>
  </si>
  <si>
    <t xml:space="preserve">TMP|- Lane 2 - Minggu|14:45</t>
  </si>
  <si>
    <t xml:space="preserve">Little - Lane 2 - Minggu - 15:30</t>
  </si>
  <si>
    <t xml:space="preserve">TMP|- Lane 2 - Minggu|15:30</t>
  </si>
  <si>
    <t xml:space="preserve">Little - Lane 2 - Minggu - 16:15</t>
  </si>
  <si>
    <t xml:space="preserve">TMP|- Lane 2 - Minggu|16:15</t>
  </si>
  <si>
    <t xml:space="preserve">Little - Lane 2 - Minggu - 17:00</t>
  </si>
  <si>
    <t xml:space="preserve">TMP|- Lane 2 - Minggu|17:00</t>
  </si>
  <si>
    <t xml:space="preserve">Kids - Lane 3 - Senin - 08:15</t>
  </si>
  <si>
    <t xml:space="preserve">TMP|- Lane 3 - Senin|08:15</t>
  </si>
  <si>
    <t xml:space="preserve">Kids - Lane 3 - Senin - 09:00</t>
  </si>
  <si>
    <t xml:space="preserve">TMP|- Lane 3 - Senin|09:00</t>
  </si>
  <si>
    <t xml:space="preserve">Kids - Lane 3 - Senin - 09:45</t>
  </si>
  <si>
    <t xml:space="preserve">TMP|- Lane 3 - Senin|09:45</t>
  </si>
  <si>
    <t xml:space="preserve">Kids - Lane 3 - Senin - 10:30</t>
  </si>
  <si>
    <t xml:space="preserve">TMP|- Lane 3 - Senin|10:30</t>
  </si>
  <si>
    <t xml:space="preserve">Kids - Lane 3 - Senin - 11:15</t>
  </si>
  <si>
    <t xml:space="preserve">TMP|- Lane 3 - Senin|11:15</t>
  </si>
  <si>
    <t xml:space="preserve">Kids - Lane 3 - Senin - 12:00</t>
  </si>
  <si>
    <t xml:space="preserve">TMP|- Lane 3 - Senin|12:00</t>
  </si>
  <si>
    <t xml:space="preserve">Kids - Lane 3 - Senin - 13:30</t>
  </si>
  <si>
    <t xml:space="preserve">TMP|- Lane 3 - Senin|13:30</t>
  </si>
  <si>
    <t xml:space="preserve">Kids - Lane 3 - Senin - 14:15</t>
  </si>
  <si>
    <t xml:space="preserve">TMP|- Lane 3 - Senin|14:15</t>
  </si>
  <si>
    <t xml:space="preserve">Kids - Lane 3 - Senin - 15:00</t>
  </si>
  <si>
    <t xml:space="preserve">TMP|- Lane 3 - Senin|15:00</t>
  </si>
  <si>
    <t xml:space="preserve">Kids - Lane 3 - Senin - 15:45</t>
  </si>
  <si>
    <t xml:space="preserve">TMP|- Lane 3 - Senin|15:45</t>
  </si>
  <si>
    <t xml:space="preserve">Kids - Lane 3 - Senin - 16:30</t>
  </si>
  <si>
    <t xml:space="preserve">TMP|- Lane 3 - Senin|16:30</t>
  </si>
  <si>
    <t xml:space="preserve">Kids - Lane 3 - Senin - 17:15</t>
  </si>
  <si>
    <t xml:space="preserve">TMP|- Lane 3 - Senin|17:15</t>
  </si>
  <si>
    <t xml:space="preserve">Kids - Lane 3 - Selasa - 08:15</t>
  </si>
  <si>
    <t xml:space="preserve">TMP|- Lane 3 - Selasa|08:15</t>
  </si>
  <si>
    <t xml:space="preserve">Kids - Lane 3 - Selasa - 09:00</t>
  </si>
  <si>
    <t xml:space="preserve">TMP|- Lane 3 - Selasa|09:00</t>
  </si>
  <si>
    <t xml:space="preserve">Kids - Lane 3 - Selasa - 09:45</t>
  </si>
  <si>
    <t xml:space="preserve">TMP|- Lane 3 - Selasa|09:45</t>
  </si>
  <si>
    <t xml:space="preserve">Kids - Lane 3 - Selasa - 10:30</t>
  </si>
  <si>
    <t xml:space="preserve">TMP|- Lane 3 - Selasa|10:30</t>
  </si>
  <si>
    <t xml:space="preserve">Kids - Lane 3 - Selasa - 11:15</t>
  </si>
  <si>
    <t xml:space="preserve">soon book coach Irvan</t>
  </si>
  <si>
    <t xml:space="preserve">TMP|- Lane 3 - Selasa|11:15</t>
  </si>
  <si>
    <t xml:space="preserve">Kids - Lane 3 - Selasa - 12:00</t>
  </si>
  <si>
    <t xml:space="preserve">TMP|- Lane 3 - Selasa|12:00</t>
  </si>
  <si>
    <t xml:space="preserve">Kids - Lane 3 - Selasa - 13:30</t>
  </si>
  <si>
    <t xml:space="preserve">TMP|- Lane 3 - Selasa|13:30</t>
  </si>
  <si>
    <t xml:space="preserve">Kids - Lane 3 - Selasa - 14:15</t>
  </si>
  <si>
    <t xml:space="preserve">TMP|- Lane 3 - Selasa|14:15</t>
  </si>
  <si>
    <t xml:space="preserve">Kids - Lane 3 - Selasa - 15:00</t>
  </si>
  <si>
    <t xml:space="preserve">TMP|- Lane 3 - Selasa|15:00</t>
  </si>
  <si>
    <t xml:space="preserve">Kids - Lane 3 - Selasa - 15:45</t>
  </si>
  <si>
    <t xml:space="preserve">TMP|- Lane 3 - Selasa|15:45</t>
  </si>
  <si>
    <t xml:space="preserve">Kids - Lane 3 - Selasa - 16:30</t>
  </si>
  <si>
    <t xml:space="preserve">TMP|- Lane 3 - Selasa|16:30</t>
  </si>
  <si>
    <t xml:space="preserve">Kids - Lane 3 - Selasa - 17:15</t>
  </si>
  <si>
    <t xml:space="preserve">TMP|- Lane 3 - Selasa|17:15</t>
  </si>
  <si>
    <t xml:space="preserve">Kids - Lane 3 - Rabu - 08:15</t>
  </si>
  <si>
    <t xml:space="preserve">TMP|- Lane 3 - Rabu|08:15</t>
  </si>
  <si>
    <t xml:space="preserve">Kids - Lane 3 - Rabu - 09:00</t>
  </si>
  <si>
    <t xml:space="preserve">TMP|- Lane 3 - Rabu|09:00</t>
  </si>
  <si>
    <t xml:space="preserve">Kids - Lane 3 - Rabu - 09:45</t>
  </si>
  <si>
    <t xml:space="preserve">TMP|- Lane 3 - Rabu|09:45</t>
  </si>
  <si>
    <t xml:space="preserve">Kids - Lane 3 - Rabu - 10:30</t>
  </si>
  <si>
    <t xml:space="preserve">TMP|- Lane 3 - Rabu|10:30</t>
  </si>
  <si>
    <t xml:space="preserve">Kids - Lane 3 - Rabu - 11:15</t>
  </si>
  <si>
    <t xml:space="preserve">TMP|- Lane 3 - Rabu|11:15</t>
  </si>
  <si>
    <t xml:space="preserve">Kids - Lane 3 - Rabu - 12:00</t>
  </si>
  <si>
    <t xml:space="preserve">TMP|- Lane 3 - Rabu|12:00</t>
  </si>
  <si>
    <t xml:space="preserve">Kids - Lane 3 - Rabu - 13:30</t>
  </si>
  <si>
    <t xml:space="preserve">TMP|- Lane 3 - Rabu|13:30</t>
  </si>
  <si>
    <t xml:space="preserve">Kids - Lane 3 - Rabu - 14:15</t>
  </si>
  <si>
    <t xml:space="preserve">TMP|- Lane 3 - Rabu|14:15</t>
  </si>
  <si>
    <t xml:space="preserve">Kids - Lane 3 - Rabu - 15:00</t>
  </si>
  <si>
    <t xml:space="preserve">TMP|- Lane 3 - Rabu|15:00</t>
  </si>
  <si>
    <t xml:space="preserve">Kids - Lane 3 - Rabu - 15:45</t>
  </si>
  <si>
    <t xml:space="preserve">TMP|- Lane 3 - Rabu|15:45</t>
  </si>
  <si>
    <t xml:space="preserve">Kids - Lane 3 - Rabu - 16:30</t>
  </si>
  <si>
    <t xml:space="preserve">TMP|- Lane 3 - Rabu|16:30</t>
  </si>
  <si>
    <t xml:space="preserve">Kids - Lane 3 - Rabu - 17:15</t>
  </si>
  <si>
    <t xml:space="preserve">TMP|- Lane 3 - Rabu|17:15</t>
  </si>
  <si>
    <t xml:space="preserve">Kids - Lane 3 - Kamis - 08:15</t>
  </si>
  <si>
    <t xml:space="preserve">TMP|- Lane 3 - Kamis|08:15</t>
  </si>
  <si>
    <t xml:space="preserve">Kids - Lane 3 - Kamis - 09:00</t>
  </si>
  <si>
    <t xml:space="preserve">TMP|- Lane 3 - Kamis|09:00</t>
  </si>
  <si>
    <t xml:space="preserve">Kids - Lane 3 - Kamis - 09:45</t>
  </si>
  <si>
    <t xml:space="preserve">TMP|- Lane 3 - Kamis|09:45</t>
  </si>
  <si>
    <t xml:space="preserve">Kids - Lane 3 - Kamis - 10:30</t>
  </si>
  <si>
    <t xml:space="preserve">TMP|- Lane 3 - Kamis|10:30</t>
  </si>
  <si>
    <t xml:space="preserve">Kids - Lane 3 - Kamis - 11:15</t>
  </si>
  <si>
    <t xml:space="preserve">TMP|- Lane 3 - Kamis|11:15</t>
  </si>
  <si>
    <t xml:space="preserve">Kids - Lane 3 - Kamis - 12:00</t>
  </si>
  <si>
    <t xml:space="preserve">TMP|- Lane 3 - Kamis|12:00</t>
  </si>
  <si>
    <t xml:space="preserve">Kids - Lane 3 - Kamis - 13:30</t>
  </si>
  <si>
    <t xml:space="preserve">TMP|- Lane 3 - Kamis|13:30</t>
  </si>
  <si>
    <t xml:space="preserve">Kids - Lane 3 - Kamis - 14:15</t>
  </si>
  <si>
    <t xml:space="preserve">TMP|- Lane 3 - Kamis|14:15</t>
  </si>
  <si>
    <t xml:space="preserve">Kids - Lane 3 - Kamis - 15:00</t>
  </si>
  <si>
    <t xml:space="preserve">TMP|- Lane 3 - Kamis|15:00</t>
  </si>
  <si>
    <t xml:space="preserve">Kids - Lane 3 - Kamis - 15:45</t>
  </si>
  <si>
    <t xml:space="preserve">TMP|- Lane 3 - Kamis|15:45</t>
  </si>
  <si>
    <t xml:space="preserve">Kids - Lane 3 - Kamis - 16:30</t>
  </si>
  <si>
    <t xml:space="preserve">TMP|- Lane 3 - Kamis|16:30</t>
  </si>
  <si>
    <t xml:space="preserve">Kids - Lane 3 - Kamis - 17:15</t>
  </si>
  <si>
    <t xml:space="preserve">TMP|- Lane 3 - Kamis|17:15</t>
  </si>
  <si>
    <t xml:space="preserve">Kids - Lane 3 - Jumat - 08:15</t>
  </si>
  <si>
    <t xml:space="preserve">TMP|- Lane 3 - Jumat|08:15</t>
  </si>
  <si>
    <t xml:space="preserve">Kids - Lane 3 - Jumat - 09:00</t>
  </si>
  <si>
    <t xml:space="preserve">TMP|- Lane 3 - Jumat|09:00</t>
  </si>
  <si>
    <t xml:space="preserve">Kids - Lane 3 - Jumat - 09:45</t>
  </si>
  <si>
    <t xml:space="preserve">TMP|- Lane 3 - Jumat|09:45</t>
  </si>
  <si>
    <t xml:space="preserve">Kids - Lane 3 - Jumat - 10:30</t>
  </si>
  <si>
    <t xml:space="preserve">TMP|- Lane 3 - Jumat|10:30</t>
  </si>
  <si>
    <t xml:space="preserve">Kids - Lane 3 - Jumat - 11:15</t>
  </si>
  <si>
    <t xml:space="preserve">TMP|- Lane 3 - Jumat|11:15</t>
  </si>
  <si>
    <t xml:space="preserve">Kids - Lane 3 - Jumat - 12:00</t>
  </si>
  <si>
    <t xml:space="preserve">TMP|- Lane 3 - Jumat|12:00</t>
  </si>
  <si>
    <t xml:space="preserve">Kids - Lane 3 - Jumat - 13:30</t>
  </si>
  <si>
    <t xml:space="preserve">TMP|- Lane 3 - Jumat|13:30</t>
  </si>
  <si>
    <t xml:space="preserve">Kids - Lane 3 - Jumat - 14:15</t>
  </si>
  <si>
    <t xml:space="preserve">TMP|- Lane 3 - Jumat|14:15</t>
  </si>
  <si>
    <t xml:space="preserve">Kids - Lane 3 - Jumat - 15:00</t>
  </si>
  <si>
    <t xml:space="preserve">TMP|- Lane 3 - Jumat|15:00</t>
  </si>
  <si>
    <t xml:space="preserve">Kids - Lane 3 - Jumat - 15:45</t>
  </si>
  <si>
    <t xml:space="preserve">TMP|- Lane 3 - Jumat|15:45</t>
  </si>
  <si>
    <t xml:space="preserve">Kids - Lane 3 - Jumat - 16:30</t>
  </si>
  <si>
    <t xml:space="preserve">TMP|- Lane 3 - Jumat|16:30</t>
  </si>
  <si>
    <t xml:space="preserve">Kids - Lane 3 - Jumat - 17:15</t>
  </si>
  <si>
    <t xml:space="preserve">TMP|- Lane 3 - Jumat|17:15</t>
  </si>
  <si>
    <t xml:space="preserve">Kids - Lane 3 - Sabtu - 08:15</t>
  </si>
  <si>
    <t xml:space="preserve">TMP|- Lane 3 - Sabtu|08:15</t>
  </si>
  <si>
    <t xml:space="preserve">Kids - Lane 3 - Sabtu - 09:00</t>
  </si>
  <si>
    <t xml:space="preserve">TMP|- Lane 3 - Sabtu|09:00</t>
  </si>
  <si>
    <t xml:space="preserve">Kids - Lane 3 - Sabtu - 09:45</t>
  </si>
  <si>
    <t xml:space="preserve">TMP|- Lane 3 - Sabtu|09:45</t>
  </si>
  <si>
    <t xml:space="preserve">Kids - Lane 3 - Sabtu - 10:30</t>
  </si>
  <si>
    <t xml:space="preserve">TMP|- Lane 3 - Sabtu|10:30</t>
  </si>
  <si>
    <t xml:space="preserve">Kids - Lane 3 - Sabtu - 11:15</t>
  </si>
  <si>
    <t xml:space="preserve">TMP|- Lane 3 - Sabtu|11:15</t>
  </si>
  <si>
    <t xml:space="preserve">Kids - Lane 3 - Sabtu - 12:00</t>
  </si>
  <si>
    <t xml:space="preserve">TMP|- Lane 3 - Sabtu|12:00</t>
  </si>
  <si>
    <t xml:space="preserve">Kids - Lane 3 - Sabtu - 13:30</t>
  </si>
  <si>
    <t xml:space="preserve">TMP|- Lane 3 - Sabtu|13:30</t>
  </si>
  <si>
    <t xml:space="preserve">Kids - Lane 3 - Sabtu - 14:15</t>
  </si>
  <si>
    <t xml:space="preserve">TMP|- Lane 3 - Sabtu|14:15</t>
  </si>
  <si>
    <t xml:space="preserve">Kids - Lane 3 - Sabtu - 15:00</t>
  </si>
  <si>
    <t xml:space="preserve">TMP|- Lane 3 - Sabtu|15:00</t>
  </si>
  <si>
    <t xml:space="preserve">Kids - Lane 3 - Sabtu - 15:45</t>
  </si>
  <si>
    <t xml:space="preserve">TMP|- Lane 3 - Sabtu|15:45</t>
  </si>
  <si>
    <t xml:space="preserve">Kids - Lane 3 - Sabtu - 16:30</t>
  </si>
  <si>
    <t xml:space="preserve">TMP|- Lane 3 - Sabtu|16:30</t>
  </si>
  <si>
    <t xml:space="preserve">Kids - Lane 3 - Sabtu - 17:15</t>
  </si>
  <si>
    <t xml:space="preserve">TMP|- Lane 3 - Sabtu|17:15</t>
  </si>
  <si>
    <t xml:space="preserve">Kids - Lane 3 - Minggu - 08:15</t>
  </si>
  <si>
    <t xml:space="preserve">TMP|- Lane 3 - Minggu|08:15</t>
  </si>
  <si>
    <t xml:space="preserve">Kids - Lane 3 - Minggu - 09:00</t>
  </si>
  <si>
    <t xml:space="preserve">TMP|- Lane 3 - Minggu|09:00</t>
  </si>
  <si>
    <t xml:space="preserve">Kids - Lane 3 - Minggu - 09:45</t>
  </si>
  <si>
    <t xml:space="preserve">TMP|- Lane 3 - Minggu|09:45</t>
  </si>
  <si>
    <t xml:space="preserve">Kids - Lane 3 - Minggu - 10:30</t>
  </si>
  <si>
    <t xml:space="preserve">TMP|- Lane 3 - Minggu|10:30</t>
  </si>
  <si>
    <t xml:space="preserve">Kids - Lane 3 - Minggu - 11:15</t>
  </si>
  <si>
    <t xml:space="preserve">TMP|- Lane 3 - Minggu|11:15</t>
  </si>
  <si>
    <t xml:space="preserve">Kids - Lane 3 - Minggu - 12:00</t>
  </si>
  <si>
    <t xml:space="preserve">TMP|- Lane 3 - Minggu|12:00</t>
  </si>
  <si>
    <t xml:space="preserve">Kids - Lane 3 - Minggu - 13:30</t>
  </si>
  <si>
    <t xml:space="preserve">TMP|- Lane 3 - Minggu|13:30</t>
  </si>
  <si>
    <t xml:space="preserve">Kids - Lane 3 - Minggu - 14:15</t>
  </si>
  <si>
    <t xml:space="preserve">TMP|- Lane 3 - Minggu|14:15</t>
  </si>
  <si>
    <t xml:space="preserve">Kids - Lane 3 - Minggu - 15:00</t>
  </si>
  <si>
    <t xml:space="preserve">TMP|- Lane 3 - Minggu|15:00</t>
  </si>
  <si>
    <t xml:space="preserve">Kids - Lane 3 - Minggu - 15:45</t>
  </si>
  <si>
    <t xml:space="preserve">TMP|- Lane 3 - Minggu|15:45</t>
  </si>
  <si>
    <t xml:space="preserve">Kids - Lane 3 - Minggu - 16:30</t>
  </si>
  <si>
    <t xml:space="preserve">TMP|- Lane 3 - Minggu|16:30</t>
  </si>
  <si>
    <t xml:space="preserve">Kids - Lane 3 - Minggu - 17:15</t>
  </si>
  <si>
    <t xml:space="preserve">TMP|- Lane 3 - Minggu|17:15</t>
  </si>
  <si>
    <t xml:space="preserve">TMP|- Lane 4 - Senin|08:15</t>
  </si>
  <si>
    <t xml:space="preserve">TMP|- Lane 4 - Senin|09:00</t>
  </si>
  <si>
    <t xml:space="preserve">TMP|- Lane 4 - Senin|09:45</t>
  </si>
  <si>
    <t xml:space="preserve">TMP|- Lane 4 - Senin|10:30</t>
  </si>
  <si>
    <t xml:space="preserve">TMP|- Lane 4 - Senin|11:15</t>
  </si>
  <si>
    <t xml:space="preserve">TMP|- Lane 4 - Senin|12:00</t>
  </si>
  <si>
    <t xml:space="preserve">TMP|- Lane 4 - Senin|13:30</t>
  </si>
  <si>
    <t xml:space="preserve">TMP|- Lane 4 - Senin|14:15</t>
  </si>
  <si>
    <t xml:space="preserve">TMP|- Lane 4 - Senin|15:00</t>
  </si>
  <si>
    <t xml:space="preserve">TMP|- Lane 4 - Senin|15:45</t>
  </si>
  <si>
    <t xml:space="preserve">TMP|- Lane 4 - Senin|16:30</t>
  </si>
  <si>
    <t xml:space="preserve">TMP|- Lane 4 - Senin|17:15</t>
  </si>
  <si>
    <t xml:space="preserve">TMP|- Lane 4 - Selasa|08:15</t>
  </si>
  <si>
    <t xml:space="preserve">TMP|- Lane 4 - Selasa|09:00</t>
  </si>
  <si>
    <t xml:space="preserve">TMP|- Lane 4 - Selasa|09:45</t>
  </si>
  <si>
    <t xml:space="preserve">TMP|- Lane 4 - Selasa|10:30</t>
  </si>
  <si>
    <t xml:space="preserve">TMP|- Lane 4 - Selasa|11:15</t>
  </si>
  <si>
    <t xml:space="preserve">TMP|- Lane 4 - Selasa|12:00</t>
  </si>
  <si>
    <t xml:space="preserve">TMP|- Lane 4 - Selasa|13:30</t>
  </si>
  <si>
    <t xml:space="preserve">TMP|- Lane 4 - Selasa|14:15</t>
  </si>
  <si>
    <t xml:space="preserve">TMP|- Lane 4 - Selasa|15:00</t>
  </si>
  <si>
    <t xml:space="preserve">TMP|- Lane 4 - Selasa|15:45</t>
  </si>
  <si>
    <t xml:space="preserve">TMP|- Lane 4 - Selasa|16:30</t>
  </si>
  <si>
    <t xml:space="preserve">TMP|- Lane 4 - Selasa|17:15</t>
  </si>
  <si>
    <t xml:space="preserve">TMP|- Lane 4 - Rabu|08:15</t>
  </si>
  <si>
    <t xml:space="preserve">TMP|- Lane 4 - Rabu|09:00</t>
  </si>
  <si>
    <t xml:space="preserve">TMP|- Lane 4 - Rabu|09:45</t>
  </si>
  <si>
    <t xml:space="preserve">TMP|- Lane 4 - Rabu|10:30</t>
  </si>
  <si>
    <t xml:space="preserve">TMP|- Lane 4 - Rabu|11:15</t>
  </si>
  <si>
    <t xml:space="preserve">TMP|- Lane 4 - Rabu|12:00</t>
  </si>
  <si>
    <t xml:space="preserve">TMP|- Lane 4 - Rabu|13:30</t>
  </si>
  <si>
    <t xml:space="preserve">TMP|- Lane 4 - Rabu|14:15</t>
  </si>
  <si>
    <t xml:space="preserve">TMP|- Lane 4 - Rabu|15:00</t>
  </si>
  <si>
    <t xml:space="preserve">TMP|- Lane 4 - Rabu|15:45</t>
  </si>
  <si>
    <t xml:space="preserve">TMP|- Lane 4 - Rabu|16:30</t>
  </si>
  <si>
    <t xml:space="preserve">TMP|- Lane 4 - Rabu|17:15</t>
  </si>
  <si>
    <t xml:space="preserve">TMP|- Lane 4 - Kamis|08:15</t>
  </si>
  <si>
    <t xml:space="preserve">TMP|- Lane 4 - Kamis|09:00</t>
  </si>
  <si>
    <t xml:space="preserve">TMP|- Lane 4 - Kamis|09:45</t>
  </si>
  <si>
    <t xml:space="preserve">TMP|- Lane 4 - Kamis|10:30</t>
  </si>
  <si>
    <t xml:space="preserve">TMP|- Lane 4 - Kamis|11:15</t>
  </si>
  <si>
    <t xml:space="preserve">TMP|- Lane 4 - Kamis|12:00</t>
  </si>
  <si>
    <t xml:space="preserve">TMP|- Lane 4 - Kamis|13:30</t>
  </si>
  <si>
    <t xml:space="preserve">TMP|- Lane 4 - Kamis|14:15</t>
  </si>
  <si>
    <t xml:space="preserve">TMP|- Lane 4 - Kamis|15:00</t>
  </si>
  <si>
    <t xml:space="preserve">TMP|- Lane 4 - Kamis|15:45</t>
  </si>
  <si>
    <t xml:space="preserve">TMP|- Lane 4 - Kamis|16:30</t>
  </si>
  <si>
    <t xml:space="preserve">TMP|- Lane 4 - Kamis|17:15</t>
  </si>
  <si>
    <t xml:space="preserve">TMP|- Lane 4 - Jumat|08:15</t>
  </si>
  <si>
    <t xml:space="preserve">TMP|- Lane 4 - Jumat|09:00</t>
  </si>
  <si>
    <t xml:space="preserve">TMP|- Lane 4 - Jumat|09:45</t>
  </si>
  <si>
    <t xml:space="preserve">TMP|- Lane 4 - Jumat|10:30</t>
  </si>
  <si>
    <t xml:space="preserve">TMP|- Lane 4 - Jumat|11:15</t>
  </si>
  <si>
    <t xml:space="preserve">TMP|- Lane 4 - Jumat|12:00</t>
  </si>
  <si>
    <t xml:space="preserve">TMP|- Lane 4 - Jumat|13:30</t>
  </si>
  <si>
    <t xml:space="preserve">TMP|- Lane 4 - Jumat|14:15</t>
  </si>
  <si>
    <t xml:space="preserve">TMP|- Lane 4 - Jumat|15:00</t>
  </si>
  <si>
    <t xml:space="preserve">TMP|- Lane 4 - Jumat|15:45</t>
  </si>
  <si>
    <t xml:space="preserve">TMP|- Lane 4 - Jumat|16:30</t>
  </si>
  <si>
    <t xml:space="preserve">TMP|- Lane 4 - Jumat|17:15</t>
  </si>
  <si>
    <t xml:space="preserve">TMP|- Lane 4 - Sabtu|08:15</t>
  </si>
  <si>
    <t xml:space="preserve">TMP|- Lane 4 - Sabtu|09:00</t>
  </si>
  <si>
    <t xml:space="preserve">TMP|- Lane 4 - Sabtu|09:45</t>
  </si>
  <si>
    <t xml:space="preserve">TMP|- Lane 4 - Sabtu|10:30</t>
  </si>
  <si>
    <t xml:space="preserve">TMP|- Lane 4 - Sabtu|11:15</t>
  </si>
  <si>
    <t xml:space="preserve">TMP|- Lane 4 - Sabtu|12:00</t>
  </si>
  <si>
    <t xml:space="preserve">TMP|- Lane 4 - Sabtu|13:30</t>
  </si>
  <si>
    <t xml:space="preserve">TMP|- Lane 4 - Sabtu|14:15</t>
  </si>
  <si>
    <t xml:space="preserve">TMP|- Lane 4 - Sabtu|15:00</t>
  </si>
  <si>
    <t xml:space="preserve">TMP|- Lane 4 - Sabtu|15:45</t>
  </si>
  <si>
    <t xml:space="preserve">TMP|- Lane 4 - Sabtu|16:30</t>
  </si>
  <si>
    <t xml:space="preserve">TMP|- Lane 4 - Sabtu|17:15</t>
  </si>
  <si>
    <t xml:space="preserve">TMP|- Lane 4 - Minggu|08:15</t>
  </si>
  <si>
    <t xml:space="preserve">TMP|- Lane 4 - Minggu|09:00</t>
  </si>
  <si>
    <t xml:space="preserve">TMP|- Lane 4 - Minggu|09:45</t>
  </si>
  <si>
    <t xml:space="preserve">TMP|- Lane 4 - Minggu|10:30</t>
  </si>
  <si>
    <t xml:space="preserve">TMP|- Lane 4 - Minggu|11:15</t>
  </si>
  <si>
    <t xml:space="preserve">TMP|- Lane 4 - Minggu|12:00</t>
  </si>
  <si>
    <t xml:space="preserve">TMP|- Lane 4 - Minggu|13:30</t>
  </si>
  <si>
    <t xml:space="preserve">TMP|- Lane 4 - Minggu|14:15</t>
  </si>
  <si>
    <t xml:space="preserve">TMP|- Lane 4 - Minggu|15:00</t>
  </si>
  <si>
    <t xml:space="preserve">TMP|- Lane 4 - Minggu|15:45</t>
  </si>
  <si>
    <t xml:space="preserve">TMP|- Lane 4 - Minggu|16:30</t>
  </si>
  <si>
    <t xml:space="preserve">TMP|- Lane 4 - Minggu|17:15</t>
  </si>
  <si>
    <t xml:space="preserve">BTU</t>
  </si>
  <si>
    <t xml:space="preserve">BTU|- Lane 1 - Senin|08:00</t>
  </si>
  <si>
    <t xml:space="preserve">BTU|- Lane 1 - Senin|08:45</t>
  </si>
  <si>
    <t xml:space="preserve">BTU|- Lane 1 - Senin|09:30</t>
  </si>
  <si>
    <t xml:space="preserve">BTU|- Lane 1 - Senin|10:15</t>
  </si>
  <si>
    <t xml:space="preserve">BTU|- Lane 1 - Senin|11:00</t>
  </si>
  <si>
    <t xml:space="preserve">BTU|- Lane 1 - Senin|11:45</t>
  </si>
  <si>
    <t xml:space="preserve">BTU|- Lane 1 - Senin|13:15</t>
  </si>
  <si>
    <t xml:space="preserve">BTU|- Lane 1 - Senin|14:00</t>
  </si>
  <si>
    <t xml:space="preserve">BTU|- Lane 1 - Senin|14:45</t>
  </si>
  <si>
    <t xml:space="preserve">BTU|- Lane 1 - Senin|15:30</t>
  </si>
  <si>
    <t xml:space="preserve">BTU|- Lane 1 - Senin|16:15</t>
  </si>
  <si>
    <t xml:space="preserve">BTU|- Lane 1 - Senin|17:00</t>
  </si>
  <si>
    <t xml:space="preserve">BTU|- Lane 1 - Selasa|08:00</t>
  </si>
  <si>
    <t xml:space="preserve">Doni</t>
  </si>
  <si>
    <t xml:space="preserve">BTU|- Lane 1 - Selasa|08:45</t>
  </si>
  <si>
    <t xml:space="preserve">BTU|- Lane 1 - Selasa|09:30</t>
  </si>
  <si>
    <t xml:space="preserve">BTU|- Lane 1 - Selasa|10:15</t>
  </si>
  <si>
    <t xml:space="preserve">BTU|- Lane 1 - Selasa|11:00</t>
  </si>
  <si>
    <t xml:space="preserve">BTU|- Lane 1 - Selasa|11:45</t>
  </si>
  <si>
    <t xml:space="preserve">BTU|- Lane 1 - Selasa|13:15</t>
  </si>
  <si>
    <t xml:space="preserve">BTU|- Lane 1 - Selasa|14:00</t>
  </si>
  <si>
    <t xml:space="preserve">BTU|- Lane 1 - Selasa|14:45</t>
  </si>
  <si>
    <t xml:space="preserve">BTU|- Lane 1 - Selasa|15:30</t>
  </si>
  <si>
    <t xml:space="preserve">BTU|- Lane 1 - Selasa|16:15</t>
  </si>
  <si>
    <t xml:space="preserve">BTU|- Lane 1 - Selasa|17:00</t>
  </si>
  <si>
    <t xml:space="preserve">BTU|- Lane 1 - Rabu|08:00</t>
  </si>
  <si>
    <t xml:space="preserve">BTU|- Lane 1 - Rabu|08:45</t>
  </si>
  <si>
    <t xml:space="preserve">Shofi</t>
  </si>
  <si>
    <t xml:space="preserve">BTU|- Lane 1 - Rabu|09:30</t>
  </si>
  <si>
    <t xml:space="preserve">BTU|- Lane 1 - Rabu|10:15</t>
  </si>
  <si>
    <t xml:space="preserve">BTU|- Lane 1 - Rabu|11:00</t>
  </si>
  <si>
    <t xml:space="preserve">BTU|- Lane 1 - Rabu|11:45</t>
  </si>
  <si>
    <t xml:space="preserve">BTU|- Lane 1 - Rabu|13:15</t>
  </si>
  <si>
    <t xml:space="preserve">BTU|- Lane 1 - Rabu|14:00</t>
  </si>
  <si>
    <t xml:space="preserve">BTU|- Lane 1 - Rabu|14:45</t>
  </si>
  <si>
    <t xml:space="preserve">BTU|- Lane 1 - Rabu|15:30</t>
  </si>
  <si>
    <t xml:space="preserve">BTU|- Lane 1 - Rabu|16:15</t>
  </si>
  <si>
    <t xml:space="preserve">BTU|- Lane 1 - Rabu|17:00</t>
  </si>
  <si>
    <t xml:space="preserve">BTU|- Lane 1 - Kamis|08:00</t>
  </si>
  <si>
    <t xml:space="preserve">BTU|- Lane 1 - Kamis|08:45</t>
  </si>
  <si>
    <t xml:space="preserve">BTU|- Lane 1 - Kamis|09:30</t>
  </si>
  <si>
    <t xml:space="preserve">Alfi</t>
  </si>
  <si>
    <t xml:space="preserve">BTU|- Lane 1 - Kamis|10:15</t>
  </si>
  <si>
    <t xml:space="preserve">BTU|- Lane 1 - Kamis|11:00</t>
  </si>
  <si>
    <t xml:space="preserve">BTU|- Lane 1 - Kamis|11:45</t>
  </si>
  <si>
    <t xml:space="preserve">BTU|- Lane 1 - Kamis|13:15</t>
  </si>
  <si>
    <t xml:space="preserve">BTU|- Lane 1 - Kamis|14:00</t>
  </si>
  <si>
    <t xml:space="preserve">BTU|- Lane 1 - Kamis|14:45</t>
  </si>
  <si>
    <t xml:space="preserve">BTU|- Lane 1 - Kamis|15:30</t>
  </si>
  <si>
    <t xml:space="preserve">BTU|- Lane 1 - Kamis|16:15</t>
  </si>
  <si>
    <t xml:space="preserve">BTU|- Lane 1 - Kamis|17:00</t>
  </si>
  <si>
    <t xml:space="preserve">BTU|- Lane 1 - Jumat|08:00</t>
  </si>
  <si>
    <t xml:space="preserve">BTU|- Lane 1 - Jumat|08:45</t>
  </si>
  <si>
    <t xml:space="preserve">BTU|- Lane 1 - Jumat|09:30</t>
  </si>
  <si>
    <t xml:space="preserve">BTU|- Lane 1 - Jumat|10:15</t>
  </si>
  <si>
    <t xml:space="preserve">BTU|- Lane 1 - Jumat|11:00</t>
  </si>
  <si>
    <t xml:space="preserve">BTU|- Lane 1 - Jumat|11:45</t>
  </si>
  <si>
    <t xml:space="preserve">BTU|- Lane 1 - Jumat|13:15</t>
  </si>
  <si>
    <t xml:space="preserve">BTU|- Lane 1 - Jumat|14:00</t>
  </si>
  <si>
    <t xml:space="preserve">BTU|- Lane 1 - Jumat|14:45</t>
  </si>
  <si>
    <t xml:space="preserve">BTU|- Lane 1 - Jumat|15:30</t>
  </si>
  <si>
    <t xml:space="preserve">BTU|- Lane 1 - Jumat|16:15</t>
  </si>
  <si>
    <t xml:space="preserve">BTU|- Lane 1 - Jumat|17:00</t>
  </si>
  <si>
    <t xml:space="preserve">BTU|- Lane 1 - Sabtu|08:00</t>
  </si>
  <si>
    <t xml:space="preserve">Tara</t>
  </si>
  <si>
    <t xml:space="preserve">BTU|- Lane 1 - Sabtu|08:45</t>
  </si>
  <si>
    <t xml:space="preserve">BTU|- Lane 1 - Sabtu|09:30</t>
  </si>
  <si>
    <t xml:space="preserve">BTU|- Lane 1 - Sabtu|10:15</t>
  </si>
  <si>
    <t xml:space="preserve">BTU|- Lane 1 - Sabtu|11:00</t>
  </si>
  <si>
    <t xml:space="preserve">BTU|- Lane 1 - Sabtu|11:45</t>
  </si>
  <si>
    <t xml:space="preserve">BTU|- Lane 1 - Sabtu|13:15</t>
  </si>
  <si>
    <t xml:space="preserve">BTU|- Lane 1 - Sabtu|14:00</t>
  </si>
  <si>
    <t xml:space="preserve">BTU|- Lane 1 - Sabtu|14:45</t>
  </si>
  <si>
    <t xml:space="preserve">BTU|- Lane 1 - Sabtu|15:30</t>
  </si>
  <si>
    <t xml:space="preserve">BTU|- Lane 1 - Sabtu|16:15</t>
  </si>
  <si>
    <t xml:space="preserve">BTU|- Lane 1 - Sabtu|17:00</t>
  </si>
  <si>
    <t xml:space="preserve">BTU|- Lane 1 - Minggu|08:00</t>
  </si>
  <si>
    <t xml:space="preserve">BTU|- Lane 1 - Minggu|08:45</t>
  </si>
  <si>
    <t xml:space="preserve">BTU|- Lane 1 - Minggu|09:30</t>
  </si>
  <si>
    <t xml:space="preserve">BTU|- Lane 1 - Minggu|10:15</t>
  </si>
  <si>
    <t xml:space="preserve">BTU|- Lane 1 - Minggu|11:00</t>
  </si>
  <si>
    <t xml:space="preserve">BTU|- Lane 1 - Minggu|11:45</t>
  </si>
  <si>
    <t xml:space="preserve">BTU|- Lane 1 - Minggu|13:15</t>
  </si>
  <si>
    <t xml:space="preserve">BTU|- Lane 1 - Minggu|14:00</t>
  </si>
  <si>
    <t xml:space="preserve">BTU|- Lane 1 - Minggu|14:45</t>
  </si>
  <si>
    <t xml:space="preserve">BTU|- Lane 1 - Minggu|15:30</t>
  </si>
  <si>
    <t xml:space="preserve">BTU|- Lane 1 - Minggu|16:15</t>
  </si>
  <si>
    <t xml:space="preserve">BTU|- Lane 1 - Minggu|17:00</t>
  </si>
  <si>
    <t xml:space="preserve">BTU|- Lane 1 - Senin|07:30</t>
  </si>
  <si>
    <t xml:space="preserve">BTU|- Lane 1 - Selasa|07:30</t>
  </si>
  <si>
    <t xml:space="preserve">BTU|- Lane 1 - Rabu|07:30</t>
  </si>
  <si>
    <t xml:space="preserve">BTU|- Lane 1 - Kamis|07:30</t>
  </si>
  <si>
    <t xml:space="preserve">BTU|- Lane 1 - Jumat|07:30</t>
  </si>
  <si>
    <t xml:space="preserve">BTU|- Lane 1 - Sabtu|07:30</t>
  </si>
  <si>
    <t xml:space="preserve">BTU|- Lane 1 - Minggu|07:30</t>
  </si>
  <si>
    <t xml:space="preserve">BTU|- Lane 1 - Senin|18:00</t>
  </si>
  <si>
    <t xml:space="preserve">BTU|- Lane 1 - Selasa|18:00</t>
  </si>
  <si>
    <t xml:space="preserve">BTU|- Lane 1 - Rabu|18:00</t>
  </si>
  <si>
    <t xml:space="preserve">BTU|- Lane 1 - Kamis|18:00</t>
  </si>
  <si>
    <t xml:space="preserve">BTU|- Lane 1 - Jumat|18:00</t>
  </si>
  <si>
    <t xml:space="preserve">BTU|- Lane 1 - Sabtu|18:00</t>
  </si>
  <si>
    <t xml:space="preserve">BTU|- Lane 1 - Minggu|18:00</t>
  </si>
  <si>
    <t xml:space="preserve">BTU|- Lane 2 - Senin|08:00</t>
  </si>
  <si>
    <t xml:space="preserve">BTU|- Lane 2 - Senin|08:45</t>
  </si>
  <si>
    <t xml:space="preserve">BTU|- Lane 2 - Senin|09:30</t>
  </si>
  <si>
    <t xml:space="preserve">BTU|- Lane 2 - Senin|10:15</t>
  </si>
  <si>
    <t xml:space="preserve">BTU|- Lane 2 - Senin|11:00</t>
  </si>
  <si>
    <t xml:space="preserve">BTU|- Lane 2 - Senin|11:45</t>
  </si>
  <si>
    <t xml:space="preserve">BTU|- Lane 2 - Senin|13:15</t>
  </si>
  <si>
    <t xml:space="preserve">BTU|- Lane 2 - Senin|14:00</t>
  </si>
  <si>
    <t xml:space="preserve">BTU|- Lane 2 - Senin|14:45</t>
  </si>
  <si>
    <t xml:space="preserve">BTU|- Lane 2 - Senin|15:30</t>
  </si>
  <si>
    <t xml:space="preserve">BTU|- Lane 2 - Senin|16:15</t>
  </si>
  <si>
    <t xml:space="preserve">BTU|- Lane 2 - Senin|17:00</t>
  </si>
  <si>
    <t xml:space="preserve">BTU|- Lane 2 - Selasa|08:00</t>
  </si>
  <si>
    <t xml:space="preserve">BTU|- Lane 2 - Selasa|08:45</t>
  </si>
  <si>
    <t xml:space="preserve">BTU|- Lane 2 - Selasa|09:30</t>
  </si>
  <si>
    <t xml:space="preserve">BTU|- Lane 2 - Selasa|10:15</t>
  </si>
  <si>
    <t xml:space="preserve">BTU|- Lane 2 - Selasa|11:00</t>
  </si>
  <si>
    <t xml:space="preserve">BTU|- Lane 2 - Selasa|11:45</t>
  </si>
  <si>
    <t xml:space="preserve">BTU|- Lane 2 - Selasa|13:15</t>
  </si>
  <si>
    <t xml:space="preserve">BTU|- Lane 2 - Selasa|14:00</t>
  </si>
  <si>
    <t xml:space="preserve">BTU|- Lane 2 - Selasa|14:45</t>
  </si>
  <si>
    <t xml:space="preserve">BTU|- Lane 2 - Selasa|15:30</t>
  </si>
  <si>
    <t xml:space="preserve">BTU|- Lane 2 - Selasa|16:15</t>
  </si>
  <si>
    <t xml:space="preserve">BTU|- Lane 2 - Selasa|17:00</t>
  </si>
  <si>
    <t xml:space="preserve">BTU|- Lane 2 - Rabu|08:00</t>
  </si>
  <si>
    <t xml:space="preserve">BTU|- Lane 2 - Rabu|08:45</t>
  </si>
  <si>
    <t xml:space="preserve">BTU|- Lane 2 - Rabu|09:30</t>
  </si>
  <si>
    <t xml:space="preserve">BTU|- Lane 2 - Rabu|10:15</t>
  </si>
  <si>
    <t xml:space="preserve">BTU|- Lane 2 - Rabu|11:00</t>
  </si>
  <si>
    <t xml:space="preserve">BTU|- Lane 2 - Rabu|11:45</t>
  </si>
  <si>
    <t xml:space="preserve">BTU|- Lane 2 - Rabu|13:15</t>
  </si>
  <si>
    <t xml:space="preserve">BTU|- Lane 2 - Rabu|14:00</t>
  </si>
  <si>
    <t xml:space="preserve">BTU|- Lane 2 - Rabu|14:45</t>
  </si>
  <si>
    <t xml:space="preserve">BTU|- Lane 2 - Rabu|15:30</t>
  </si>
  <si>
    <t xml:space="preserve">BTU|- Lane 2 - Rabu|16:15</t>
  </si>
  <si>
    <t xml:space="preserve">BTU|- Lane 2 - Rabu|17:00</t>
  </si>
  <si>
    <t xml:space="preserve">BTU|- Lane 2 - Kamis|08:00</t>
  </si>
  <si>
    <t xml:space="preserve">BTU|- Lane 2 - Kamis|08:45</t>
  </si>
  <si>
    <t xml:space="preserve">BTU|- Lane 2 - Kamis|09:30</t>
  </si>
  <si>
    <t xml:space="preserve">BTU|- Lane 2 - Kamis|10:15</t>
  </si>
  <si>
    <t xml:space="preserve">BTU|- Lane 2 - Kamis|11:00</t>
  </si>
  <si>
    <t xml:space="preserve">BTU|- Lane 2 - Kamis|11:45</t>
  </si>
  <si>
    <t xml:space="preserve">BTU|- Lane 2 - Kamis|13:15</t>
  </si>
  <si>
    <t xml:space="preserve">BTU|- Lane 2 - Kamis|14:00</t>
  </si>
  <si>
    <t xml:space="preserve">BTU|- Lane 2 - Kamis|14:45</t>
  </si>
  <si>
    <t xml:space="preserve">BTU|- Lane 2 - Kamis|15:30</t>
  </si>
  <si>
    <t xml:space="preserve">BTU|- Lane 2 - Kamis|16:15</t>
  </si>
  <si>
    <t xml:space="preserve">BTU|- Lane 2 - Kamis|17:00</t>
  </si>
  <si>
    <t xml:space="preserve">BTU|- Lane 2 - Jumat|08:00</t>
  </si>
  <si>
    <t xml:space="preserve">BTU|- Lane 2 - Jumat|08:45</t>
  </si>
  <si>
    <t xml:space="preserve">BTU|- Lane 2 - Jumat|09:30</t>
  </si>
  <si>
    <t xml:space="preserve">BTU|- Lane 2 - Jumat|10:15</t>
  </si>
  <si>
    <t xml:space="preserve">BTU|- Lane 2 - Jumat|11:00</t>
  </si>
  <si>
    <t xml:space="preserve">BTU|- Lane 2 - Jumat|11:45</t>
  </si>
  <si>
    <t xml:space="preserve">BTU|- Lane 2 - Jumat|13:15</t>
  </si>
  <si>
    <t xml:space="preserve">BTU|- Lane 2 - Jumat|14:00</t>
  </si>
  <si>
    <t xml:space="preserve">BTU|- Lane 2 - Jumat|14:45</t>
  </si>
  <si>
    <t xml:space="preserve">BTU|- Lane 2 - Jumat|15:30</t>
  </si>
  <si>
    <t xml:space="preserve">BTU|- Lane 2 - Jumat|16:15</t>
  </si>
  <si>
    <t xml:space="preserve">BTU|- Lane 2 - Jumat|17:00</t>
  </si>
  <si>
    <t xml:space="preserve">BTU|- Lane 2 - Sabtu|08:00</t>
  </si>
  <si>
    <t xml:space="preserve">BTU|- Lane 2 - Sabtu|08:45</t>
  </si>
  <si>
    <t xml:space="preserve">BTU|- Lane 2 - Sabtu|09:30</t>
  </si>
  <si>
    <t xml:space="preserve">BTU|- Lane 2 - Sabtu|10:15</t>
  </si>
  <si>
    <t xml:space="preserve">BTU|- Lane 2 - Sabtu|11:00</t>
  </si>
  <si>
    <t xml:space="preserve">BTU|- Lane 2 - Sabtu|11:45</t>
  </si>
  <si>
    <t xml:space="preserve">BTU|- Lane 2 - Sabtu|13:15</t>
  </si>
  <si>
    <t xml:space="preserve">BTU|- Lane 2 - Sabtu|14:00</t>
  </si>
  <si>
    <t xml:space="preserve">BTU|- Lane 2 - Sabtu|14:45</t>
  </si>
  <si>
    <t xml:space="preserve">BTU|- Lane 2 - Sabtu|15:30</t>
  </si>
  <si>
    <t xml:space="preserve">BTU|- Lane 2 - Sabtu|16:15</t>
  </si>
  <si>
    <t xml:space="preserve">BTU|- Lane 2 - Sabtu|17:00</t>
  </si>
  <si>
    <t xml:space="preserve">BTU|- Lane 2 - Minggu|08:00</t>
  </si>
  <si>
    <t xml:space="preserve">BTU|- Lane 2 - Minggu|08:45</t>
  </si>
  <si>
    <t xml:space="preserve">BTU|- Lane 2 - Minggu|09:30</t>
  </si>
  <si>
    <t xml:space="preserve">BTU|- Lane 2 - Minggu|10:15</t>
  </si>
  <si>
    <t xml:space="preserve">BTU|- Lane 2 - Minggu|11:00</t>
  </si>
  <si>
    <t xml:space="preserve">BTU|- Lane 2 - Minggu|11:45</t>
  </si>
  <si>
    <t xml:space="preserve">BTU|- Lane 2 - Minggu|13:15</t>
  </si>
  <si>
    <t xml:space="preserve">BTU|- Lane 2 - Minggu|14:00</t>
  </si>
  <si>
    <t xml:space="preserve">BTU|- Lane 2 - Minggu|14:45</t>
  </si>
  <si>
    <t xml:space="preserve">BTU|- Lane 2 - Minggu|15:30</t>
  </si>
  <si>
    <t xml:space="preserve">BTU|- Lane 2 - Minggu|16:15</t>
  </si>
  <si>
    <t xml:space="preserve">BTU|- Lane 2 - Minggu|17:00</t>
  </si>
  <si>
    <t xml:space="preserve">BTU|- Lane 3 - Senin|08:15</t>
  </si>
  <si>
    <t xml:space="preserve">BTU|- Lane 3 - Senin|09:00</t>
  </si>
  <si>
    <t xml:space="preserve">BTU|- Lane 3 - Senin|09:45</t>
  </si>
  <si>
    <t xml:space="preserve">BTU|- Lane 3 - Senin|10:30</t>
  </si>
  <si>
    <t xml:space="preserve">BTU|- Lane 3 - Senin|11:15</t>
  </si>
  <si>
    <t xml:space="preserve">BTU|- Lane 3 - Senin|12:00</t>
  </si>
  <si>
    <t xml:space="preserve">BTU|- Lane 3 - Senin|13:30</t>
  </si>
  <si>
    <t xml:space="preserve">BTU|- Lane 3 - Senin|14:15</t>
  </si>
  <si>
    <t xml:space="preserve">Aldi</t>
  </si>
  <si>
    <t xml:space="preserve">BTU|- Lane 3 - Senin|15:00</t>
  </si>
  <si>
    <t xml:space="preserve">BTU|- Lane 3 - Senin|15:45</t>
  </si>
  <si>
    <t xml:space="preserve">BTU|- Lane 3 - Senin|16:30</t>
  </si>
  <si>
    <t xml:space="preserve">BTU|- Lane 3 - Senin|17:15</t>
  </si>
  <si>
    <t xml:space="preserve">BTU|- Lane 3 - Selasa|08:15</t>
  </si>
  <si>
    <t xml:space="preserve">BTU|- Lane 3 - Selasa|09:00</t>
  </si>
  <si>
    <t xml:space="preserve">BTU|- Lane 3 - Selasa|09:45</t>
  </si>
  <si>
    <t xml:space="preserve">BTU|- Lane 3 - Selasa|10:30</t>
  </si>
  <si>
    <t xml:space="preserve">BTU|- Lane 3 - Selasa|11:15</t>
  </si>
  <si>
    <t xml:space="preserve">BTU|- Lane 3 - Selasa|12:00</t>
  </si>
  <si>
    <t xml:space="preserve">BTU|- Lane 3 - Selasa|13:30</t>
  </si>
  <si>
    <t xml:space="preserve">BTU|- Lane 3 - Selasa|14:15</t>
  </si>
  <si>
    <t xml:space="preserve">BTU|- Lane 3 - Selasa|15:00</t>
  </si>
  <si>
    <t xml:space="preserve">Maulana</t>
  </si>
  <si>
    <t xml:space="preserve">BTU|- Lane 3 - Selasa|15:45</t>
  </si>
  <si>
    <t xml:space="preserve">BTU|- Lane 3 - Selasa|16:30</t>
  </si>
  <si>
    <t xml:space="preserve">BTU|- Lane 3 - Selasa|17:15</t>
  </si>
  <si>
    <t xml:space="preserve">BTU|- Lane 3 - Rabu|08:15</t>
  </si>
  <si>
    <t xml:space="preserve">BTU|- Lane 3 - Rabu|09:00</t>
  </si>
  <si>
    <t xml:space="preserve">BTU|- Lane 3 - Rabu|09:45</t>
  </si>
  <si>
    <t xml:space="preserve">BTU|- Lane 3 - Rabu|10:30</t>
  </si>
  <si>
    <t xml:space="preserve">BTU|- Lane 3 - Rabu|11:15</t>
  </si>
  <si>
    <t xml:space="preserve">BTU|- Lane 3 - Rabu|12:00</t>
  </si>
  <si>
    <t xml:space="preserve">BTU|- Lane 3 - Rabu|13:30</t>
  </si>
  <si>
    <t xml:space="preserve">BTU|- Lane 3 - Rabu|14:15</t>
  </si>
  <si>
    <t xml:space="preserve">Bagas</t>
  </si>
  <si>
    <t xml:space="preserve">BTU|- Lane 3 - Rabu|15:00</t>
  </si>
  <si>
    <t xml:space="preserve">BTU|- Lane 3 - Rabu|15:45</t>
  </si>
  <si>
    <t xml:space="preserve">BTU|- Lane 3 - Rabu|16:30</t>
  </si>
  <si>
    <t xml:space="preserve">BTU|- Lane 3 - Rabu|17:15</t>
  </si>
  <si>
    <t xml:space="preserve">Little - Lane 3 - Kamis - 08:15</t>
  </si>
  <si>
    <t xml:space="preserve">BTU|- Lane 3 - Kamis|08:15</t>
  </si>
  <si>
    <t xml:space="preserve">BTU|- Lane 3 - Kamis|09:00</t>
  </si>
  <si>
    <t xml:space="preserve">BTU|- Lane 3 - Kamis|09:45</t>
  </si>
  <si>
    <t xml:space="preserve">BTU|- Lane 3 - Kamis|10:30</t>
  </si>
  <si>
    <t xml:space="preserve">BTU|- Lane 3 - Kamis|11:15</t>
  </si>
  <si>
    <t xml:space="preserve">BTU|- Lane 3 - Kamis|12:00</t>
  </si>
  <si>
    <t xml:space="preserve">BTU|- Lane 3 - Kamis|13:30</t>
  </si>
  <si>
    <t xml:space="preserve">BTU|- Lane 3 - Kamis|14:15</t>
  </si>
  <si>
    <t xml:space="preserve">BTU|- Lane 3 - Kamis|15:00</t>
  </si>
  <si>
    <t xml:space="preserve">BTU|- Lane 3 - Kamis|15:45</t>
  </si>
  <si>
    <t xml:space="preserve">BTU|- Lane 3 - Kamis|16:30</t>
  </si>
  <si>
    <t xml:space="preserve">BTU|- Lane 3 - Kamis|17:15</t>
  </si>
  <si>
    <t xml:space="preserve">BTU|- Lane 3 - Jumat|08:15</t>
  </si>
  <si>
    <t xml:space="preserve">BTU|- Lane 3 - Jumat|09:00</t>
  </si>
  <si>
    <t xml:space="preserve">BTU|- Lane 3 - Jumat|09:45</t>
  </si>
  <si>
    <t xml:space="preserve">BTU|- Lane 3 - Jumat|10:30</t>
  </si>
  <si>
    <t xml:space="preserve">BTU|- Lane 3 - Jumat|11:15</t>
  </si>
  <si>
    <t xml:space="preserve">BTU|- Lane 3 - Jumat|12:00</t>
  </si>
  <si>
    <t xml:space="preserve">BTU|- Lane 3 - Jumat|13:30</t>
  </si>
  <si>
    <t xml:space="preserve">BTU|- Lane 3 - Jumat|14:15</t>
  </si>
  <si>
    <t xml:space="preserve">BTU|- Lane 3 - Jumat|15:00</t>
  </si>
  <si>
    <t xml:space="preserve">BTU|- Lane 3 - Jumat|15:45</t>
  </si>
  <si>
    <t xml:space="preserve">BTU|- Lane 3 - Jumat|16:30</t>
  </si>
  <si>
    <t xml:space="preserve">BTU|- Lane 3 - Jumat|17:15</t>
  </si>
  <si>
    <t xml:space="preserve">BTU|- Lane 3 - Sabtu|08:15</t>
  </si>
  <si>
    <t xml:space="preserve">BTU|- Lane 3 - Sabtu|09:00</t>
  </si>
  <si>
    <t xml:space="preserve">BTU|- Lane 3 - Sabtu|09:45</t>
  </si>
  <si>
    <t xml:space="preserve">BTU|- Lane 3 - Sabtu|10:30</t>
  </si>
  <si>
    <t xml:space="preserve">BTU|- Lane 3 - Sabtu|11:15</t>
  </si>
  <si>
    <t xml:space="preserve">BTU|- Lane 3 - Sabtu|12:00</t>
  </si>
  <si>
    <t xml:space="preserve">BTU|- Lane 3 - Sabtu|13:30</t>
  </si>
  <si>
    <t xml:space="preserve">BTU|- Lane 3 - Sabtu|14:15</t>
  </si>
  <si>
    <t xml:space="preserve">BTU|- Lane 3 - Sabtu|15:00</t>
  </si>
  <si>
    <t xml:space="preserve">BTU|- Lane 3 - Sabtu|15:45</t>
  </si>
  <si>
    <t xml:space="preserve">BTU|- Lane 3 - Sabtu|16:30</t>
  </si>
  <si>
    <t xml:space="preserve">BTU|- Lane 3 - Sabtu|17:15</t>
  </si>
  <si>
    <t xml:space="preserve">BTU|- Lane 3 - Minggu|08:15</t>
  </si>
  <si>
    <t xml:space="preserve">BTU|- Lane 3 - Minggu|09:00</t>
  </si>
  <si>
    <t xml:space="preserve">BTU|- Lane 3 - Minggu|09:45</t>
  </si>
  <si>
    <t xml:space="preserve">BTU|- Lane 3 - Minggu|10:30</t>
  </si>
  <si>
    <t xml:space="preserve">BTU|- Lane 3 - Minggu|11:15</t>
  </si>
  <si>
    <t xml:space="preserve">BTU|- Lane 3 - Minggu|12:00</t>
  </si>
  <si>
    <t xml:space="preserve">BTU|- Lane 3 - Minggu|13:30</t>
  </si>
  <si>
    <t xml:space="preserve">BTU|- Lane 3 - Minggu|14:15</t>
  </si>
  <si>
    <t xml:space="preserve">BTU|- Lane 3 - Minggu|15:00</t>
  </si>
  <si>
    <t xml:space="preserve">Shofi </t>
  </si>
  <si>
    <t xml:space="preserve">BTU|- Lane 3 - Minggu|15:45</t>
  </si>
  <si>
    <t xml:space="preserve">BTU|- Lane 3 - Minggu|16:30</t>
  </si>
  <si>
    <t xml:space="preserve">BTU|- Lane 3 - Minggu|17:15</t>
  </si>
  <si>
    <t xml:space="preserve">BTU|- Lane 4 - Senin|08:15</t>
  </si>
  <si>
    <t xml:space="preserve">BTU|- Lane 4 - Senin|09:00</t>
  </si>
  <si>
    <t xml:space="preserve">BTU|- Lane 4 - Senin|09:45</t>
  </si>
  <si>
    <t xml:space="preserve">BTU|- Lane 4 - Senin|10:30</t>
  </si>
  <si>
    <t xml:space="preserve">BTU|- Lane 4 - Senin|11:15</t>
  </si>
  <si>
    <t xml:space="preserve">BTU|- Lane 4 - Senin|12:00</t>
  </si>
  <si>
    <t xml:space="preserve">BTU|- Lane 4 - Senin|13:30</t>
  </si>
  <si>
    <t xml:space="preserve">BTU|- Lane 4 - Senin|14:15</t>
  </si>
  <si>
    <t xml:space="preserve">BTU|- Lane 4 - Senin|15:00</t>
  </si>
  <si>
    <t xml:space="preserve">BTU|- Lane 4 - Senin|15:45</t>
  </si>
  <si>
    <t xml:space="preserve">BTU|- Lane 4 - Senin|16:30</t>
  </si>
  <si>
    <t xml:space="preserve">BTU|- Lane 4 - Senin|17:15</t>
  </si>
  <si>
    <t xml:space="preserve">BTU|- Lane 4 - Selasa|08:15</t>
  </si>
  <si>
    <t xml:space="preserve">BTU|- Lane 4 - Selasa|09:00</t>
  </si>
  <si>
    <t xml:space="preserve">BTU|- Lane 4 - Selasa|09:45</t>
  </si>
  <si>
    <t xml:space="preserve">BTU|- Lane 4 - Selasa|10:30</t>
  </si>
  <si>
    <t xml:space="preserve">BTU|- Lane 4 - Selasa|11:15</t>
  </si>
  <si>
    <t xml:space="preserve">BTU|- Lane 4 - Selasa|12:00</t>
  </si>
  <si>
    <t xml:space="preserve">BTU|- Lane 4 - Selasa|13:30</t>
  </si>
  <si>
    <t xml:space="preserve">BTU|- Lane 4 - Selasa|14:15</t>
  </si>
  <si>
    <t xml:space="preserve">BTU|- Lane 4 - Selasa|15:00</t>
  </si>
  <si>
    <t xml:space="preserve">BTU|- Lane 4 - Selasa|15:45</t>
  </si>
  <si>
    <t xml:space="preserve">BTU|- Lane 4 - Selasa|16:30</t>
  </si>
  <si>
    <t xml:space="preserve">BTU|- Lane 4 - Selasa|17:15</t>
  </si>
  <si>
    <t xml:space="preserve">BTU|- Lane 4 - Rabu|08:15</t>
  </si>
  <si>
    <t xml:space="preserve">BTU|- Lane 4 - Rabu|09:00</t>
  </si>
  <si>
    <t xml:space="preserve">BTU|- Lane 4 - Rabu|09:45</t>
  </si>
  <si>
    <t xml:space="preserve">BTU|- Lane 4 - Rabu|10:30</t>
  </si>
  <si>
    <t xml:space="preserve">BTU|- Lane 4 - Rabu|11:15</t>
  </si>
  <si>
    <t xml:space="preserve">BTU|- Lane 4 - Rabu|12:00</t>
  </si>
  <si>
    <t xml:space="preserve">BTU|- Lane 4 - Rabu|13:30</t>
  </si>
  <si>
    <t xml:space="preserve">BTU|- Lane 4 - Rabu|14:15</t>
  </si>
  <si>
    <t xml:space="preserve">BTU|- Lane 4 - Rabu|15:00</t>
  </si>
  <si>
    <t xml:space="preserve">BTU|- Lane 4 - Rabu|15:45</t>
  </si>
  <si>
    <t xml:space="preserve">BTU|- Lane 4 - Rabu|16:30</t>
  </si>
  <si>
    <t xml:space="preserve">BTU|- Lane 4 - Rabu|17:15</t>
  </si>
  <si>
    <t xml:space="preserve">BTU|- Lane 4 - Kamis|08:15</t>
  </si>
  <si>
    <t xml:space="preserve">BTU|- Lane 4 - Kamis|09:00</t>
  </si>
  <si>
    <t xml:space="preserve">BTU|- Lane 4 - Kamis|09:45</t>
  </si>
  <si>
    <t xml:space="preserve">BTU|- Lane 4 - Kamis|10:30</t>
  </si>
  <si>
    <t xml:space="preserve">BTU|- Lane 4 - Kamis|11:15</t>
  </si>
  <si>
    <t xml:space="preserve">BTU|- Lane 4 - Kamis|12:00</t>
  </si>
  <si>
    <t xml:space="preserve">BTU|- Lane 4 - Kamis|13:30</t>
  </si>
  <si>
    <t xml:space="preserve">BTU|- Lane 4 - Kamis|14:15</t>
  </si>
  <si>
    <t xml:space="preserve">BTU|- Lane 4 - Kamis|15:00</t>
  </si>
  <si>
    <t xml:space="preserve">BTU|- Lane 4 - Kamis|15:45</t>
  </si>
  <si>
    <t xml:space="preserve">BTU|- Lane 4 - Kamis|16:30</t>
  </si>
  <si>
    <t xml:space="preserve">BTU|- Lane 4 - Kamis|17:15</t>
  </si>
  <si>
    <t xml:space="preserve">BTU|- Lane 4 - Jumat|08:15</t>
  </si>
  <si>
    <t xml:space="preserve">BTU|- Lane 4 - Jumat|09:00</t>
  </si>
  <si>
    <t xml:space="preserve">BTU|- Lane 4 - Jumat|09:45</t>
  </si>
  <si>
    <t xml:space="preserve">BTU|- Lane 4 - Jumat|10:30</t>
  </si>
  <si>
    <t xml:space="preserve">BTU|- Lane 4 - Jumat|11:15</t>
  </si>
  <si>
    <t xml:space="preserve">BTU|- Lane 4 - Jumat|12:00</t>
  </si>
  <si>
    <t xml:space="preserve">BTU|- Lane 4 - Jumat|13:30</t>
  </si>
  <si>
    <t xml:space="preserve">BTU|- Lane 4 - Jumat|14:15</t>
  </si>
  <si>
    <t xml:space="preserve">BTU|- Lane 4 - Jumat|15:00</t>
  </si>
  <si>
    <t xml:space="preserve">BTU|- Lane 4 - Jumat|15:45</t>
  </si>
  <si>
    <t xml:space="preserve">BTU|- Lane 4 - Jumat|16:30</t>
  </si>
  <si>
    <t xml:space="preserve">BTU|- Lane 4 - Jumat|17:15</t>
  </si>
  <si>
    <t xml:space="preserve">BTU|- Lane 4 - Sabtu|08:15</t>
  </si>
  <si>
    <t xml:space="preserve">BTU|- Lane 4 - Sabtu|09:00</t>
  </si>
  <si>
    <t xml:space="preserve">BTU|- Lane 4 - Sabtu|09:45</t>
  </si>
  <si>
    <t xml:space="preserve">BTU|- Lane 4 - Sabtu|10:30</t>
  </si>
  <si>
    <t xml:space="preserve">BTU|- Lane 4 - Sabtu|11:15</t>
  </si>
  <si>
    <t xml:space="preserve">BTU|- Lane 4 - Sabtu|12:00</t>
  </si>
  <si>
    <t xml:space="preserve">BTU|- Lane 4 - Sabtu|13:30</t>
  </si>
  <si>
    <t xml:space="preserve">BTU|- Lane 4 - Sabtu|14:15</t>
  </si>
  <si>
    <t xml:space="preserve">BTU|- Lane 4 - Sabtu|15:00</t>
  </si>
  <si>
    <t xml:space="preserve">BTU|- Lane 4 - Sabtu|15:45</t>
  </si>
  <si>
    <t xml:space="preserve">BTU|- Lane 4 - Sabtu|16:30</t>
  </si>
  <si>
    <t xml:space="preserve">BTU|- Lane 4 - Sabtu|17:15</t>
  </si>
  <si>
    <t xml:space="preserve">BTU|- Lane 4 - Minggu|08:15</t>
  </si>
  <si>
    <t xml:space="preserve">BTU|- Lane 4 - Minggu|09:00</t>
  </si>
  <si>
    <t xml:space="preserve">BTU|- Lane 4 - Minggu|09:45</t>
  </si>
  <si>
    <t xml:space="preserve">BTU|- Lane 4 - Minggu|10:30</t>
  </si>
  <si>
    <t xml:space="preserve">BTU|- Lane 4 - Minggu|11:15</t>
  </si>
  <si>
    <t xml:space="preserve">BTU|- Lane 4 - Minggu|12:00</t>
  </si>
  <si>
    <t xml:space="preserve">BTU|- Lane 4 - Minggu|13:30</t>
  </si>
  <si>
    <t xml:space="preserve">BTU|- Lane 4 - Minggu|14:15</t>
  </si>
  <si>
    <t xml:space="preserve">BTU|- Lane 4 - Minggu|15:00</t>
  </si>
  <si>
    <t xml:space="preserve">BTU|- Lane 4 - Minggu|15:45</t>
  </si>
  <si>
    <t xml:space="preserve">BTU|- Lane 4 - Minggu|16:30</t>
  </si>
  <si>
    <t xml:space="preserve">BTU|- Lane 4 - Minggu|17:15</t>
  </si>
  <si>
    <t xml:space="preserve">BTU|- Lane 5 - Senin|08:00</t>
  </si>
  <si>
    <t xml:space="preserve">BTU|- Lane 5 - Senin|08:45</t>
  </si>
  <si>
    <t xml:space="preserve">BTU|- Lane 5 - Senin|09:30</t>
  </si>
  <si>
    <t xml:space="preserve">BTU|- Lane 5 - Senin|10:15</t>
  </si>
  <si>
    <t xml:space="preserve">BTU|- Lane 5 - Senin|11:00</t>
  </si>
  <si>
    <t xml:space="preserve">BTU|- Lane 5 - Senin|11:45</t>
  </si>
  <si>
    <t xml:space="preserve">BTU|- Lane 5 - Senin|13:15</t>
  </si>
  <si>
    <t xml:space="preserve">BTU|- Lane 5 - Senin|14:00</t>
  </si>
  <si>
    <t xml:space="preserve">BTU|- Lane 5 - Senin|14:45</t>
  </si>
  <si>
    <t xml:space="preserve">BTU|- Lane 5 - Senin|15:30</t>
  </si>
  <si>
    <t xml:space="preserve"> - Lane 5 - Senin - 16:15</t>
  </si>
  <si>
    <t xml:space="preserve">BTU|- Lane 5 - Senin|16:15</t>
  </si>
  <si>
    <t xml:space="preserve">BTU|- Lane 5 - Senin|17:00</t>
  </si>
  <si>
    <t xml:space="preserve">BTU|- Lane 5 - Selasa|08:00</t>
  </si>
  <si>
    <t xml:space="preserve">BTU|- Lane 5 - Selasa|08:45</t>
  </si>
  <si>
    <t xml:space="preserve">BTU|- Lane 5 - Selasa|09:30</t>
  </si>
  <si>
    <t xml:space="preserve">BTU|- Lane 5 - Selasa|10:15</t>
  </si>
  <si>
    <t xml:space="preserve">BTU|- Lane 5 - Selasa|11:00</t>
  </si>
  <si>
    <t xml:space="preserve">BTU|- Lane 5 - Selasa|11:45</t>
  </si>
  <si>
    <t xml:space="preserve">BTU|- Lane 5 - Selasa|13:15</t>
  </si>
  <si>
    <t xml:space="preserve">BTU|- Lane 5 - Selasa|14:00</t>
  </si>
  <si>
    <t xml:space="preserve">BTU|- Lane 5 - Selasa|14:45</t>
  </si>
  <si>
    <t xml:space="preserve">BTU|- Lane 5 - Selasa|15:30</t>
  </si>
  <si>
    <t xml:space="preserve"> - Lane 5 - Selasa - 16:15</t>
  </si>
  <si>
    <t xml:space="preserve">BTU|- Lane 5 - Selasa|16:15</t>
  </si>
  <si>
    <t xml:space="preserve"> - Lane 5 - Selasa - 17:00</t>
  </si>
  <si>
    <t xml:space="preserve">BTU|- Lane 5 - Selasa|17:00</t>
  </si>
  <si>
    <t xml:space="preserve">BTU|- Lane 5 - Rabu|08:00</t>
  </si>
  <si>
    <t xml:space="preserve">BTU|- Lane 5 - Rabu|08:45</t>
  </si>
  <si>
    <t xml:space="preserve">BTU|- Lane 5 - Rabu|09:30</t>
  </si>
  <si>
    <t xml:space="preserve">BTU|- Lane 5 - Rabu|10:15</t>
  </si>
  <si>
    <t xml:space="preserve">BTU|- Lane 5 - Rabu|11:00</t>
  </si>
  <si>
    <t xml:space="preserve">BTU|- Lane 5 - Rabu|11:45</t>
  </si>
  <si>
    <t xml:space="preserve">BTU|- Lane 5 - Rabu|13:15</t>
  </si>
  <si>
    <t xml:space="preserve">BTU|- Lane 5 - Rabu|14:00</t>
  </si>
  <si>
    <t xml:space="preserve">BTU|- Lane 5 - Rabu|14:45</t>
  </si>
  <si>
    <t xml:space="preserve"> - Lane 5 - Rabu - 15:30</t>
  </si>
  <si>
    <t xml:space="preserve">BTU|- Lane 5 - Rabu|15:30</t>
  </si>
  <si>
    <t xml:space="preserve">BTU|- Lane 5 - Rabu|16:15</t>
  </si>
  <si>
    <t xml:space="preserve">BTU|- Lane 5 - Rabu|17:00</t>
  </si>
  <si>
    <t xml:space="preserve">BTU|- Lane 5 - Kamis|08:00</t>
  </si>
  <si>
    <t xml:space="preserve">BTU|- Lane 5 - Kamis|08:45</t>
  </si>
  <si>
    <t xml:space="preserve">BTU|- Lane 5 - Kamis|09:30</t>
  </si>
  <si>
    <t xml:space="preserve">BTU|- Lane 5 - Kamis|10:15</t>
  </si>
  <si>
    <t xml:space="preserve">BTU|- Lane 5 - Kamis|11:00</t>
  </si>
  <si>
    <t xml:space="preserve">BTU|- Lane 5 - Kamis|11:45</t>
  </si>
  <si>
    <t xml:space="preserve">BTU|- Lane 5 - Kamis|13:15</t>
  </si>
  <si>
    <t xml:space="preserve">BTU|- Lane 5 - Kamis|14:00</t>
  </si>
  <si>
    <t xml:space="preserve">BTU|- Lane 5 - Kamis|14:45</t>
  </si>
  <si>
    <t xml:space="preserve">BTU|- Lane 5 - Kamis|15:30</t>
  </si>
  <si>
    <t xml:space="preserve">BTU|- Lane 5 - Kamis|16:15</t>
  </si>
  <si>
    <t xml:space="preserve">BTU|- Lane 5 - Kamis|17:00</t>
  </si>
  <si>
    <t xml:space="preserve">BTU|- Lane 5 - Jumat|08:00</t>
  </si>
  <si>
    <t xml:space="preserve">BTU|- Lane 5 - Jumat|08:45</t>
  </si>
  <si>
    <t xml:space="preserve">BTU|- Lane 5 - Jumat|09:30</t>
  </si>
  <si>
    <t xml:space="preserve">BTU|- Lane 5 - Jumat|10:15</t>
  </si>
  <si>
    <t xml:space="preserve">BTU|- Lane 5 - Jumat|11:00</t>
  </si>
  <si>
    <t xml:space="preserve">BTU|- Lane 5 - Jumat|11:45</t>
  </si>
  <si>
    <t xml:space="preserve">BTU|- Lane 5 - Jumat|13:15</t>
  </si>
  <si>
    <t xml:space="preserve"> - Lane 5 - Jumat - 14:00</t>
  </si>
  <si>
    <t xml:space="preserve">BTU|- Lane 5 - Jumat|14:00</t>
  </si>
  <si>
    <t xml:space="preserve"> - Lane 5 - Jumat - 14:45</t>
  </si>
  <si>
    <t xml:space="preserve">BTU|- Lane 5 - Jumat|14:45</t>
  </si>
  <si>
    <t xml:space="preserve"> - Lane 5 - Jumat - 15:30</t>
  </si>
  <si>
    <t xml:space="preserve">BTU|- Lane 5 - Jumat|15:30</t>
  </si>
  <si>
    <t xml:space="preserve"> - Lane 5 - Jumat - 16:15</t>
  </si>
  <si>
    <t xml:space="preserve">BTU|- Lane 5 - Jumat|16:15</t>
  </si>
  <si>
    <t xml:space="preserve"> - Lane 5 - Jumat - 17:00</t>
  </si>
  <si>
    <t xml:space="preserve">BTU|- Lane 5 - Jumat|17:00</t>
  </si>
  <si>
    <t xml:space="preserve">BTU|- Lane 5 - Sabtu|08:00</t>
  </si>
  <si>
    <t xml:space="preserve"> - Lane 5 - Sabtu - 08:45</t>
  </si>
  <si>
    <t xml:space="preserve">BTU|- Lane 5 - Sabtu|08:45</t>
  </si>
  <si>
    <t xml:space="preserve"> - Lane 5 - Sabtu - 09:30</t>
  </si>
  <si>
    <t xml:space="preserve">BTU|- Lane 5 - Sabtu|09:30</t>
  </si>
  <si>
    <t xml:space="preserve"> - Lane 5 - Sabtu - 10:15</t>
  </si>
  <si>
    <t xml:space="preserve">BTU|- Lane 5 - Sabtu|10:15</t>
  </si>
  <si>
    <t xml:space="preserve"> - Lane 5 - Sabtu - 11:00</t>
  </si>
  <si>
    <t xml:space="preserve">BTU|- Lane 5 - Sabtu|11:00</t>
  </si>
  <si>
    <t xml:space="preserve"> - Lane 5 - Sabtu - 11:45</t>
  </si>
  <si>
    <t xml:space="preserve">BTU|- Lane 5 - Sabtu|11:45</t>
  </si>
  <si>
    <t xml:space="preserve">BTU|- Lane 5 - Sabtu|13:15</t>
  </si>
  <si>
    <t xml:space="preserve"> - Lane 5 - Sabtu - 14:00</t>
  </si>
  <si>
    <t xml:space="preserve">BTU|- Lane 5 - Sabtu|14:00</t>
  </si>
  <si>
    <t xml:space="preserve">BTU|- Lane 5 - Sabtu|14:45</t>
  </si>
  <si>
    <t xml:space="preserve"> - Lane 5 - Sabtu - 15:30</t>
  </si>
  <si>
    <t xml:space="preserve">BTU|- Lane 5 - Sabtu|15:30</t>
  </si>
  <si>
    <t xml:space="preserve">BTU|- Lane 5 - Sabtu|16:15</t>
  </si>
  <si>
    <t xml:space="preserve"> - Lane 5 - Sabtu - 17:00</t>
  </si>
  <si>
    <t xml:space="preserve">BTU|- Lane 5 - Sabtu|17:00</t>
  </si>
  <si>
    <t xml:space="preserve">BTU|- Lane 5 - Minggu|08:00</t>
  </si>
  <si>
    <t xml:space="preserve">BTU|- Lane 5 - Minggu|08:45</t>
  </si>
  <si>
    <t xml:space="preserve"> - Lane 5 - Minggu - 09:30</t>
  </si>
  <si>
    <t xml:space="preserve">BTU|- Lane 5 - Minggu|09:30</t>
  </si>
  <si>
    <t xml:space="preserve"> - Lane 5 - Minggu - 10:15</t>
  </si>
  <si>
    <t xml:space="preserve">BTU|- Lane 5 - Minggu|10:15</t>
  </si>
  <si>
    <t xml:space="preserve">BTU|- Lane 5 - Minggu|11:00</t>
  </si>
  <si>
    <t xml:space="preserve">BTU|- Lane 5 - Minggu|11:45</t>
  </si>
  <si>
    <t xml:space="preserve">BTU|- Lane 5 - Minggu|13:15</t>
  </si>
  <si>
    <t xml:space="preserve">BTU|- Lane 5 - Minggu|14:00</t>
  </si>
  <si>
    <t xml:space="preserve">BTU|- Lane 5 - Minggu|14:45</t>
  </si>
  <si>
    <t xml:space="preserve">BTU|- Lane 5 - Minggu|15:30</t>
  </si>
  <si>
    <t xml:space="preserve"> - Lane 5 - Minggu - 16:15</t>
  </si>
  <si>
    <t xml:space="preserve">BTU|- Lane 5 - Minggu|16:15</t>
  </si>
  <si>
    <t xml:space="preserve">BTU|- Lane 5 - Minggu|17:00</t>
  </si>
  <si>
    <t xml:space="preserve">BTU|- Lane 6 - Senin|08:00</t>
  </si>
  <si>
    <t xml:space="preserve">BTU|- Lane 6 - Senin|08:45</t>
  </si>
  <si>
    <t xml:space="preserve">BTU|- Lane 6 - Senin|09:30</t>
  </si>
  <si>
    <t xml:space="preserve">BTU|- Lane 6 - Senin|10:15</t>
  </si>
  <si>
    <t xml:space="preserve">BTU|- Lane 6 - Senin|11:00</t>
  </si>
  <si>
    <t xml:space="preserve">BTU|- Lane 6 - Senin|11:45</t>
  </si>
  <si>
    <t xml:space="preserve">BTU|- Lane 6 - Senin|13:15</t>
  </si>
  <si>
    <t xml:space="preserve">BTU|- Lane 6 - Senin|14:00</t>
  </si>
  <si>
    <t xml:space="preserve">BTU|- Lane 6 - Senin|14:45</t>
  </si>
  <si>
    <t xml:space="preserve">BTU|- Lane 6 - Senin|15:30</t>
  </si>
  <si>
    <t xml:space="preserve">BTU|- Lane 6 - Senin|16:15</t>
  </si>
  <si>
    <t xml:space="preserve">BTU|- Lane 6 - Senin|17:00</t>
  </si>
  <si>
    <t xml:space="preserve">BTU|- Lane 6 - Selasa|08:00</t>
  </si>
  <si>
    <t xml:space="preserve">BTU|- Lane 6 - Selasa|08:45</t>
  </si>
  <si>
    <t xml:space="preserve">BTU|- Lane 6 - Selasa|09:30</t>
  </si>
  <si>
    <t xml:space="preserve">BTU|- Lane 6 - Selasa|10:15</t>
  </si>
  <si>
    <t xml:space="preserve">BTU|- Lane 6 - Selasa|11:00</t>
  </si>
  <si>
    <t xml:space="preserve">BTU|- Lane 6 - Selasa|11:45</t>
  </si>
  <si>
    <t xml:space="preserve">BTU|- Lane 6 - Selasa|13:15</t>
  </si>
  <si>
    <t xml:space="preserve">BTU|- Lane 6 - Selasa|14:00</t>
  </si>
  <si>
    <t xml:space="preserve">BTU|- Lane 6 - Selasa|14:45</t>
  </si>
  <si>
    <t xml:space="preserve">BTU|- Lane 6 - Selasa|15:30</t>
  </si>
  <si>
    <t xml:space="preserve">BTU|- Lane 6 - Selasa|16:15</t>
  </si>
  <si>
    <t xml:space="preserve">BTU|- Lane 6 - Selasa|17:00</t>
  </si>
  <si>
    <t xml:space="preserve">BTU|- Lane 6 - Rabu|08:00</t>
  </si>
  <si>
    <t xml:space="preserve">BTU|- Lane 6 - Rabu|08:45</t>
  </si>
  <si>
    <t xml:space="preserve">BTU|- Lane 6 - Rabu|09:30</t>
  </si>
  <si>
    <t xml:space="preserve">BTU|- Lane 6 - Rabu|10:15</t>
  </si>
  <si>
    <t xml:space="preserve">BTU|- Lane 6 - Rabu|11:00</t>
  </si>
  <si>
    <t xml:space="preserve">BTU|- Lane 6 - Rabu|11:45</t>
  </si>
  <si>
    <t xml:space="preserve">BTU|- Lane 6 - Rabu|13:15</t>
  </si>
  <si>
    <t xml:space="preserve">BTU|- Lane 6 - Rabu|14:00</t>
  </si>
  <si>
    <t xml:space="preserve">BTU|- Lane 6 - Rabu|14:45</t>
  </si>
  <si>
    <t xml:space="preserve">BTU|- Lane 6 - Rabu|15:30</t>
  </si>
  <si>
    <t xml:space="preserve">BTU|- Lane 6 - Rabu|16:15</t>
  </si>
  <si>
    <t xml:space="preserve">BTU|- Lane 6 - Rabu|17:00</t>
  </si>
  <si>
    <t xml:space="preserve">BTU|- Lane 6 - Kamis|08:00</t>
  </si>
  <si>
    <t xml:space="preserve">BTU|- Lane 6 - Kamis|08:45</t>
  </si>
  <si>
    <t xml:space="preserve">BTU|- Lane 6 - Kamis|09:30</t>
  </si>
  <si>
    <t xml:space="preserve">BTU|- Lane 6 - Kamis|10:15</t>
  </si>
  <si>
    <t xml:space="preserve">BTU|- Lane 6 - Kamis|11:00</t>
  </si>
  <si>
    <t xml:space="preserve">BTU|- Lane 6 - Kamis|11:45</t>
  </si>
  <si>
    <t xml:space="preserve">BTU|- Lane 6 - Kamis|13:15</t>
  </si>
  <si>
    <t xml:space="preserve">BTU|- Lane 6 - Kamis|14:00</t>
  </si>
  <si>
    <t xml:space="preserve">BTU|- Lane 6 - Kamis|14:45</t>
  </si>
  <si>
    <t xml:space="preserve">BTU|- Lane 6 - Kamis|15:30</t>
  </si>
  <si>
    <t xml:space="preserve">BTU|- Lane 6 - Kamis|16:15</t>
  </si>
  <si>
    <t xml:space="preserve">BTU|- Lane 6 - Kamis|17:00</t>
  </si>
  <si>
    <t xml:space="preserve">BTU|- Lane 6 - Jumat|08:00</t>
  </si>
  <si>
    <t xml:space="preserve">BTU|- Lane 6 - Jumat|08:45</t>
  </si>
  <si>
    <t xml:space="preserve">BTU|- Lane 6 - Jumat|09:30</t>
  </si>
  <si>
    <t xml:space="preserve">BTU|- Lane 6 - Jumat|10:15</t>
  </si>
  <si>
    <t xml:space="preserve">BTU|- Lane 6 - Jumat|11:00</t>
  </si>
  <si>
    <t xml:space="preserve">BTU|- Lane 6 - Jumat|11:45</t>
  </si>
  <si>
    <t xml:space="preserve">BTU|- Lane 6 - Jumat|13:15</t>
  </si>
  <si>
    <t xml:space="preserve">BTU|- Lane 6 - Jumat|14:00</t>
  </si>
  <si>
    <t xml:space="preserve">BTU|- Lane 6 - Jumat|14:45</t>
  </si>
  <si>
    <t xml:space="preserve">BTU|- Lane 6 - Jumat|15:30</t>
  </si>
  <si>
    <t xml:space="preserve">BTU|- Lane 6 - Jumat|16:15</t>
  </si>
  <si>
    <t xml:space="preserve">BTU|- Lane 6 - Jumat|17:00</t>
  </si>
  <si>
    <t xml:space="preserve">BTU|- Lane 6 - Sabtu|08:00</t>
  </si>
  <si>
    <t xml:space="preserve">BTU|- Lane 6 - Sabtu|08:45</t>
  </si>
  <si>
    <t xml:space="preserve">BTU|- Lane 6 - Sabtu|09:30</t>
  </si>
  <si>
    <t xml:space="preserve">BTU|- Lane 6 - Sabtu|10:15</t>
  </si>
  <si>
    <t xml:space="preserve">BTU|- Lane 6 - Sabtu|11:00</t>
  </si>
  <si>
    <t xml:space="preserve">BTU|- Lane 6 - Sabtu|11:45</t>
  </si>
  <si>
    <t xml:space="preserve">BTU|- Lane 6 - Sabtu|13:15</t>
  </si>
  <si>
    <t xml:space="preserve">BTU|- Lane 6 - Sabtu|14:00</t>
  </si>
  <si>
    <t xml:space="preserve">BTU|- Lane 6 - Sabtu|14:45</t>
  </si>
  <si>
    <t xml:space="preserve">BTU|- Lane 6 - Sabtu|15:30</t>
  </si>
  <si>
    <t xml:space="preserve">BTU|- Lane 6 - Sabtu|16:15</t>
  </si>
  <si>
    <t xml:space="preserve">BTU|- Lane 6 - Sabtu|17:00</t>
  </si>
  <si>
    <t xml:space="preserve">BTU|- Lane 6 - Minggu|08:00</t>
  </si>
  <si>
    <t xml:space="preserve">BTU|- Lane 6 - Minggu|08:45</t>
  </si>
  <si>
    <t xml:space="preserve">BTU|- Lane 6 - Minggu|09:30</t>
  </si>
  <si>
    <t xml:space="preserve">BTU|- Lane 6 - Minggu|10:15</t>
  </si>
  <si>
    <t xml:space="preserve">BTU|- Lane 6 - Minggu|11:00</t>
  </si>
  <si>
    <t xml:space="preserve">BTU|- Lane 6 - Minggu|11:45</t>
  </si>
  <si>
    <t xml:space="preserve">BTU|- Lane 6 - Minggu|13:15</t>
  </si>
  <si>
    <t xml:space="preserve">BTU|- Lane 6 - Minggu|14:00</t>
  </si>
  <si>
    <t xml:space="preserve">BTU|- Lane 6 - Minggu|14:45</t>
  </si>
  <si>
    <t xml:space="preserve">BTU|- Lane 6 - Minggu|15:30</t>
  </si>
  <si>
    <t xml:space="preserve">BTU|- Lane 6 - Minggu|16:15</t>
  </si>
  <si>
    <t xml:space="preserve">BTU|- Lane 6 - Minggu|17:00</t>
  </si>
  <si>
    <t xml:space="preserve">HIB</t>
  </si>
  <si>
    <t xml:space="preserve">HIB|- Lane 1 - Senin|08:00</t>
  </si>
  <si>
    <t xml:space="preserve">HIB|- Lane 1 - Senin|08:45</t>
  </si>
  <si>
    <t xml:space="preserve">HIB|- Lane 1 - Senin|09:30</t>
  </si>
  <si>
    <t xml:space="preserve">HIB|- Lane 1 - Senin|10:15</t>
  </si>
  <si>
    <t xml:space="preserve">HIB|- Lane 1 - Senin|11:00</t>
  </si>
  <si>
    <t xml:space="preserve">HIB|- Lane 1 - Senin|11:45</t>
  </si>
  <si>
    <t xml:space="preserve">HIB|- Lane 1 - Senin|13:15</t>
  </si>
  <si>
    <t xml:space="preserve">HIB|- Lane 1 - Senin|14:00</t>
  </si>
  <si>
    <t xml:space="preserve">HIB|- Lane 1 - Senin|14:45</t>
  </si>
  <si>
    <t xml:space="preserve">HIB|- Lane 1 - Senin|15:30</t>
  </si>
  <si>
    <t xml:space="preserve">HIB|- Lane 1 - Senin|16:15</t>
  </si>
  <si>
    <t xml:space="preserve">HIB|- Lane 1 - Senin|17:00</t>
  </si>
  <si>
    <t xml:space="preserve">HIB|- Lane 1 - Selasa|08:00</t>
  </si>
  <si>
    <t xml:space="preserve">HIB|- Lane 1 - Selasa|08:45</t>
  </si>
  <si>
    <t xml:space="preserve">HIB|- Lane 1 - Selasa|09:30</t>
  </si>
  <si>
    <t xml:space="preserve">HIB|- Lane 1 - Selasa|10:15</t>
  </si>
  <si>
    <t xml:space="preserve">SHABRINA</t>
  </si>
  <si>
    <t xml:space="preserve">HIB|- Lane 1 - Selasa|11:00</t>
  </si>
  <si>
    <t xml:space="preserve">HIB|- Lane 1 - Selasa|11:45</t>
  </si>
  <si>
    <t xml:space="preserve">HIB|- Lane 1 - Selasa|13:15</t>
  </si>
  <si>
    <t xml:space="preserve">HIB|- Lane 1 - Selasa|14:00</t>
  </si>
  <si>
    <t xml:space="preserve">HIB|- Lane 1 - Selasa|14:45</t>
  </si>
  <si>
    <t xml:space="preserve">HIB|- Lane 1 - Selasa|15:30</t>
  </si>
  <si>
    <t xml:space="preserve">HIB|- Lane 1 - Selasa|16:15</t>
  </si>
  <si>
    <t xml:space="preserve">HIB|- Lane 1 - Selasa|17:00</t>
  </si>
  <si>
    <t xml:space="preserve">HIB|- Lane 1 - Rabu|08:00</t>
  </si>
  <si>
    <t xml:space="preserve">HIB|- Lane 1 - Rabu|08:45</t>
  </si>
  <si>
    <t xml:space="preserve">HIB|- Lane 1 - Rabu|09:30</t>
  </si>
  <si>
    <t xml:space="preserve">HIB|- Lane 1 - Rabu|10:15</t>
  </si>
  <si>
    <t xml:space="preserve">RIZKY</t>
  </si>
  <si>
    <t xml:space="preserve">HIB|- Lane 1 - Rabu|11:00</t>
  </si>
  <si>
    <t xml:space="preserve">HIB|- Lane 1 - Rabu|11:45</t>
  </si>
  <si>
    <t xml:space="preserve">HIB|- Lane 1 - Rabu|13:15</t>
  </si>
  <si>
    <t xml:space="preserve">HIB|- Lane 1 - Rabu|14:00</t>
  </si>
  <si>
    <t xml:space="preserve">HIB|- Lane 1 - Rabu|14:45</t>
  </si>
  <si>
    <t xml:space="preserve">HIB|- Lane 1 - Rabu|15:30</t>
  </si>
  <si>
    <t xml:space="preserve">HIB|- Lane 1 - Rabu|16:15</t>
  </si>
  <si>
    <t xml:space="preserve">HIB|- Lane 1 - Rabu|17:00</t>
  </si>
  <si>
    <t xml:space="preserve">HIB|- Lane 1 - Kamis|08:00</t>
  </si>
  <si>
    <t xml:space="preserve">HIB|- Lane 1 - Kamis|08:45</t>
  </si>
  <si>
    <t xml:space="preserve">HIB|- Lane 1 - Kamis|09:30</t>
  </si>
  <si>
    <t xml:space="preserve">HIB|- Lane 1 - Kamis|10:15</t>
  </si>
  <si>
    <t xml:space="preserve">HIB|- Lane 1 - Kamis|11:00</t>
  </si>
  <si>
    <t xml:space="preserve">HIB|- Lane 1 - Kamis|11:45</t>
  </si>
  <si>
    <t xml:space="preserve">HIB|- Lane 1 - Kamis|13:15</t>
  </si>
  <si>
    <t xml:space="preserve">HIB|- Lane 1 - Kamis|14:00</t>
  </si>
  <si>
    <t xml:space="preserve">HIB|- Lane 1 - Kamis|14:45</t>
  </si>
  <si>
    <t xml:space="preserve">HIB|- Lane 1 - Kamis|15:30</t>
  </si>
  <si>
    <t xml:space="preserve">HIB|- Lane 1 - Kamis|16:15</t>
  </si>
  <si>
    <t xml:space="preserve">HIB|- Lane 1 - Kamis|17:00</t>
  </si>
  <si>
    <t xml:space="preserve">HIB|- Lane 1 - Jumat|08:00</t>
  </si>
  <si>
    <t xml:space="preserve">HIB|- Lane 1 - Jumat|08:45</t>
  </si>
  <si>
    <t xml:space="preserve">HIB|- Lane 1 - Jumat|09:30</t>
  </si>
  <si>
    <t xml:space="preserve">HIB|- Lane 1 - Jumat|10:15</t>
  </si>
  <si>
    <t xml:space="preserve">HIB|- Lane 1 - Jumat|11:00</t>
  </si>
  <si>
    <t xml:space="preserve">HIB|- Lane 1 - Jumat|11:45</t>
  </si>
  <si>
    <t xml:space="preserve">HIB|- Lane 1 - Jumat|13:15</t>
  </si>
  <si>
    <t xml:space="preserve">HIB|- Lane 1 - Jumat|14:00</t>
  </si>
  <si>
    <t xml:space="preserve">HIB|- Lane 1 - Jumat|14:45</t>
  </si>
  <si>
    <t xml:space="preserve">HIB|- Lane 1 - Jumat|15:30</t>
  </si>
  <si>
    <t xml:space="preserve">HIB|- Lane 1 - Jumat|16:15</t>
  </si>
  <si>
    <t xml:space="preserve">HIB|- Lane 1 - Jumat|17:00</t>
  </si>
  <si>
    <t xml:space="preserve">HIB|- Lane 1 - Sabtu|08:00</t>
  </si>
  <si>
    <t xml:space="preserve">HIB|- Lane 1 - Sabtu|08:45</t>
  </si>
  <si>
    <t xml:space="preserve">HIB|- Lane 1 - Sabtu|09:30</t>
  </si>
  <si>
    <t xml:space="preserve">HIB|- Lane 1 - Sabtu|10:15</t>
  </si>
  <si>
    <t xml:space="preserve">HIB|- Lane 1 - Sabtu|11:00</t>
  </si>
  <si>
    <t xml:space="preserve">HIB|- Lane 1 - Sabtu|11:45</t>
  </si>
  <si>
    <t xml:space="preserve">HIB|- Lane 1 - Sabtu|13:15</t>
  </si>
  <si>
    <t xml:space="preserve">HIB|- Lane 1 - Sabtu|14:00</t>
  </si>
  <si>
    <t xml:space="preserve">HIB|- Lane 1 - Sabtu|14:45</t>
  </si>
  <si>
    <t xml:space="preserve">HIB|- Lane 1 - Sabtu|15:30</t>
  </si>
  <si>
    <t xml:space="preserve">HIB|- Lane 1 - Sabtu|16:15</t>
  </si>
  <si>
    <t xml:space="preserve">HIB|- Lane 1 - Sabtu|17:00</t>
  </si>
  <si>
    <t xml:space="preserve">HIB|- Lane 1 - Minggu|08:00</t>
  </si>
  <si>
    <t xml:space="preserve">HIB|- Lane 1 - Minggu|08:45</t>
  </si>
  <si>
    <t xml:space="preserve">HIB|- Lane 1 - Minggu|09:30</t>
  </si>
  <si>
    <t xml:space="preserve">HIB|- Lane 1 - Minggu|10:15</t>
  </si>
  <si>
    <t xml:space="preserve">HIB|- Lane 1 - Minggu|11:00</t>
  </si>
  <si>
    <t xml:space="preserve">HIB|- Lane 1 - Minggu|11:45</t>
  </si>
  <si>
    <t xml:space="preserve">HIB|- Lane 1 - Minggu|13:15</t>
  </si>
  <si>
    <t xml:space="preserve">HIB|- Lane 1 - Minggu|14:00</t>
  </si>
  <si>
    <t xml:space="preserve">HIB|- Lane 1 - Minggu|14:45</t>
  </si>
  <si>
    <t xml:space="preserve">HIB|- Lane 1 - Minggu|15:30</t>
  </si>
  <si>
    <t xml:space="preserve">HIB|- Lane 1 - Minggu|16:15</t>
  </si>
  <si>
    <t xml:space="preserve">HIB|- Lane 1 - Minggu|17:00</t>
  </si>
  <si>
    <t xml:space="preserve">HIB|- Lane 1 - Senin|07:30</t>
  </si>
  <si>
    <t xml:space="preserve">HIB|- Lane 1 - Selasa|07:30</t>
  </si>
  <si>
    <t xml:space="preserve">HIB|- Lane 1 - Rabu|07:30</t>
  </si>
  <si>
    <t xml:space="preserve">HIB|- Lane 1 - Kamis|07:30</t>
  </si>
  <si>
    <t xml:space="preserve">HIB|- Lane 1 - Jumat|07:30</t>
  </si>
  <si>
    <t xml:space="preserve">HIB|- Lane 1 - Sabtu|07:30</t>
  </si>
  <si>
    <t xml:space="preserve">HIB|- Lane 1 - Minggu|07:30</t>
  </si>
  <si>
    <t xml:space="preserve">HIB|- Lane 1 - Senin|18:00</t>
  </si>
  <si>
    <t xml:space="preserve">HIB|- Lane 1 - Selasa|18:00</t>
  </si>
  <si>
    <t xml:space="preserve">HIB|- Lane 1 - Rabu|18:00</t>
  </si>
  <si>
    <t xml:space="preserve">HIB|- Lane 1 - Kamis|18:00</t>
  </si>
  <si>
    <t xml:space="preserve">HIB|- Lane 1 - Jumat|18:00</t>
  </si>
  <si>
    <t xml:space="preserve">HIB|- Lane 1 - Sabtu|18:00</t>
  </si>
  <si>
    <t xml:space="preserve">HIB|- Lane 1 - Minggu|18:00</t>
  </si>
  <si>
    <t xml:space="preserve">HIB|- Lane 2 - Senin|08:00</t>
  </si>
  <si>
    <t xml:space="preserve">HIB|- Lane 2 - Senin|08:45</t>
  </si>
  <si>
    <t xml:space="preserve">HIB|- Lane 2 - Senin|09:30</t>
  </si>
  <si>
    <t xml:space="preserve">HIB|- Lane 2 - Senin|10:15</t>
  </si>
  <si>
    <t xml:space="preserve">HIB|- Lane 2 - Senin|11:00</t>
  </si>
  <si>
    <t xml:space="preserve">HIB|- Lane 2 - Senin|11:45</t>
  </si>
  <si>
    <t xml:space="preserve">HIB|- Lane 2 - Senin|13:15</t>
  </si>
  <si>
    <t xml:space="preserve">HIB|- Lane 2 - Senin|14:00</t>
  </si>
  <si>
    <t xml:space="preserve">HIB|- Lane 2 - Senin|14:45</t>
  </si>
  <si>
    <t xml:space="preserve">HIB|- Lane 2 - Senin|15:30</t>
  </si>
  <si>
    <t xml:space="preserve">HIB|- Lane 2 - Senin|16:15</t>
  </si>
  <si>
    <t xml:space="preserve">HIB|- Lane 2 - Senin|17:00</t>
  </si>
  <si>
    <t xml:space="preserve">HIB|- Lane 2 - Selasa|08:00</t>
  </si>
  <si>
    <t xml:space="preserve">HIB|- Lane 2 - Selasa|08:45</t>
  </si>
  <si>
    <t xml:space="preserve">HIB|- Lane 2 - Selasa|09:30</t>
  </si>
  <si>
    <t xml:space="preserve">HIB|- Lane 2 - Selasa|10:15</t>
  </si>
  <si>
    <t xml:space="preserve">HIB|- Lane 2 - Selasa|11:00</t>
  </si>
  <si>
    <t xml:space="preserve">HIB|- Lane 2 - Selasa|11:45</t>
  </si>
  <si>
    <t xml:space="preserve">HIB|- Lane 2 - Selasa|13:15</t>
  </si>
  <si>
    <t xml:space="preserve">HIB|- Lane 2 - Selasa|14:00</t>
  </si>
  <si>
    <t xml:space="preserve">HIB|- Lane 2 - Selasa|14:45</t>
  </si>
  <si>
    <t xml:space="preserve">HIB|- Lane 2 - Selasa|15:30</t>
  </si>
  <si>
    <t xml:space="preserve">HIB|- Lane 2 - Selasa|16:15</t>
  </si>
  <si>
    <t xml:space="preserve">HIB|- Lane 2 - Selasa|17:00</t>
  </si>
  <si>
    <t xml:space="preserve">HIB|- Lane 2 - Rabu|08:00</t>
  </si>
  <si>
    <t xml:space="preserve">HIB|- Lane 2 - Rabu|08:45</t>
  </si>
  <si>
    <t xml:space="preserve">HIB|- Lane 2 - Rabu|09:30</t>
  </si>
  <si>
    <t xml:space="preserve">HIB|- Lane 2 - Rabu|10:15</t>
  </si>
  <si>
    <t xml:space="preserve">HIB|- Lane 2 - Rabu|11:00</t>
  </si>
  <si>
    <t xml:space="preserve">HIB|- Lane 2 - Rabu|11:45</t>
  </si>
  <si>
    <t xml:space="preserve">HIB|- Lane 2 - Rabu|13:15</t>
  </si>
  <si>
    <t xml:space="preserve">HIB|- Lane 2 - Rabu|14:00</t>
  </si>
  <si>
    <t xml:space="preserve">HIB|- Lane 2 - Rabu|14:45</t>
  </si>
  <si>
    <t xml:space="preserve">HIB|- Lane 2 - Rabu|15:30</t>
  </si>
  <si>
    <t xml:space="preserve">HIB|- Lane 2 - Rabu|16:15</t>
  </si>
  <si>
    <t xml:space="preserve">HIB|- Lane 2 - Rabu|17:00</t>
  </si>
  <si>
    <t xml:space="preserve">HIB|- Lane 2 - Kamis|08:00</t>
  </si>
  <si>
    <t xml:space="preserve">HIB|- Lane 2 - Kamis|08:45</t>
  </si>
  <si>
    <t xml:space="preserve">HIB|- Lane 2 - Kamis|09:30</t>
  </si>
  <si>
    <t xml:space="preserve">HIB|- Lane 2 - Kamis|10:15</t>
  </si>
  <si>
    <t xml:space="preserve">HIB|- Lane 2 - Kamis|11:00</t>
  </si>
  <si>
    <t xml:space="preserve">HIB|- Lane 2 - Kamis|11:45</t>
  </si>
  <si>
    <t xml:space="preserve">HIB|- Lane 2 - Kamis|13:15</t>
  </si>
  <si>
    <t xml:space="preserve">HIB|- Lane 2 - Kamis|14:00</t>
  </si>
  <si>
    <t xml:space="preserve">HIB|- Lane 2 - Kamis|14:45</t>
  </si>
  <si>
    <t xml:space="preserve">HIB|- Lane 2 - Kamis|15:30</t>
  </si>
  <si>
    <t xml:space="preserve">HIB|- Lane 2 - Kamis|16:15</t>
  </si>
  <si>
    <t xml:space="preserve">HIB|- Lane 2 - Kamis|17:00</t>
  </si>
  <si>
    <t xml:space="preserve">HIB|- Lane 2 - Jumat|08:00</t>
  </si>
  <si>
    <t xml:space="preserve">HIB|- Lane 2 - Jumat|08:45</t>
  </si>
  <si>
    <t xml:space="preserve">HIB|- Lane 2 - Jumat|09:30</t>
  </si>
  <si>
    <t xml:space="preserve">HIB|- Lane 2 - Jumat|10:15</t>
  </si>
  <si>
    <t xml:space="preserve">HIB|- Lane 2 - Jumat|11:00</t>
  </si>
  <si>
    <t xml:space="preserve">HIB|- Lane 2 - Jumat|11:45</t>
  </si>
  <si>
    <t xml:space="preserve">HIB|- Lane 2 - Jumat|13:15</t>
  </si>
  <si>
    <t xml:space="preserve">HIB|- Lane 2 - Jumat|14:00</t>
  </si>
  <si>
    <t xml:space="preserve">HIB|- Lane 2 - Jumat|14:45</t>
  </si>
  <si>
    <t xml:space="preserve">HIB|- Lane 2 - Jumat|15:30</t>
  </si>
  <si>
    <t xml:space="preserve">HIB|- Lane 2 - Jumat|16:15</t>
  </si>
  <si>
    <t xml:space="preserve">HIB|- Lane 2 - Jumat|17:00</t>
  </si>
  <si>
    <t xml:space="preserve">HIB|- Lane 2 - Sabtu|08:00</t>
  </si>
  <si>
    <t xml:space="preserve">HIB|- Lane 2 - Sabtu|08:45</t>
  </si>
  <si>
    <t xml:space="preserve">HIB|- Lane 2 - Sabtu|09:30</t>
  </si>
  <si>
    <t xml:space="preserve">HIB|- Lane 2 - Sabtu|10:15</t>
  </si>
  <si>
    <t xml:space="preserve">HIB|- Lane 2 - Sabtu|11:00</t>
  </si>
  <si>
    <t xml:space="preserve">HIB|- Lane 2 - Sabtu|11:45</t>
  </si>
  <si>
    <t xml:space="preserve">HIB|- Lane 2 - Sabtu|13:15</t>
  </si>
  <si>
    <t xml:space="preserve">HIB|- Lane 2 - Sabtu|14:00</t>
  </si>
  <si>
    <t xml:space="preserve">HIB|- Lane 2 - Sabtu|14:45</t>
  </si>
  <si>
    <t xml:space="preserve">HIB|- Lane 2 - Sabtu|15:30</t>
  </si>
  <si>
    <t xml:space="preserve">HIB|- Lane 2 - Sabtu|16:15</t>
  </si>
  <si>
    <t xml:space="preserve">HIB|- Lane 2 - Sabtu|17:00</t>
  </si>
  <si>
    <t xml:space="preserve">HIB|- Lane 2 - Minggu|08:00</t>
  </si>
  <si>
    <t xml:space="preserve">HIB|- Lane 2 - Minggu|08:45</t>
  </si>
  <si>
    <t xml:space="preserve">HIB|- Lane 2 - Minggu|09:30</t>
  </si>
  <si>
    <t xml:space="preserve">HIB|- Lane 2 - Minggu|10:15</t>
  </si>
  <si>
    <t xml:space="preserve">HIB|- Lane 2 - Minggu|11:00</t>
  </si>
  <si>
    <t xml:space="preserve">HIB|- Lane 2 - Minggu|11:45</t>
  </si>
  <si>
    <t xml:space="preserve">HIB|- Lane 2 - Minggu|13:15</t>
  </si>
  <si>
    <t xml:space="preserve">HIB|- Lane 2 - Minggu|14:00</t>
  </si>
  <si>
    <t xml:space="preserve">HIB|- Lane 2 - Minggu|14:45</t>
  </si>
  <si>
    <t xml:space="preserve">HIB|- Lane 2 - Minggu|15:30</t>
  </si>
  <si>
    <t xml:space="preserve">HIB|- Lane 2 - Minggu|16:15</t>
  </si>
  <si>
    <t xml:space="preserve">HIB|- Lane 2 - Minggu|17:00</t>
  </si>
  <si>
    <t xml:space="preserve">HIB|- Lane 3 - Senin|08:15</t>
  </si>
  <si>
    <t xml:space="preserve">HIB|- Lane 3 - Senin|09:00</t>
  </si>
  <si>
    <t xml:space="preserve">SILVI</t>
  </si>
  <si>
    <t xml:space="preserve">HIB|- Lane 3 - Senin|09:45</t>
  </si>
  <si>
    <t xml:space="preserve">HIB|- Lane 3 - Senin|10:30</t>
  </si>
  <si>
    <t xml:space="preserve">HIB|- Lane 3 - Senin|11:15</t>
  </si>
  <si>
    <t xml:space="preserve">HIB|- Lane 3 - Senin|12:00</t>
  </si>
  <si>
    <t xml:space="preserve">HIB|- Lane 3 - Senin|13:30</t>
  </si>
  <si>
    <t xml:space="preserve">HIB|- Lane 3 - Senin|14:15</t>
  </si>
  <si>
    <t xml:space="preserve">HIB|- Lane 3 - Senin|15:00</t>
  </si>
  <si>
    <t xml:space="preserve">ANGGA</t>
  </si>
  <si>
    <t xml:space="preserve">HIB|- Lane 3 - Senin|15:45</t>
  </si>
  <si>
    <t xml:space="preserve">HIB|- Lane 3 - Senin|16:30</t>
  </si>
  <si>
    <t xml:space="preserve">HIB|- Lane 3 - Senin|17:15</t>
  </si>
  <si>
    <t xml:space="preserve">HIB|- Lane 3 - Selasa|08:15</t>
  </si>
  <si>
    <t xml:space="preserve">HIB|- Lane 3 - Selasa|09:00</t>
  </si>
  <si>
    <t xml:space="preserve">HIB|- Lane 3 - Selasa|09:45</t>
  </si>
  <si>
    <t xml:space="preserve">HIB|- Lane 3 - Selasa|10:30</t>
  </si>
  <si>
    <t xml:space="preserve">HIB|- Lane 3 - Selasa|11:15</t>
  </si>
  <si>
    <t xml:space="preserve">HIB|- Lane 3 - Selasa|12:00</t>
  </si>
  <si>
    <t xml:space="preserve">HIB|- Lane 3 - Selasa|13:30</t>
  </si>
  <si>
    <t xml:space="preserve">HIB|- Lane 3 - Selasa|14:15</t>
  </si>
  <si>
    <t xml:space="preserve">HIB|- Lane 3 - Selasa|15:00</t>
  </si>
  <si>
    <t xml:space="preserve">HIB|- Lane 3 - Selasa|15:45</t>
  </si>
  <si>
    <t xml:space="preserve">HIB|- Lane 3 - Selasa|16:30</t>
  </si>
  <si>
    <t xml:space="preserve">HIB|- Lane 3 - Selasa|17:15</t>
  </si>
  <si>
    <t xml:space="preserve">HIB|- Lane 3 - Rabu|08:15</t>
  </si>
  <si>
    <t xml:space="preserve">HIB|- Lane 3 - Rabu|09:00</t>
  </si>
  <si>
    <t xml:space="preserve">HIB|- Lane 3 - Rabu|09:45</t>
  </si>
  <si>
    <t xml:space="preserve">HIB|- Lane 3 - Rabu|10:30</t>
  </si>
  <si>
    <t xml:space="preserve">HIB|- Lane 3 - Rabu|11:15</t>
  </si>
  <si>
    <t xml:space="preserve">HIB|- Lane 3 - Rabu|12:00</t>
  </si>
  <si>
    <t xml:space="preserve">HIB|- Lane 3 - Rabu|13:30</t>
  </si>
  <si>
    <t xml:space="preserve">HIB|- Lane 3 - Rabu|14:15</t>
  </si>
  <si>
    <t xml:space="preserve">HIB|- Lane 3 - Rabu|15:00</t>
  </si>
  <si>
    <t xml:space="preserve">HIB|- Lane 3 - Rabu|15:45</t>
  </si>
  <si>
    <t xml:space="preserve">HIB|- Lane 3 - Rabu|16:30</t>
  </si>
  <si>
    <t xml:space="preserve">HIB|- Lane 3 - Rabu|17:15</t>
  </si>
  <si>
    <t xml:space="preserve">HIB|- Lane 3 - Kamis|08:15</t>
  </si>
  <si>
    <t xml:space="preserve">HIB|- Lane 3 - Kamis|09:00</t>
  </si>
  <si>
    <t xml:space="preserve">JUAN</t>
  </si>
  <si>
    <t xml:space="preserve">HIB|- Lane 3 - Kamis|09:45</t>
  </si>
  <si>
    <t xml:space="preserve">HIB|- Lane 3 - Kamis|10:30</t>
  </si>
  <si>
    <t xml:space="preserve">HIB|- Lane 3 - Kamis|11:15</t>
  </si>
  <si>
    <t xml:space="preserve">HIB|- Lane 3 - Kamis|12:00</t>
  </si>
  <si>
    <t xml:space="preserve">HIB|- Lane 3 - Kamis|13:30</t>
  </si>
  <si>
    <t xml:space="preserve">HIB|- Lane 3 - Kamis|14:15</t>
  </si>
  <si>
    <t xml:space="preserve">HIB|- Lane 3 - Kamis|15:00</t>
  </si>
  <si>
    <t xml:space="preserve">INDRA</t>
  </si>
  <si>
    <t xml:space="preserve">HIB|- Lane 3 - Kamis|15:45</t>
  </si>
  <si>
    <t xml:space="preserve">HIB|- Lane 3 - Kamis|16:30</t>
  </si>
  <si>
    <t xml:space="preserve">HIB|- Lane 3 - Kamis|17:15</t>
  </si>
  <si>
    <t xml:space="preserve">HIB|- Lane 3 - Jumat|08:15</t>
  </si>
  <si>
    <t xml:space="preserve">HIB|- Lane 3 - Jumat|09:00</t>
  </si>
  <si>
    <t xml:space="preserve">HIB|- Lane 3 - Jumat|09:45</t>
  </si>
  <si>
    <t xml:space="preserve">HIB|- Lane 3 - Jumat|10:30</t>
  </si>
  <si>
    <t xml:space="preserve">HIB|- Lane 3 - Jumat|11:15</t>
  </si>
  <si>
    <t xml:space="preserve">HIB|- Lane 3 - Jumat|12:00</t>
  </si>
  <si>
    <t xml:space="preserve">HIB|- Lane 3 - Jumat|13:30</t>
  </si>
  <si>
    <t xml:space="preserve">HIB|- Lane 3 - Jumat|14:15</t>
  </si>
  <si>
    <t xml:space="preserve">HIB|- Lane 3 - Jumat|15:00</t>
  </si>
  <si>
    <t xml:space="preserve">HIB|- Lane 3 - Jumat|15:45</t>
  </si>
  <si>
    <t xml:space="preserve">HIB|- Lane 3 - Jumat|16:30</t>
  </si>
  <si>
    <t xml:space="preserve">HIB|- Lane 3 - Jumat|17:15</t>
  </si>
  <si>
    <t xml:space="preserve">HIB|- Lane 3 - Sabtu|08:15</t>
  </si>
  <si>
    <t xml:space="preserve">HIB|- Lane 3 - Sabtu|09:00</t>
  </si>
  <si>
    <t xml:space="preserve">HIB|- Lane 3 - Sabtu|09:45</t>
  </si>
  <si>
    <t xml:space="preserve">HIB|- Lane 3 - Sabtu|10:30</t>
  </si>
  <si>
    <t xml:space="preserve">HIB|- Lane 3 - Sabtu|11:15</t>
  </si>
  <si>
    <t xml:space="preserve">HIB|- Lane 3 - Sabtu|12:00</t>
  </si>
  <si>
    <t xml:space="preserve">HIB|- Lane 3 - Sabtu|13:30</t>
  </si>
  <si>
    <t xml:space="preserve">HIB|- Lane 3 - Sabtu|14:15</t>
  </si>
  <si>
    <t xml:space="preserve">HIB|- Lane 3 - Sabtu|15:00</t>
  </si>
  <si>
    <t xml:space="preserve">HIB|- Lane 3 - Sabtu|15:45</t>
  </si>
  <si>
    <t xml:space="preserve">HIB|- Lane 3 - Sabtu|16:30</t>
  </si>
  <si>
    <t xml:space="preserve">HIB|- Lane 3 - Sabtu|17:15</t>
  </si>
  <si>
    <t xml:space="preserve">HIB|- Lane 3 - Minggu|08:15</t>
  </si>
  <si>
    <t xml:space="preserve">HIB|- Lane 3 - Minggu|09:00</t>
  </si>
  <si>
    <t xml:space="preserve">HIB|- Lane 3 - Minggu|09:45</t>
  </si>
  <si>
    <t xml:space="preserve">HIB|- Lane 3 - Minggu|10:30</t>
  </si>
  <si>
    <t xml:space="preserve">HIB|- Lane 3 - Minggu|11:15</t>
  </si>
  <si>
    <t xml:space="preserve">HIB|- Lane 3 - Minggu|12:00</t>
  </si>
  <si>
    <t xml:space="preserve">HIB|- Lane 3 - Minggu|13:30</t>
  </si>
  <si>
    <t xml:space="preserve">HIB|- Lane 3 - Minggu|14:15</t>
  </si>
  <si>
    <t xml:space="preserve">HIB|- Lane 3 - Minggu|15:00</t>
  </si>
  <si>
    <t xml:space="preserve">HIB|- Lane 3 - Minggu|15:45</t>
  </si>
  <si>
    <t xml:space="preserve">HIB|- Lane 3 - Minggu|16:30</t>
  </si>
  <si>
    <t xml:space="preserve">HIB|- Lane 3 - Minggu|17:15</t>
  </si>
  <si>
    <t xml:space="preserve">HIB|- Lane 4 - Senin|08:15</t>
  </si>
  <si>
    <t xml:space="preserve">HIB|- Lane 4 - Senin|09:00</t>
  </si>
  <si>
    <t xml:space="preserve">HIB|- Lane 4 - Senin|09:45</t>
  </si>
  <si>
    <t xml:space="preserve">HIB|- Lane 4 - Senin|10:30</t>
  </si>
  <si>
    <t xml:space="preserve">HIB|- Lane 4 - Senin|11:15</t>
  </si>
  <si>
    <t xml:space="preserve">HIB|- Lane 4 - Senin|12:00</t>
  </si>
  <si>
    <t xml:space="preserve">HIB|- Lane 4 - Senin|13:30</t>
  </si>
  <si>
    <t xml:space="preserve">HIB|- Lane 4 - Senin|14:15</t>
  </si>
  <si>
    <t xml:space="preserve">HIB|- Lane 4 - Senin|15:00</t>
  </si>
  <si>
    <t xml:space="preserve">HIB|- Lane 4 - Senin|15:45</t>
  </si>
  <si>
    <t xml:space="preserve">HIB|- Lane 4 - Senin|16:30</t>
  </si>
  <si>
    <t xml:space="preserve">HIB|- Lane 4 - Senin|17:15</t>
  </si>
  <si>
    <t xml:space="preserve">HIB|- Lane 4 - Selasa|08:15</t>
  </si>
  <si>
    <t xml:space="preserve">HIB|- Lane 4 - Selasa|09:00</t>
  </si>
  <si>
    <t xml:space="preserve">HIB|- Lane 4 - Selasa|09:45</t>
  </si>
  <si>
    <t xml:space="preserve">HIB|- Lane 4 - Selasa|10:30</t>
  </si>
  <si>
    <t xml:space="preserve">HIB|- Lane 4 - Selasa|11:15</t>
  </si>
  <si>
    <t xml:space="preserve">HIB|- Lane 4 - Selasa|12:00</t>
  </si>
  <si>
    <t xml:space="preserve">HIB|- Lane 4 - Selasa|13:30</t>
  </si>
  <si>
    <t xml:space="preserve">HIB|- Lane 4 - Selasa|14:15</t>
  </si>
  <si>
    <t xml:space="preserve">HIB|- Lane 4 - Selasa|15:00</t>
  </si>
  <si>
    <t xml:space="preserve">HIB|- Lane 4 - Selasa|15:45</t>
  </si>
  <si>
    <t xml:space="preserve">HIB|- Lane 4 - Selasa|16:30</t>
  </si>
  <si>
    <t xml:space="preserve">HIB|- Lane 4 - Selasa|17:15</t>
  </si>
  <si>
    <t xml:space="preserve">HIB|- Lane 4 - Rabu|08:15</t>
  </si>
  <si>
    <t xml:space="preserve">HIB|- Lane 4 - Rabu|09:00</t>
  </si>
  <si>
    <t xml:space="preserve">HIB|- Lane 4 - Rabu|09:45</t>
  </si>
  <si>
    <t xml:space="preserve">HIB|- Lane 4 - Rabu|10:30</t>
  </si>
  <si>
    <t xml:space="preserve">HIB|- Lane 4 - Rabu|11:15</t>
  </si>
  <si>
    <t xml:space="preserve">HIB|- Lane 4 - Rabu|12:00</t>
  </si>
  <si>
    <t xml:space="preserve">HIB|- Lane 4 - Rabu|13:30</t>
  </si>
  <si>
    <t xml:space="preserve">HIB|- Lane 4 - Rabu|14:15</t>
  </si>
  <si>
    <t xml:space="preserve">HIB|- Lane 4 - Rabu|15:00</t>
  </si>
  <si>
    <t xml:space="preserve">HIB|- Lane 4 - Rabu|15:45</t>
  </si>
  <si>
    <t xml:space="preserve">HIB|- Lane 4 - Rabu|16:30</t>
  </si>
  <si>
    <t xml:space="preserve">HIB|- Lane 4 - Rabu|17:15</t>
  </si>
  <si>
    <t xml:space="preserve">HIB|- Lane 4 - Kamis|08:15</t>
  </si>
  <si>
    <t xml:space="preserve">HIB|- Lane 4 - Kamis|09:00</t>
  </si>
  <si>
    <t xml:space="preserve">HIB|- Lane 4 - Kamis|09:45</t>
  </si>
  <si>
    <t xml:space="preserve">HIB|- Lane 4 - Kamis|10:30</t>
  </si>
  <si>
    <t xml:space="preserve">HIB|- Lane 4 - Kamis|11:15</t>
  </si>
  <si>
    <t xml:space="preserve">HIB|- Lane 4 - Kamis|12:00</t>
  </si>
  <si>
    <t xml:space="preserve">HIB|- Lane 4 - Kamis|13:30</t>
  </si>
  <si>
    <t xml:space="preserve">HIB|- Lane 4 - Kamis|14:15</t>
  </si>
  <si>
    <t xml:space="preserve">HIB|- Lane 4 - Kamis|15:00</t>
  </si>
  <si>
    <t xml:space="preserve">HIB|- Lane 4 - Kamis|15:45</t>
  </si>
  <si>
    <t xml:space="preserve">HIB|- Lane 4 - Kamis|16:30</t>
  </si>
  <si>
    <t xml:space="preserve">HIB|- Lane 4 - Kamis|17:15</t>
  </si>
  <si>
    <t xml:space="preserve">HIB|- Lane 4 - Jumat|08:15</t>
  </si>
  <si>
    <t xml:space="preserve">HIB|- Lane 4 - Jumat|09:00</t>
  </si>
  <si>
    <t xml:space="preserve">HIB|- Lane 4 - Jumat|09:45</t>
  </si>
  <si>
    <t xml:space="preserve">HIB|- Lane 4 - Jumat|10:30</t>
  </si>
  <si>
    <t xml:space="preserve">HIB|- Lane 4 - Jumat|11:15</t>
  </si>
  <si>
    <t xml:space="preserve">HIB|- Lane 4 - Jumat|12:00</t>
  </si>
  <si>
    <t xml:space="preserve">HIB|- Lane 4 - Jumat|13:30</t>
  </si>
  <si>
    <t xml:space="preserve">HIB|- Lane 4 - Jumat|14:15</t>
  </si>
  <si>
    <t xml:space="preserve">HIB|- Lane 4 - Jumat|15:00</t>
  </si>
  <si>
    <t xml:space="preserve">HIB|- Lane 4 - Jumat|15:45</t>
  </si>
  <si>
    <t xml:space="preserve">HIB|- Lane 4 - Jumat|16:30</t>
  </si>
  <si>
    <t xml:space="preserve">HIB|- Lane 4 - Jumat|17:15</t>
  </si>
  <si>
    <t xml:space="preserve">HIB|- Lane 4 - Sabtu|08:15</t>
  </si>
  <si>
    <t xml:space="preserve">HIB|- Lane 4 - Sabtu|09:00</t>
  </si>
  <si>
    <t xml:space="preserve">HIB|- Lane 4 - Sabtu|09:45</t>
  </si>
  <si>
    <t xml:space="preserve">HIB|- Lane 4 - Sabtu|10:30</t>
  </si>
  <si>
    <t xml:space="preserve">HIB|- Lane 4 - Sabtu|11:15</t>
  </si>
  <si>
    <t xml:space="preserve">HIB|- Lane 4 - Sabtu|12:00</t>
  </si>
  <si>
    <t xml:space="preserve">HIB|- Lane 4 - Sabtu|13:30</t>
  </si>
  <si>
    <t xml:space="preserve">HIB|- Lane 4 - Sabtu|14:15</t>
  </si>
  <si>
    <t xml:space="preserve">HIB|- Lane 4 - Sabtu|15:00</t>
  </si>
  <si>
    <t xml:space="preserve">HIB|- Lane 4 - Sabtu|15:45</t>
  </si>
  <si>
    <t xml:space="preserve">HIB|- Lane 4 - Sabtu|16:30</t>
  </si>
  <si>
    <t xml:space="preserve">HIB|- Lane 4 - Sabtu|17:15</t>
  </si>
  <si>
    <t xml:space="preserve">HIB|- Lane 4 - Minggu|08:15</t>
  </si>
  <si>
    <t xml:space="preserve">HIB|- Lane 4 - Minggu|09:00</t>
  </si>
  <si>
    <t xml:space="preserve">HIB|- Lane 4 - Minggu|09:45</t>
  </si>
  <si>
    <t xml:space="preserve">HIB|- Lane 4 - Minggu|10:30</t>
  </si>
  <si>
    <t xml:space="preserve">HIB|- Lane 4 - Minggu|11:15</t>
  </si>
  <si>
    <t xml:space="preserve">HIB|- Lane 4 - Minggu|12:00</t>
  </si>
  <si>
    <t xml:space="preserve">HIB|- Lane 4 - Minggu|13:30</t>
  </si>
  <si>
    <t xml:space="preserve">HIB|- Lane 4 - Minggu|14:15</t>
  </si>
  <si>
    <t xml:space="preserve">HIB|- Lane 4 - Minggu|15:00</t>
  </si>
  <si>
    <t xml:space="preserve">HIB|- Lane 4 - Minggu|15:45</t>
  </si>
  <si>
    <t xml:space="preserve">HIB|- Lane 4 - Minggu|16:30</t>
  </si>
  <si>
    <t xml:space="preserve">HIB|- Lane 4 - Minggu|17:15</t>
  </si>
  <si>
    <t xml:space="preserve">HIB|- Lane 5 - Senin|08:00</t>
  </si>
  <si>
    <t xml:space="preserve">HIB|- Lane 5 - Senin|08:45</t>
  </si>
  <si>
    <t xml:space="preserve">HIB|- Lane 5 - Senin|09:30</t>
  </si>
  <si>
    <t xml:space="preserve">HIB|- Lane 5 - Senin|10:15</t>
  </si>
  <si>
    <t xml:space="preserve">HIB|- Lane 5 - Senin|11:00</t>
  </si>
  <si>
    <t xml:space="preserve">HIB|- Lane 5 - Senin|11:45</t>
  </si>
  <si>
    <t xml:space="preserve">HIB|- Lane 5 - Senin|13:15</t>
  </si>
  <si>
    <t xml:space="preserve">HIB|- Lane 5 - Senin|14:00</t>
  </si>
  <si>
    <t xml:space="preserve">HIB|- Lane 5 - Senin|14:45</t>
  </si>
  <si>
    <t xml:space="preserve">HIB|- Lane 5 - Senin|15:30</t>
  </si>
  <si>
    <t xml:space="preserve">HIB|- Lane 5 - Senin|16:15</t>
  </si>
  <si>
    <t xml:space="preserve">HIB|- Lane 5 - Senin|17:00</t>
  </si>
  <si>
    <t xml:space="preserve">HIB|- Lane 5 - Selasa|08:00</t>
  </si>
  <si>
    <t xml:space="preserve">HIB|- Lane 5 - Selasa|08:45</t>
  </si>
  <si>
    <t xml:space="preserve">HIB|- Lane 5 - Selasa|09:30</t>
  </si>
  <si>
    <t xml:space="preserve">HIB|- Lane 5 - Selasa|10:15</t>
  </si>
  <si>
    <t xml:space="preserve">HIB|- Lane 5 - Selasa|11:00</t>
  </si>
  <si>
    <t xml:space="preserve">HIB|- Lane 5 - Selasa|11:45</t>
  </si>
  <si>
    <t xml:space="preserve">HIB|- Lane 5 - Selasa|13:15</t>
  </si>
  <si>
    <t xml:space="preserve">HIB|- Lane 5 - Selasa|14:00</t>
  </si>
  <si>
    <t xml:space="preserve">HIB|- Lane 5 - Selasa|14:45</t>
  </si>
  <si>
    <t xml:space="preserve">HIB|- Lane 5 - Selasa|15:30</t>
  </si>
  <si>
    <t xml:space="preserve">HIB|- Lane 5 - Selasa|16:15</t>
  </si>
  <si>
    <t xml:space="preserve">HIB|- Lane 5 - Selasa|17:00</t>
  </si>
  <si>
    <t xml:space="preserve">HIB|- Lane 5 - Rabu|08:00</t>
  </si>
  <si>
    <t xml:space="preserve">HIB|- Lane 5 - Rabu|08:45</t>
  </si>
  <si>
    <t xml:space="preserve">HIB|- Lane 5 - Rabu|09:30</t>
  </si>
  <si>
    <t xml:space="preserve">HIB|- Lane 5 - Rabu|10:15</t>
  </si>
  <si>
    <t xml:space="preserve">HIB|- Lane 5 - Rabu|11:00</t>
  </si>
  <si>
    <t xml:space="preserve">HIB|- Lane 5 - Rabu|11:45</t>
  </si>
  <si>
    <t xml:space="preserve">HIB|- Lane 5 - Rabu|13:15</t>
  </si>
  <si>
    <t xml:space="preserve">HIB|- Lane 5 - Rabu|14:00</t>
  </si>
  <si>
    <t xml:space="preserve">HIB|- Lane 5 - Rabu|14:45</t>
  </si>
  <si>
    <t xml:space="preserve">HIB|- Lane 5 - Rabu|15:30</t>
  </si>
  <si>
    <t xml:space="preserve">HIB|- Lane 5 - Rabu|16:15</t>
  </si>
  <si>
    <t xml:space="preserve">HIB|- Lane 5 - Rabu|17:00</t>
  </si>
  <si>
    <t xml:space="preserve">HIB|- Lane 5 - Kamis|08:00</t>
  </si>
  <si>
    <t xml:space="preserve">HIB|- Lane 5 - Kamis|08:45</t>
  </si>
  <si>
    <t xml:space="preserve">HIB|- Lane 5 - Kamis|09:30</t>
  </si>
  <si>
    <t xml:space="preserve">HIB|- Lane 5 - Kamis|10:15</t>
  </si>
  <si>
    <t xml:space="preserve">HIB|- Lane 5 - Kamis|11:00</t>
  </si>
  <si>
    <t xml:space="preserve">HIB|- Lane 5 - Kamis|11:45</t>
  </si>
  <si>
    <t xml:space="preserve">HIB|- Lane 5 - Kamis|13:15</t>
  </si>
  <si>
    <t xml:space="preserve">HIB|- Lane 5 - Kamis|14:00</t>
  </si>
  <si>
    <t xml:space="preserve">HIB|- Lane 5 - Kamis|14:45</t>
  </si>
  <si>
    <t xml:space="preserve">HIB|- Lane 5 - Kamis|15:30</t>
  </si>
  <si>
    <t xml:space="preserve">HIB|- Lane 5 - Kamis|16:15</t>
  </si>
  <si>
    <t xml:space="preserve">HIB|- Lane 5 - Kamis|17:00</t>
  </si>
  <si>
    <t xml:space="preserve">HIB|- Lane 5 - Jumat|08:00</t>
  </si>
  <si>
    <t xml:space="preserve">HIB|- Lane 5 - Jumat|08:45</t>
  </si>
  <si>
    <t xml:space="preserve">HIB|- Lane 5 - Jumat|09:30</t>
  </si>
  <si>
    <t xml:space="preserve">HIB|- Lane 5 - Jumat|10:15</t>
  </si>
  <si>
    <t xml:space="preserve">HIB|- Lane 5 - Jumat|11:00</t>
  </si>
  <si>
    <t xml:space="preserve">HIB|- Lane 5 - Jumat|11:45</t>
  </si>
  <si>
    <t xml:space="preserve">HIB|- Lane 5 - Jumat|13:15</t>
  </si>
  <si>
    <t xml:space="preserve">HIB|- Lane 5 - Jumat|14:00</t>
  </si>
  <si>
    <t xml:space="preserve">HIB|- Lane 5 - Jumat|14:45</t>
  </si>
  <si>
    <t xml:space="preserve">HIB|- Lane 5 - Jumat|15:30</t>
  </si>
  <si>
    <t xml:space="preserve">HIB|- Lane 5 - Jumat|16:15</t>
  </si>
  <si>
    <t xml:space="preserve">HIB|- Lane 5 - Jumat|17:00</t>
  </si>
  <si>
    <t xml:space="preserve">HIB|- Lane 5 - Sabtu|08:00</t>
  </si>
  <si>
    <t xml:space="preserve">HIB|- Lane 5 - Sabtu|08:45</t>
  </si>
  <si>
    <t xml:space="preserve">HIB|- Lane 5 - Sabtu|09:30</t>
  </si>
  <si>
    <t xml:space="preserve">HIB|- Lane 5 - Sabtu|10:15</t>
  </si>
  <si>
    <t xml:space="preserve">HIB|- Lane 5 - Sabtu|11:00</t>
  </si>
  <si>
    <t xml:space="preserve">HIB|- Lane 5 - Sabtu|11:45</t>
  </si>
  <si>
    <t xml:space="preserve">HIB|- Lane 5 - Sabtu|13:15</t>
  </si>
  <si>
    <t xml:space="preserve">HIB|- Lane 5 - Sabtu|14:00</t>
  </si>
  <si>
    <t xml:space="preserve">HIB|- Lane 5 - Sabtu|14:45</t>
  </si>
  <si>
    <t xml:space="preserve">HIB|- Lane 5 - Sabtu|15:30</t>
  </si>
  <si>
    <t xml:space="preserve">HIB|- Lane 5 - Sabtu|16:15</t>
  </si>
  <si>
    <t xml:space="preserve">HIB|- Lane 5 - Sabtu|17:00</t>
  </si>
  <si>
    <t xml:space="preserve">HIB|- Lane 5 - Minggu|08:00</t>
  </si>
  <si>
    <t xml:space="preserve">HIB|- Lane 5 - Minggu|08:45</t>
  </si>
  <si>
    <t xml:space="preserve">HIB|- Lane 5 - Minggu|09:30</t>
  </si>
  <si>
    <t xml:space="preserve">HIB|- Lane 5 - Minggu|10:15</t>
  </si>
  <si>
    <t xml:space="preserve">HIB|- Lane 5 - Minggu|11:00</t>
  </si>
  <si>
    <t xml:space="preserve">HIB|- Lane 5 - Minggu|11:45</t>
  </si>
  <si>
    <t xml:space="preserve">HIB|- Lane 5 - Minggu|13:15</t>
  </si>
  <si>
    <t xml:space="preserve">HIB|- Lane 5 - Minggu|14:00</t>
  </si>
  <si>
    <t xml:space="preserve">HIB|- Lane 5 - Minggu|14:45</t>
  </si>
  <si>
    <t xml:space="preserve">HIB|- Lane 5 - Minggu|15:30</t>
  </si>
  <si>
    <t xml:space="preserve">HIB|- Lane 5 - Minggu|16:15</t>
  </si>
  <si>
    <t xml:space="preserve">HIB|- Lane 5 - Minggu|17:00</t>
  </si>
  <si>
    <t xml:space="preserve">HIB|- Lane 6 - Senin|08:00</t>
  </si>
  <si>
    <t xml:space="preserve">HIB|- Lane 6 - Senin|08:45</t>
  </si>
  <si>
    <t xml:space="preserve">HIB|- Lane 6 - Senin|09:30</t>
  </si>
  <si>
    <t xml:space="preserve">HIB|- Lane 6 - Senin|10:15</t>
  </si>
  <si>
    <t xml:space="preserve">HIB|- Lane 6 - Senin|11:00</t>
  </si>
  <si>
    <t xml:space="preserve">HIB|- Lane 6 - Senin|11:45</t>
  </si>
  <si>
    <t xml:space="preserve">HIB|- Lane 6 - Senin|13:15</t>
  </si>
  <si>
    <t xml:space="preserve">HIB|- Lane 6 - Senin|14:00</t>
  </si>
  <si>
    <t xml:space="preserve">HIB|- Lane 6 - Senin|14:45</t>
  </si>
  <si>
    <t xml:space="preserve">HIB|- Lane 6 - Senin|15:30</t>
  </si>
  <si>
    <t xml:space="preserve">HIB|- Lane 6 - Senin|16:15</t>
  </si>
  <si>
    <t xml:space="preserve">HIB|- Lane 6 - Senin|17:00</t>
  </si>
  <si>
    <t xml:space="preserve">HIB|- Lane 6 - Selasa|08:00</t>
  </si>
  <si>
    <t xml:space="preserve">HIB|- Lane 6 - Selasa|08:45</t>
  </si>
  <si>
    <t xml:space="preserve">HIB|- Lane 6 - Selasa|09:30</t>
  </si>
  <si>
    <t xml:space="preserve">HIB|- Lane 6 - Selasa|10:15</t>
  </si>
  <si>
    <t xml:space="preserve">HIB|- Lane 6 - Selasa|11:00</t>
  </si>
  <si>
    <t xml:space="preserve">HIB|- Lane 6 - Selasa|11:45</t>
  </si>
  <si>
    <t xml:space="preserve">HIB|- Lane 6 - Selasa|13:15</t>
  </si>
  <si>
    <t xml:space="preserve">HIB|- Lane 6 - Selasa|14:00</t>
  </si>
  <si>
    <t xml:space="preserve">HIB|- Lane 6 - Selasa|14:45</t>
  </si>
  <si>
    <t xml:space="preserve">HIB|- Lane 6 - Selasa|15:30</t>
  </si>
  <si>
    <t xml:space="preserve">HIB|- Lane 6 - Selasa|16:15</t>
  </si>
  <si>
    <t xml:space="preserve">HIB|- Lane 6 - Selasa|17:00</t>
  </si>
  <si>
    <t xml:space="preserve">HIB|- Lane 6 - Rabu|08:00</t>
  </si>
  <si>
    <t xml:space="preserve">HIB|- Lane 6 - Rabu|08:45</t>
  </si>
  <si>
    <t xml:space="preserve">HIB|- Lane 6 - Rabu|09:30</t>
  </si>
  <si>
    <t xml:space="preserve">HIB|- Lane 6 - Rabu|10:15</t>
  </si>
  <si>
    <t xml:space="preserve">HIB|- Lane 6 - Rabu|11:00</t>
  </si>
  <si>
    <t xml:space="preserve">HIB|- Lane 6 - Rabu|11:45</t>
  </si>
  <si>
    <t xml:space="preserve">HIB|- Lane 6 - Rabu|13:15</t>
  </si>
  <si>
    <t xml:space="preserve">HIB|- Lane 6 - Rabu|14:00</t>
  </si>
  <si>
    <t xml:space="preserve">HIB|- Lane 6 - Rabu|14:45</t>
  </si>
  <si>
    <t xml:space="preserve">HIB|- Lane 6 - Rabu|15:30</t>
  </si>
  <si>
    <t xml:space="preserve">HIB|- Lane 6 - Rabu|16:15</t>
  </si>
  <si>
    <t xml:space="preserve">HIB|- Lane 6 - Rabu|17:00</t>
  </si>
  <si>
    <t xml:space="preserve">HIB|- Lane 6 - Kamis|08:00</t>
  </si>
  <si>
    <t xml:space="preserve">HIB|- Lane 6 - Kamis|08:45</t>
  </si>
  <si>
    <t xml:space="preserve">HIB|- Lane 6 - Kamis|09:30</t>
  </si>
  <si>
    <t xml:space="preserve">HIB|- Lane 6 - Kamis|10:15</t>
  </si>
  <si>
    <t xml:space="preserve">HIB|- Lane 6 - Kamis|11:00</t>
  </si>
  <si>
    <t xml:space="preserve">HIB|- Lane 6 - Kamis|11:45</t>
  </si>
  <si>
    <t xml:space="preserve">HIB|- Lane 6 - Kamis|13:15</t>
  </si>
  <si>
    <t xml:space="preserve">HIB|- Lane 6 - Kamis|14:00</t>
  </si>
  <si>
    <t xml:space="preserve">HIB|- Lane 6 - Kamis|14:45</t>
  </si>
  <si>
    <t xml:space="preserve">HIB|- Lane 6 - Kamis|15:30</t>
  </si>
  <si>
    <t xml:space="preserve">HIB|- Lane 6 - Kamis|16:15</t>
  </si>
  <si>
    <t xml:space="preserve">HIB|- Lane 6 - Kamis|17:00</t>
  </si>
  <si>
    <t xml:space="preserve">HIB|- Lane 6 - Jumat|08:00</t>
  </si>
  <si>
    <t xml:space="preserve">HIB|- Lane 6 - Jumat|08:45</t>
  </si>
  <si>
    <t xml:space="preserve">HIB|- Lane 6 - Jumat|09:30</t>
  </si>
  <si>
    <t xml:space="preserve">HIB|- Lane 6 - Jumat|10:15</t>
  </si>
  <si>
    <t xml:space="preserve">HIB|- Lane 6 - Jumat|11:00</t>
  </si>
  <si>
    <t xml:space="preserve">HIB|- Lane 6 - Jumat|11:45</t>
  </si>
  <si>
    <t xml:space="preserve">HIB|- Lane 6 - Jumat|13:15</t>
  </si>
  <si>
    <t xml:space="preserve">HIB|- Lane 6 - Jumat|14:00</t>
  </si>
  <si>
    <t xml:space="preserve">HIB|- Lane 6 - Jumat|14:45</t>
  </si>
  <si>
    <t xml:space="preserve">HIB|- Lane 6 - Jumat|15:30</t>
  </si>
  <si>
    <t xml:space="preserve">HIB|- Lane 6 - Jumat|16:15</t>
  </si>
  <si>
    <t xml:space="preserve">HIB|- Lane 6 - Jumat|17:00</t>
  </si>
  <si>
    <t xml:space="preserve">HIB|- Lane 6 - Sabtu|08:00</t>
  </si>
  <si>
    <t xml:space="preserve">HIB|- Lane 6 - Sabtu|08:45</t>
  </si>
  <si>
    <t xml:space="preserve">HIB|- Lane 6 - Sabtu|09:30</t>
  </si>
  <si>
    <t xml:space="preserve">HIB|- Lane 6 - Sabtu|10:15</t>
  </si>
  <si>
    <t xml:space="preserve">HIB|- Lane 6 - Sabtu|11:00</t>
  </si>
  <si>
    <t xml:space="preserve">HIB|- Lane 6 - Sabtu|11:45</t>
  </si>
  <si>
    <t xml:space="preserve">HIB|- Lane 6 - Sabtu|13:15</t>
  </si>
  <si>
    <t xml:space="preserve">HIB|- Lane 6 - Sabtu|14:00</t>
  </si>
  <si>
    <t xml:space="preserve">HIB|- Lane 6 - Sabtu|14:45</t>
  </si>
  <si>
    <t xml:space="preserve">HIB|- Lane 6 - Sabtu|15:30</t>
  </si>
  <si>
    <t xml:space="preserve">HIB|- Lane 6 - Sabtu|16:15</t>
  </si>
  <si>
    <t xml:space="preserve">HIB|- Lane 6 - Sabtu|17:00</t>
  </si>
  <si>
    <t xml:space="preserve">HIB|- Lane 6 - Minggu|08:00</t>
  </si>
  <si>
    <t xml:space="preserve">HIB|- Lane 6 - Minggu|08:45</t>
  </si>
  <si>
    <t xml:space="preserve">HIB|- Lane 6 - Minggu|09:30</t>
  </si>
  <si>
    <t xml:space="preserve">HIB|- Lane 6 - Minggu|10:15</t>
  </si>
  <si>
    <t xml:space="preserve">HIB|- Lane 6 - Minggu|11:00</t>
  </si>
  <si>
    <t xml:space="preserve">HIB|- Lane 6 - Minggu|11:45</t>
  </si>
  <si>
    <t xml:space="preserve">HIB|- Lane 6 - Minggu|13:15</t>
  </si>
  <si>
    <t xml:space="preserve">HIB|- Lane 6 - Minggu|14:00</t>
  </si>
  <si>
    <t xml:space="preserve">HIB|- Lane 6 - Minggu|14:45</t>
  </si>
  <si>
    <t xml:space="preserve">HIB|- Lane 6 - Minggu|15:30</t>
  </si>
  <si>
    <t xml:space="preserve">HIB|- Lane 6 - Minggu|16:15</t>
  </si>
  <si>
    <t xml:space="preserve">HIB|- Lane 6 - Minggu|17:00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</si>
</sst>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6475"/>
      <name val="Arial"/>
      <family val="0"/>
      <charset val="1"/>
    </font>
    <font>
      <sz val="8"/>
      <color rgb="FF6B7C82"/>
      <name val="Arial"/>
      <family val="0"/>
      <charset val="1"/>
    </font>
    <font>
      <sz val="9"/>
      <color rgb="FF6B7C82"/>
      <name val="Arial"/>
      <family val="0"/>
      <charset val="1"/>
    </font>
    <font>
      <b val="true"/>
      <sz val="10"/>
      <color rgb="FF6B7C82"/>
      <name val="Arial"/>
      <family val="0"/>
      <charset val="1"/>
    </font>
    <font>
      <b val="true"/>
      <sz val="12"/>
      <color rgb="FF1F2D33"/>
      <name val="Arial"/>
      <family val="0"/>
      <charset val="1"/>
    </font>
    <font>
      <i val="true"/>
      <sz val="9"/>
      <color rgb="FF6B7C82"/>
      <name val="Arial"/>
      <family val="0"/>
      <charset val="1"/>
    </font>
    <font>
      <b val="true"/>
      <sz val="9"/>
      <color rgb="FF6B7C82"/>
      <name val="Arial"/>
      <family val="0"/>
      <charset val="1"/>
    </font>
    <font>
      <b val="true"/>
      <sz val="9"/>
      <color rgb="FF1F2D33"/>
      <name val="Arial"/>
      <family val="0"/>
      <charset val="1"/>
    </font>
    <font>
      <b val="true"/>
      <sz val="15"/>
      <color rgb="FF1F2D33"/>
      <name val="Arial"/>
      <family val="0"/>
      <charset val="1"/>
    </font>
    <font>
      <b val="true"/>
      <sz val="8"/>
      <color rgb="FF1F2D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D33"/>
      <name val="Arial"/>
      <family val="0"/>
      <charset val="1"/>
    </font>
    <font>
      <sz val="9"/>
      <color rgb="FF1F2D33"/>
      <name val="Arial"/>
      <family val="0"/>
      <charset val="1"/>
    </font>
    <font>
      <b val="true"/>
      <sz val="8"/>
      <color rgb="FF6B7C82"/>
      <name val="Arial"/>
      <family val="0"/>
      <charset val="1"/>
    </font>
    <font>
      <i val="true"/>
      <sz val="8"/>
      <color rgb="FF6B7C82"/>
      <name val="Arial"/>
      <family val="0"/>
      <charset val="1"/>
    </font>
    <font>
      <b val="true"/>
      <sz val="10"/>
      <color rgb="FFB03A2E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4B8"/>
        <bgColor rgb="FFFDE7C4"/>
      </patternFill>
    </fill>
    <fill>
      <patternFill patternType="solid">
        <fgColor rgb="FFDCEDF0"/>
        <bgColor rgb="FFD6EFDC"/>
      </patternFill>
    </fill>
    <fill>
      <patternFill patternType="solid">
        <fgColor rgb="FFF8C9C0"/>
        <bgColor rgb="FFF7DBE6"/>
      </patternFill>
    </fill>
    <fill>
      <patternFill patternType="solid">
        <fgColor rgb="FFFFE3A6"/>
        <bgColor rgb="FFFDE7C4"/>
      </patternFill>
    </fill>
    <fill>
      <patternFill patternType="solid">
        <fgColor rgb="FFBFE3C8"/>
        <bgColor rgb="FFC4E1E6"/>
      </patternFill>
    </fill>
    <fill>
      <patternFill patternType="solid">
        <fgColor rgb="FFE2D4F5"/>
        <bgColor rgb="FFD5DDDF"/>
      </patternFill>
    </fill>
    <fill>
      <patternFill patternType="solid">
        <fgColor rgb="FFE4E4E4"/>
        <bgColor rgb="FFDBE4FB"/>
      </patternFill>
    </fill>
    <fill>
      <patternFill patternType="solid">
        <fgColor rgb="FFEAF4F6"/>
        <bgColor rgb="FFF0F4F5"/>
      </patternFill>
    </fill>
    <fill>
      <patternFill patternType="solid">
        <fgColor rgb="FFC4E1E6"/>
        <bgColor rgb="FFD5DDDF"/>
      </patternFill>
    </fill>
    <fill>
      <patternFill patternType="solid">
        <fgColor rgb="FFF7DBE6"/>
        <bgColor rgb="FFF1E2FA"/>
      </patternFill>
    </fill>
    <fill>
      <patternFill patternType="solid">
        <fgColor rgb="FFFDE7C4"/>
        <bgColor rgb="FFFFE3A6"/>
      </patternFill>
    </fill>
    <fill>
      <patternFill patternType="solid">
        <fgColor rgb="FFD6EFDC"/>
        <bgColor rgb="FFDCEDF0"/>
      </patternFill>
    </fill>
    <fill>
      <patternFill patternType="solid">
        <fgColor rgb="FFDBE4FB"/>
        <bgColor rgb="FFDCEDF0"/>
      </patternFill>
    </fill>
    <fill>
      <patternFill patternType="solid">
        <fgColor rgb="FFF1E2FA"/>
        <bgColor rgb="FFF7DBE6"/>
      </patternFill>
    </fill>
    <fill>
      <patternFill patternType="solid">
        <fgColor rgb="FF0B6475"/>
        <bgColor rgb="FF008080"/>
      </patternFill>
    </fill>
    <fill>
      <patternFill patternType="solid">
        <fgColor rgb="FFF0F4F5"/>
        <bgColor rgb="FFEA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DF"/>
      </left>
      <right style="thin">
        <color rgb="FFD5DDDF"/>
      </right>
      <top style="thin">
        <color rgb="FFD5DDDF"/>
      </top>
      <bottom style="thin">
        <color rgb="FFD5DD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8C9C0"/>
        </patternFill>
      </fill>
    </dxf>
    <dxf>
      <fill>
        <patternFill>
          <bgColor rgb="FFFFE3A6"/>
        </patternFill>
      </fill>
    </dxf>
    <dxf>
      <fill>
        <patternFill>
          <bgColor rgb="FFEAF4F6"/>
        </patternFill>
      </fill>
    </dxf>
    <dxf>
      <fill>
        <patternFill>
          <bgColor rgb="FFC4E1E6"/>
        </patternFill>
      </fill>
    </dxf>
    <dxf>
      <fill>
        <patternFill>
          <bgColor rgb="FFBFE3C8"/>
        </patternFill>
      </fill>
    </dxf>
    <dxf>
      <fill>
        <patternFill>
          <bgColor rgb="FFE2D4F5"/>
        </patternFill>
      </fill>
    </dxf>
    <dxf>
      <fill>
        <patternFill>
          <bgColor rgb="FFE4E4E4"/>
        </patternFill>
      </fill>
    </dxf>
    <dxf>
      <font>
        <name val="Arial"/>
        <charset val="1"/>
        <family val="0"/>
        <color rgb="FFB0B8BA"/>
      </font>
    </dxf>
  </dxfs>
  <colors>
    <indexedColors>
      <rgbColor rgb="FF000000"/>
      <rgbColor rgb="FFFFFFFF"/>
      <rgbColor rgb="FFFF0000"/>
      <rgbColor rgb="FF00FF00"/>
      <rgbColor rgb="FF0000FF"/>
      <rgbColor rgb="FFFDE7C4"/>
      <rgbColor rgb="FFFF00FF"/>
      <rgbColor rgb="FF00FFFF"/>
      <rgbColor rgb="FF800000"/>
      <rgbColor rgb="FF008000"/>
      <rgbColor rgb="FF000080"/>
      <rgbColor rgb="FF808000"/>
      <rgbColor rgb="FF800080"/>
      <rgbColor rgb="FF0B6475"/>
      <rgbColor rgb="FFB0B8BA"/>
      <rgbColor rgb="FF6B7C82"/>
      <rgbColor rgb="FFBFE3C8"/>
      <rgbColor rgb="FF993366"/>
      <rgbColor rgb="FFFFF4B8"/>
      <rgbColor rgb="FFDCEDF0"/>
      <rgbColor rgb="FF660066"/>
      <rgbColor rgb="FFDBE4FB"/>
      <rgbColor rgb="FF0066CC"/>
      <rgbColor rgb="FFE2D4F5"/>
      <rgbColor rgb="FF000080"/>
      <rgbColor rgb="FFFF00FF"/>
      <rgbColor rgb="FFF0F4F5"/>
      <rgbColor rgb="FF00FFFF"/>
      <rgbColor rgb="FF800080"/>
      <rgbColor rgb="FF800000"/>
      <rgbColor rgb="FF008080"/>
      <rgbColor rgb="FF0000FF"/>
      <rgbColor rgb="FF00CCFF"/>
      <rgbColor rgb="FFEAF4F6"/>
      <rgbColor rgb="FFD6EFDC"/>
      <rgbColor rgb="FFFFE3A6"/>
      <rgbColor rgb="FFC4E1E6"/>
      <rgbColor rgb="FFF7DBE6"/>
      <rgbColor rgb="FFD5DDDF"/>
      <rgbColor rgb="FFF8C9C0"/>
      <rgbColor rgb="FF3366FF"/>
      <rgbColor rgb="FF33CCCC"/>
      <rgbColor rgb="FF99CC00"/>
      <rgbColor rgb="FFF1E2FA"/>
      <rgbColor rgb="FFFF9900"/>
      <rgbColor rgb="FFFF6600"/>
      <rgbColor rgb="FF666699"/>
      <rgbColor rgb="FFE4E4E4"/>
      <rgbColor rgb="FF003366"/>
      <rgbColor rgb="FF339966"/>
      <rgbColor rgb="FF003300"/>
      <rgbColor rgb="FF333300"/>
      <rgbColor rgb="FFB03A2E"/>
      <rgbColor rgb="FF993366"/>
      <rgbColor rgb="FF333399"/>
      <rgbColor rgb="FF1F2D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21"/>
    <col collapsed="false" customWidth="true" hidden="false" outlineLevel="0" max="9" min="9" style="0" width="2"/>
    <col collapsed="false" customWidth="true" hidden="true" outlineLevel="0" max="28" min="10" style="0" width="13"/>
  </cols>
  <sheetData>
    <row r="1" customFormat="false" ht="19.7" hidden="false" customHeight="false" outlineLevel="0" collapsed="false">
      <c r="A1" s="1" t="s">
        <v>0</v>
      </c>
      <c r="Z1" s="2" t="s">
        <v>1</v>
      </c>
    </row>
    <row r="2" customFormat="false" ht="15" hidden="false" customHeight="false" outlineLevel="0" collapsed="false">
      <c r="A2" s="3" t="s">
        <v>2</v>
      </c>
      <c r="Z2" s="4" t="s">
        <v>3</v>
      </c>
      <c r="AA2" s="4" t="n">
        <f aca="false">IF(COUNTIFS('Reguler Class Availability'!$L:$L,$B$4&amp;"|- Lane 1 - *|"&amp;Z2)&gt;0,1,0)</f>
        <v>0</v>
      </c>
      <c r="AB2" s="4" t="n">
        <f aca="false">AA2</f>
        <v>0</v>
      </c>
    </row>
    <row r="3" customFormat="false" ht="15" hidden="false" customHeight="false" outlineLevel="0" collapsed="false">
      <c r="Z3" s="0" t="s">
        <v>4</v>
      </c>
      <c r="AA3" s="0" t="n">
        <f aca="false">IF(COUNTIFS('Reguler Class Availability'!$L:$L,$B$4&amp;"|- Lane 1 - *|"&amp;Z3)&gt;0,1,0)</f>
        <v>0</v>
      </c>
      <c r="AB3" s="0" t="n">
        <f aca="false">AA3+AB2</f>
        <v>0</v>
      </c>
    </row>
    <row r="4" customFormat="false" ht="15" hidden="false" customHeight="false" outlineLevel="0" collapsed="false">
      <c r="A4" s="5" t="s">
        <v>5</v>
      </c>
      <c r="B4" s="6" t="s">
        <v>6</v>
      </c>
      <c r="C4" s="7" t="s">
        <v>7</v>
      </c>
      <c r="Z4" s="4" t="s">
        <v>8</v>
      </c>
      <c r="AA4" s="4" t="n">
        <f aca="false">IF(COUNTIFS('Reguler Class Availability'!$L:$L,$B$4&amp;"|- Lane 1 - *|"&amp;Z4)&gt;0,1,0)</f>
        <v>0</v>
      </c>
      <c r="AB4" s="4" t="n">
        <f aca="false">AA4+AB3</f>
        <v>0</v>
      </c>
    </row>
    <row r="5" customFormat="false" ht="15" hidden="false" customHeight="false" outlineLevel="0" collapsed="false">
      <c r="Z5" s="0" t="s">
        <v>9</v>
      </c>
      <c r="AA5" s="0" t="n">
        <f aca="false">IF(COUNTIFS('Reguler Class Availability'!$L:$L,$B$4&amp;"|- Lane 1 - *|"&amp;Z5)&gt;0,1,0)</f>
        <v>0</v>
      </c>
      <c r="AB5" s="0" t="n">
        <f aca="false">AA5+AB4</f>
        <v>0</v>
      </c>
    </row>
    <row r="6" customFormat="false" ht="15" hidden="false" customHeight="false" outlineLevel="0" collapsed="false">
      <c r="A6" s="8" t="s">
        <v>10</v>
      </c>
      <c r="B6" s="9" t="s">
        <v>11</v>
      </c>
      <c r="C6" s="9" t="s">
        <v>12</v>
      </c>
      <c r="D6" s="10" t="s">
        <v>13</v>
      </c>
      <c r="E6" s="11" t="s">
        <v>14</v>
      </c>
      <c r="F6" s="12" t="s">
        <v>15</v>
      </c>
      <c r="G6" s="13" t="s">
        <v>16</v>
      </c>
      <c r="H6" s="14" t="s">
        <v>17</v>
      </c>
      <c r="Z6" s="4" t="s">
        <v>18</v>
      </c>
      <c r="AA6" s="4" t="n">
        <f aca="false">IF(COUNTIFS('Reguler Class Availability'!$L:$L,$B$4&amp;"|- Lane 1 - *|"&amp;Z6)&gt;0,1,0)</f>
        <v>0</v>
      </c>
      <c r="AB6" s="4" t="n">
        <f aca="false">AA6+AB5</f>
        <v>0</v>
      </c>
    </row>
    <row r="7" customFormat="false" ht="18.55" hidden="false" customHeight="false" outlineLevel="0" collapsed="false">
      <c r="B7" s="15" t="n">
        <f aca="false">IFERROR(SUMIFS('Reguler Class Availability'!$G:$G,'Reguler Class Availability'!$A:$A,$B$4,'Reguler Class Availability'!$F:$F,"&gt;0")/SUMIFS('Reguler Class Availability'!$F:$F,'Reguler Class Availability'!$A:$A,$B$4,'Reguler Class Availability'!$F:$F,"&gt;0"),"–")</f>
        <v>0.528398213146139</v>
      </c>
      <c r="C7" s="16" t="str">
        <f aca="false">SUMIFS('Reguler Class Availability'!$G:$G,'Reguler Class Availability'!$A:$A,$B$4,'Reguler Class Availability'!$F:$F,"&gt;0")&amp;" / "&amp;SUMIFS('Reguler Class Availability'!$F:$F,'Reguler Class Availability'!$A:$A,$B$4,'Reguler Class Availability'!$F:$F,"&gt;0")</f>
        <v>828 / 1567</v>
      </c>
      <c r="D7" s="17" t="n">
        <f aca="false">COUNTIF($R$1:$X$1000,"Belum terisi")</f>
        <v>62</v>
      </c>
      <c r="E7" s="18" t="n">
        <f aca="false">COUNTIF($R$1:$X$1000,"Kosong")</f>
        <v>56</v>
      </c>
      <c r="F7" s="19" t="n">
        <f aca="false">COUNTIF($R$1:$X$1000,"Penuh")</f>
        <v>131</v>
      </c>
      <c r="G7" s="20" t="n">
        <f aca="false">COUNTIF($R$1:$X$1000,"Lebih")</f>
        <v>24</v>
      </c>
      <c r="H7" s="21" t="n">
        <f aca="false">COUNTIF($R$1:$X$1000,"Tutup")</f>
        <v>46</v>
      </c>
      <c r="Z7" s="4" t="s">
        <v>19</v>
      </c>
      <c r="AA7" s="4" t="n">
        <f aca="false">IF(COUNTIFS('Reguler Class Availability'!$L:$L,$B$4&amp;"|- Lane 1 - *|"&amp;Z7)&gt;0,1,0)</f>
        <v>0</v>
      </c>
      <c r="AB7" s="4" t="n">
        <f aca="false">AA7+AB6</f>
        <v>0</v>
      </c>
    </row>
    <row r="8" customFormat="false" ht="15" hidden="false" customHeight="false" outlineLevel="0" collapsed="false">
      <c r="Z8" s="0" t="s">
        <v>20</v>
      </c>
      <c r="AA8" s="0" t="n">
        <f aca="false">IF(COUNTIFS('Reguler Class Availability'!$L:$L,$B$4&amp;"|- Lane 1 - *|"&amp;Z8)&gt;0,1,0)</f>
        <v>1</v>
      </c>
      <c r="AB8" s="0" t="n">
        <f aca="false">AA8+AB7</f>
        <v>1</v>
      </c>
    </row>
    <row r="9" customFormat="false" ht="25.5" hidden="false" customHeight="true" outlineLevel="0" collapsed="false">
      <c r="A9" s="8" t="s">
        <v>21</v>
      </c>
      <c r="B9" s="22" t="s">
        <v>22</v>
      </c>
      <c r="C9" s="23" t="s">
        <v>23</v>
      </c>
      <c r="D9" s="24" t="s">
        <v>24</v>
      </c>
      <c r="E9" s="25" t="s">
        <v>25</v>
      </c>
      <c r="F9" s="26" t="s">
        <v>15</v>
      </c>
      <c r="G9" s="27" t="s">
        <v>16</v>
      </c>
      <c r="H9" s="28" t="s">
        <v>26</v>
      </c>
      <c r="Z9" s="4" t="s">
        <v>27</v>
      </c>
      <c r="AA9" s="4" t="n">
        <f aca="false">IF(COUNTIFS('Reguler Class Availability'!$L:$L,$B$4&amp;"|- Lane 1 - *|"&amp;Z9)&gt;0,1,0)</f>
        <v>0</v>
      </c>
      <c r="AB9" s="4" t="n">
        <f aca="false">AA9+AB8</f>
        <v>1</v>
      </c>
    </row>
    <row r="10" customFormat="false" ht="15" hidden="false" customHeight="false" outlineLevel="0" collapsed="false">
      <c r="A10" s="8" t="s">
        <v>28</v>
      </c>
      <c r="B10" s="29" t="s">
        <v>29</v>
      </c>
      <c r="C10" s="30" t="s">
        <v>30</v>
      </c>
      <c r="D10" s="31" t="s">
        <v>31</v>
      </c>
      <c r="E10" s="32" t="s">
        <v>32</v>
      </c>
      <c r="F10" s="33" t="s">
        <v>33</v>
      </c>
      <c r="Z10" s="4" t="s">
        <v>34</v>
      </c>
      <c r="AA10" s="4" t="n">
        <f aca="false">IF(COUNTIFS('Reguler Class Availability'!$L:$L,$B$4&amp;"|- Lane 1 - *|"&amp;Z10)&gt;0,1,0)</f>
        <v>0</v>
      </c>
      <c r="AB10" s="4" t="n">
        <f aca="false">AA10+AB9</f>
        <v>1</v>
      </c>
    </row>
    <row r="11" customFormat="false" ht="15" hidden="false" customHeight="false" outlineLevel="0" collapsed="false">
      <c r="Z11" s="0" t="s">
        <v>35</v>
      </c>
      <c r="AA11" s="0" t="n">
        <f aca="false">IF(COUNTIFS('Reguler Class Availability'!$L:$L,$B$4&amp;"|- Lane 1 - *|"&amp;Z11)&gt;0,1,0)</f>
        <v>1</v>
      </c>
      <c r="AB11" s="0" t="n">
        <f aca="false">AA11+AB10</f>
        <v>2</v>
      </c>
    </row>
    <row r="12" customFormat="false" ht="15" hidden="false" customHeight="false" outlineLevel="0" collapsed="false">
      <c r="A12" s="34" t="s">
        <v>36</v>
      </c>
      <c r="B12" s="35"/>
      <c r="C12" s="36" t="str">
        <f aca="false">"Utilisasi lane: "&amp;IFERROR(TEXT(SUMIFS('Reguler Class Availability'!$G:$G,'Reguler Class Availability'!$A:$A,$B$4,'Reguler Class Availability'!$C:$C,"- Lane 1 - *",'Reguler Class Availability'!$F:$F,"&gt;0")/SUMIFS('Reguler Class Availability'!$F:$F,'Reguler Class Availability'!$A:$A,$B$4,'Reguler Class Availability'!$C:$C,"- Lane 1 - *",'Reguler Class Availability'!$F:$F,"&gt;0"),"0%"),"–")&amp;"   ·   Belum terisi: "&amp;COUNTIF($R$14:$X$29,"Belum terisi")&amp;"   ·   Slot kosong: "&amp;COUNTIF($R$14:$X$29,"Kosong")</f>
        <v>Utilisasi lane: 30%   ·   Belum terisi: 15   ·   Slot kosong: 27</v>
      </c>
      <c r="D12" s="35"/>
      <c r="E12" s="35"/>
      <c r="F12" s="35"/>
      <c r="G12" s="35"/>
      <c r="H12" s="35"/>
      <c r="Z12" s="4" t="s">
        <v>37</v>
      </c>
      <c r="AA12" s="4" t="n">
        <f aca="false">IF(COUNTIFS('Reguler Class Availability'!$L:$L,$B$4&amp;"|- Lane 1 - *|"&amp;Z12)&gt;0,1,0)</f>
        <v>0</v>
      </c>
      <c r="AB12" s="4" t="n">
        <f aca="false">AA12+AB11</f>
        <v>2</v>
      </c>
    </row>
    <row r="13" customFormat="false" ht="15" hidden="false" customHeight="false" outlineLevel="0" collapsed="false">
      <c r="A13" s="37" t="s">
        <v>38</v>
      </c>
      <c r="B13" s="38" t="s">
        <v>39</v>
      </c>
      <c r="C13" s="38" t="s">
        <v>40</v>
      </c>
      <c r="D13" s="38" t="s">
        <v>41</v>
      </c>
      <c r="E13" s="38" t="s">
        <v>42</v>
      </c>
      <c r="F13" s="38" t="s">
        <v>43</v>
      </c>
      <c r="G13" s="38" t="s">
        <v>44</v>
      </c>
      <c r="H13" s="38" t="s">
        <v>45</v>
      </c>
      <c r="Z13" s="4" t="s">
        <v>46</v>
      </c>
      <c r="AA13" s="4" t="n">
        <f aca="false">IF(COUNTIFS('Reguler Class Availability'!$L:$L,$B$4&amp;"|- Lane 1 - *|"&amp;Z13)&gt;0,1,0)</f>
        <v>0</v>
      </c>
      <c r="AB13" s="4" t="n">
        <f aca="false">AA13+AB12</f>
        <v>2</v>
      </c>
    </row>
    <row r="14" customFormat="false" ht="39.75" hidden="false" customHeight="true" outlineLevel="0" collapsed="false">
      <c r="A14" s="39" t="str">
        <f aca="false">IFERROR(INDEX($Z$2:$Z$61,MATCH(1,$AB$2:$AB$61,0)),"")</f>
        <v>07:30</v>
      </c>
      <c r="B14" s="40" t="str">
        <f aca="false">IF(J14="","",IF(R14="Tidak dibuka","–",IF(INDEX('Reguler Class Availability'!$B:$B,J14)&amp;""="","Kosong",PROPER(INDEX('Reguler Class Availability'!$B:$B,J14)&amp;""))&amp;"  "&amp;IFERROR(--(INDEX('Reguler Class Availability'!$G:$G,J14)&amp;""),0)&amp;"/"&amp;IFERROR(--(INDEX('Reguler Class Availability'!$F:$F,J14)&amp;""),0)&amp;IF(IFERROR(--(INDEX('Reguler Class Availability'!$F:$F,J14)&amp;""),0)&gt;0,"  ("&amp;TEXT(IFERROR(--(INDEX('Reguler Class Availability'!$G:$G,J14)&amp;""),0)/IFERROR(--(INDEX('Reguler Class Availability'!$F:$F,J14)&amp;""),0),"0%")&amp;")","")&amp;CHAR(10)&amp;IF(INDEX('Reguler Class Availability'!$I:$I,J14)&amp;""="","coach: –",PROPER(INDEX('Reguler Class Availability'!$I:$I,J14)&amp;""))&amp;IF(INDEX('Reguler Class Availability'!$J:$J,J14)&amp;""="","",CHAR(10)&amp;"asst: "&amp;PROPER(INDEX('Reguler Class Availability'!$J:$J,J14)&amp;""))))</f>
        <v>Star  0/8  (0%)
coach: –</v>
      </c>
      <c r="C14" s="40" t="str">
        <f aca="false">IF(K14="","",IF(S14="Tidak dibuka","–",IF(INDEX('Reguler Class Availability'!$B:$B,K14)&amp;""="","Kosong",PROPER(INDEX('Reguler Class Availability'!$B:$B,K14)&amp;""))&amp;"  "&amp;IFERROR(--(INDEX('Reguler Class Availability'!$G:$G,K14)&amp;""),0)&amp;"/"&amp;IFERROR(--(INDEX('Reguler Class Availability'!$F:$F,K14)&amp;""),0)&amp;IF(IFERROR(--(INDEX('Reguler Class Availability'!$F:$F,K14)&amp;""),0)&gt;0,"  ("&amp;TEXT(IFERROR(--(INDEX('Reguler Class Availability'!$G:$G,K14)&amp;""),0)/IFERROR(--(INDEX('Reguler Class Availability'!$F:$F,K14)&amp;""),0),"0%")&amp;")","")&amp;CHAR(10)&amp;IF(INDEX('Reguler Class Availability'!$I:$I,K14)&amp;""="","coach: –",PROPER(INDEX('Reguler Class Availability'!$I:$I,K14)&amp;""))&amp;IF(INDEX('Reguler Class Availability'!$J:$J,K14)&amp;""="","",CHAR(10)&amp;"asst: "&amp;PROPER(INDEX('Reguler Class Availability'!$J:$J,K14)&amp;""))))</f>
        <v>Star  0/8  (0%)
coach: –</v>
      </c>
      <c r="D14" s="40" t="str">
        <f aca="false">IF(L14="","",IF(T14="Tidak dibuka","–",IF(INDEX('Reguler Class Availability'!$B:$B,L14)&amp;""="","Kosong",PROPER(INDEX('Reguler Class Availability'!$B:$B,L14)&amp;""))&amp;"  "&amp;IFERROR(--(INDEX('Reguler Class Availability'!$G:$G,L14)&amp;""),0)&amp;"/"&amp;IFERROR(--(INDEX('Reguler Class Availability'!$F:$F,L14)&amp;""),0)&amp;IF(IFERROR(--(INDEX('Reguler Class Availability'!$F:$F,L14)&amp;""),0)&gt;0,"  ("&amp;TEXT(IFERROR(--(INDEX('Reguler Class Availability'!$G:$G,L14)&amp;""),0)/IFERROR(--(INDEX('Reguler Class Availability'!$F:$F,L14)&amp;""),0),"0%")&amp;")","")&amp;CHAR(10)&amp;IF(INDEX('Reguler Class Availability'!$I:$I,L14)&amp;""="","coach: –",PROPER(INDEX('Reguler Class Availability'!$I:$I,L14)&amp;""))&amp;IF(INDEX('Reguler Class Availability'!$J:$J,L14)&amp;""="","",CHAR(10)&amp;"asst: "&amp;PROPER(INDEX('Reguler Class Availability'!$J:$J,L14)&amp;""))))</f>
        <v>Star  0/8  (0%)
coach: –</v>
      </c>
      <c r="E14" s="40" t="str">
        <f aca="false">IF(M14="","",IF(U14="Tidak dibuka","–",IF(INDEX('Reguler Class Availability'!$B:$B,M14)&amp;""="","Kosong",PROPER(INDEX('Reguler Class Availability'!$B:$B,M14)&amp;""))&amp;"  "&amp;IFERROR(--(INDEX('Reguler Class Availability'!$G:$G,M14)&amp;""),0)&amp;"/"&amp;IFERROR(--(INDEX('Reguler Class Availability'!$F:$F,M14)&amp;""),0)&amp;IF(IFERROR(--(INDEX('Reguler Class Availability'!$F:$F,M14)&amp;""),0)&gt;0,"  ("&amp;TEXT(IFERROR(--(INDEX('Reguler Class Availability'!$G:$G,M14)&amp;""),0)/IFERROR(--(INDEX('Reguler Class Availability'!$F:$F,M14)&amp;""),0),"0%")&amp;")","")&amp;CHAR(10)&amp;IF(INDEX('Reguler Class Availability'!$I:$I,M14)&amp;""="","coach: –",PROPER(INDEX('Reguler Class Availability'!$I:$I,M14)&amp;""))&amp;IF(INDEX('Reguler Class Availability'!$J:$J,M14)&amp;""="","",CHAR(10)&amp;"asst: "&amp;PROPER(INDEX('Reguler Class Availability'!$J:$J,M14)&amp;""))))</f>
        <v>Star  0/8  (0%)
coach: –</v>
      </c>
      <c r="F14" s="40" t="str">
        <f aca="false">IF(N14="","",IF(V14="Tidak dibuka","–",IF(INDEX('Reguler Class Availability'!$B:$B,N14)&amp;""="","Kosong",PROPER(INDEX('Reguler Class Availability'!$B:$B,N14)&amp;""))&amp;"  "&amp;IFERROR(--(INDEX('Reguler Class Availability'!$G:$G,N14)&amp;""),0)&amp;"/"&amp;IFERROR(--(INDEX('Reguler Class Availability'!$F:$F,N14)&amp;""),0)&amp;IF(IFERROR(--(INDEX('Reguler Class Availability'!$F:$F,N14)&amp;""),0)&gt;0,"  ("&amp;TEXT(IFERROR(--(INDEX('Reguler Class Availability'!$G:$G,N14)&amp;""),0)/IFERROR(--(INDEX('Reguler Class Availability'!$F:$F,N14)&amp;""),0),"0%")&amp;")","")&amp;CHAR(10)&amp;IF(INDEX('Reguler Class Availability'!$I:$I,N14)&amp;""="","coach: –",PROPER(INDEX('Reguler Class Availability'!$I:$I,N14)&amp;""))&amp;IF(INDEX('Reguler Class Availability'!$J:$J,N14)&amp;""="","",CHAR(10)&amp;"asst: "&amp;PROPER(INDEX('Reguler Class Availability'!$J:$J,N14)&amp;""))))</f>
        <v>Star  0/8  (0%)
coach: –</v>
      </c>
      <c r="G14" s="40" t="str">
        <f aca="false">IF(O14="","",IF(W14="Tidak dibuka","–",IF(INDEX('Reguler Class Availability'!$B:$B,O14)&amp;""="","Kosong",PROPER(INDEX('Reguler Class Availability'!$B:$B,O14)&amp;""))&amp;"  "&amp;IFERROR(--(INDEX('Reguler Class Availability'!$G:$G,O14)&amp;""),0)&amp;"/"&amp;IFERROR(--(INDEX('Reguler Class Availability'!$F:$F,O14)&amp;""),0)&amp;IF(IFERROR(--(INDEX('Reguler Class Availability'!$F:$F,O14)&amp;""),0)&gt;0,"  ("&amp;TEXT(IFERROR(--(INDEX('Reguler Class Availability'!$G:$G,O14)&amp;""),0)/IFERROR(--(INDEX('Reguler Class Availability'!$F:$F,O14)&amp;""),0),"0%")&amp;")","")&amp;CHAR(10)&amp;IF(INDEX('Reguler Class Availability'!$I:$I,O14)&amp;""="","coach: –",PROPER(INDEX('Reguler Class Availability'!$I:$I,O14)&amp;""))&amp;IF(INDEX('Reguler Class Availability'!$J:$J,O14)&amp;""="","",CHAR(10)&amp;"asst: "&amp;PROPER(INDEX('Reguler Class Availability'!$J:$J,O14)&amp;""))))</f>
        <v>Star  0/8  (0%)
coach: –</v>
      </c>
      <c r="H14" s="40" t="str">
        <f aca="false">IF(P14="","",IF(X14="Tidak dibuka","–",IF(INDEX('Reguler Class Availability'!$B:$B,P14)&amp;""="","Kosong",PROPER(INDEX('Reguler Class Availability'!$B:$B,P14)&amp;""))&amp;"  "&amp;IFERROR(--(INDEX('Reguler Class Availability'!$G:$G,P14)&amp;""),0)&amp;"/"&amp;IFERROR(--(INDEX('Reguler Class Availability'!$F:$F,P14)&amp;""),0)&amp;IF(IFERROR(--(INDEX('Reguler Class Availability'!$F:$F,P14)&amp;""),0)&gt;0,"  ("&amp;TEXT(IFERROR(--(INDEX('Reguler Class Availability'!$G:$G,P14)&amp;""),0)/IFERROR(--(INDEX('Reguler Class Availability'!$F:$F,P14)&amp;""),0),"0%")&amp;")","")&amp;CHAR(10)&amp;IF(INDEX('Reguler Class Availability'!$I:$I,P14)&amp;""="","coach: –",PROPER(INDEX('Reguler Class Availability'!$I:$I,P14)&amp;""))&amp;IF(INDEX('Reguler Class Availability'!$J:$J,P14)&amp;""="","",CHAR(10)&amp;"asst: "&amp;PROPER(INDEX('Reguler Class Availability'!$J:$J,P14)&amp;""))))</f>
        <v>Star  0/8  (0%)
coach: –</v>
      </c>
      <c r="J14" s="4" t="n">
        <f aca="false">IF($A14="","",IFERROR(MATCH($B$4&amp;"|- Lane 1 - "&amp;B$13&amp;"|"&amp;$A14,'Reguler Class Availability'!$L:$L,0),""))</f>
        <v>86</v>
      </c>
      <c r="K14" s="4" t="n">
        <f aca="false">IF($A14="","",IFERROR(MATCH($B$4&amp;"|- Lane 1 - "&amp;C$13&amp;"|"&amp;$A14,'Reguler Class Availability'!$L:$L,0),""))</f>
        <v>87</v>
      </c>
      <c r="L14" s="4" t="n">
        <f aca="false">IF($A14="","",IFERROR(MATCH($B$4&amp;"|- Lane 1 - "&amp;D$13&amp;"|"&amp;$A14,'Reguler Class Availability'!$L:$L,0),""))</f>
        <v>88</v>
      </c>
      <c r="M14" s="4" t="n">
        <f aca="false">IF($A14="","",IFERROR(MATCH($B$4&amp;"|- Lane 1 - "&amp;E$13&amp;"|"&amp;$A14,'Reguler Class Availability'!$L:$L,0),""))</f>
        <v>89</v>
      </c>
      <c r="N14" s="4" t="n">
        <f aca="false">IF($A14="","",IFERROR(MATCH($B$4&amp;"|- Lane 1 - "&amp;F$13&amp;"|"&amp;$A14,'Reguler Class Availability'!$L:$L,0),""))</f>
        <v>90</v>
      </c>
      <c r="O14" s="4" t="n">
        <f aca="false">IF($A14="","",IFERROR(MATCH($B$4&amp;"|- Lane 1 - "&amp;G$13&amp;"|"&amp;$A14,'Reguler Class Availability'!$L:$L,0),""))</f>
        <v>91</v>
      </c>
      <c r="P14" s="4" t="n">
        <f aca="false">IF($A14="","",IFERROR(MATCH($B$4&amp;"|- Lane 1 - "&amp;H$13&amp;"|"&amp;$A14,'Reguler Class Availability'!$L:$L,0),""))</f>
        <v>92</v>
      </c>
      <c r="R14" s="0" t="str">
        <f aca="false">IF(J14="","",IF(AND(IFERROR(--(INDEX('Reguler Class Availability'!$F:$F,J14)&amp;""),0)=0,IFERROR(--(INDEX('Reguler Class Availability'!$G:$G,J14)&amp;""),0)=0),IF(OR(INDEX('Reguler Class Availability'!$B:$B,J14)&amp;""&lt;&gt;"",INDEX('Reguler Class Availability'!$I:$I,J14)&amp;""&lt;&gt;""),"Tutup","Tidak dibuka"),IF(IFERROR(--(INDEX('Reguler Class Availability'!$G:$G,J14)&amp;""),0)&gt;IFERROR(--(INDEX('Reguler Class Availability'!$F:$F,J14)&amp;""),0),"Lebih",IF(IFERROR(--(INDEX('Reguler Class Availability'!$G:$G,J14)&amp;""),0)=IFERROR(--(INDEX('Reguler Class Availability'!$F:$F,J14)&amp;""),0),"Penuh",IF(IFERROR(--(INDEX('Reguler Class Availability'!$G:$G,J14)&amp;""),0)=0,IF(INDEX('Reguler Class Availability'!$B:$B,J14)&amp;""="","Kosong","Belum terisi"),IF(IFERROR(--(INDEX('Reguler Class Availability'!$G:$G,J14)&amp;""),0)/IFERROR(--(INDEX('Reguler Class Availability'!$F:$F,J14)&amp;""),0)&gt;=0.6,"Tinggi","Sebagian"))))))</f>
        <v>Belum terisi</v>
      </c>
      <c r="S14" s="0" t="str">
        <f aca="false">IF(K14="","",IF(AND(IFERROR(--(INDEX('Reguler Class Availability'!$F:$F,K14)&amp;""),0)=0,IFERROR(--(INDEX('Reguler Class Availability'!$G:$G,K14)&amp;""),0)=0),IF(OR(INDEX('Reguler Class Availability'!$B:$B,K14)&amp;""&lt;&gt;"",INDEX('Reguler Class Availability'!$I:$I,K14)&amp;""&lt;&gt;""),"Tutup","Tidak dibuka"),IF(IFERROR(--(INDEX('Reguler Class Availability'!$G:$G,K14)&amp;""),0)&gt;IFERROR(--(INDEX('Reguler Class Availability'!$F:$F,K14)&amp;""),0),"Lebih",IF(IFERROR(--(INDEX('Reguler Class Availability'!$G:$G,K14)&amp;""),0)=IFERROR(--(INDEX('Reguler Class Availability'!$F:$F,K14)&amp;""),0),"Penuh",IF(IFERROR(--(INDEX('Reguler Class Availability'!$G:$G,K14)&amp;""),0)=0,IF(INDEX('Reguler Class Availability'!$B:$B,K14)&amp;""="","Kosong","Belum terisi"),IF(IFERROR(--(INDEX('Reguler Class Availability'!$G:$G,K14)&amp;""),0)/IFERROR(--(INDEX('Reguler Class Availability'!$F:$F,K14)&amp;""),0)&gt;=0.6,"Tinggi","Sebagian"))))))</f>
        <v>Belum terisi</v>
      </c>
      <c r="T14" s="0" t="str">
        <f aca="false">IF(L14="","",IF(AND(IFERROR(--(INDEX('Reguler Class Availability'!$F:$F,L14)&amp;""),0)=0,IFERROR(--(INDEX('Reguler Class Availability'!$G:$G,L14)&amp;""),0)=0),IF(OR(INDEX('Reguler Class Availability'!$B:$B,L14)&amp;""&lt;&gt;"",INDEX('Reguler Class Availability'!$I:$I,L14)&amp;""&lt;&gt;""),"Tutup","Tidak dibuka"),IF(IFERROR(--(INDEX('Reguler Class Availability'!$G:$G,L14)&amp;""),0)&gt;IFERROR(--(INDEX('Reguler Class Availability'!$F:$F,L14)&amp;""),0),"Lebih",IF(IFERROR(--(INDEX('Reguler Class Availability'!$G:$G,L14)&amp;""),0)=IFERROR(--(INDEX('Reguler Class Availability'!$F:$F,L14)&amp;""),0),"Penuh",IF(IFERROR(--(INDEX('Reguler Class Availability'!$G:$G,L14)&amp;""),0)=0,IF(INDEX('Reguler Class Availability'!$B:$B,L14)&amp;""="","Kosong","Belum terisi"),IF(IFERROR(--(INDEX('Reguler Class Availability'!$G:$G,L14)&amp;""),0)/IFERROR(--(INDEX('Reguler Class Availability'!$F:$F,L14)&amp;""),0)&gt;=0.6,"Tinggi","Sebagian"))))))</f>
        <v>Belum terisi</v>
      </c>
      <c r="U14" s="0" t="str">
        <f aca="false">IF(M14="","",IF(AND(IFERROR(--(INDEX('Reguler Class Availability'!$F:$F,M14)&amp;""),0)=0,IFERROR(--(INDEX('Reguler Class Availability'!$G:$G,M14)&amp;""),0)=0),IF(OR(INDEX('Reguler Class Availability'!$B:$B,M14)&amp;""&lt;&gt;"",INDEX('Reguler Class Availability'!$I:$I,M14)&amp;""&lt;&gt;""),"Tutup","Tidak dibuka"),IF(IFERROR(--(INDEX('Reguler Class Availability'!$G:$G,M14)&amp;""),0)&gt;IFERROR(--(INDEX('Reguler Class Availability'!$F:$F,M14)&amp;""),0),"Lebih",IF(IFERROR(--(INDEX('Reguler Class Availability'!$G:$G,M14)&amp;""),0)=IFERROR(--(INDEX('Reguler Class Availability'!$F:$F,M14)&amp;""),0),"Penuh",IF(IFERROR(--(INDEX('Reguler Class Availability'!$G:$G,M14)&amp;""),0)=0,IF(INDEX('Reguler Class Availability'!$B:$B,M14)&amp;""="","Kosong","Belum terisi"),IF(IFERROR(--(INDEX('Reguler Class Availability'!$G:$G,M14)&amp;""),0)/IFERROR(--(INDEX('Reguler Class Availability'!$F:$F,M14)&amp;""),0)&gt;=0.6,"Tinggi","Sebagian"))))))</f>
        <v>Belum terisi</v>
      </c>
      <c r="V14" s="0" t="str">
        <f aca="false">IF(N14="","",IF(AND(IFERROR(--(INDEX('Reguler Class Availability'!$F:$F,N14)&amp;""),0)=0,IFERROR(--(INDEX('Reguler Class Availability'!$G:$G,N14)&amp;""),0)=0),IF(OR(INDEX('Reguler Class Availability'!$B:$B,N14)&amp;""&lt;&gt;"",INDEX('Reguler Class Availability'!$I:$I,N14)&amp;""&lt;&gt;""),"Tutup","Tidak dibuka"),IF(IFERROR(--(INDEX('Reguler Class Availability'!$G:$G,N14)&amp;""),0)&gt;IFERROR(--(INDEX('Reguler Class Availability'!$F:$F,N14)&amp;""),0),"Lebih",IF(IFERROR(--(INDEX('Reguler Class Availability'!$G:$G,N14)&amp;""),0)=IFERROR(--(INDEX('Reguler Class Availability'!$F:$F,N14)&amp;""),0),"Penuh",IF(IFERROR(--(INDEX('Reguler Class Availability'!$G:$G,N14)&amp;""),0)=0,IF(INDEX('Reguler Class Availability'!$B:$B,N14)&amp;""="","Kosong","Belum terisi"),IF(IFERROR(--(INDEX('Reguler Class Availability'!$G:$G,N14)&amp;""),0)/IFERROR(--(INDEX('Reguler Class Availability'!$F:$F,N14)&amp;""),0)&gt;=0.6,"Tinggi","Sebagian"))))))</f>
        <v>Belum terisi</v>
      </c>
      <c r="W14" s="0" t="str">
        <f aca="false">IF(O14="","",IF(AND(IFERROR(--(INDEX('Reguler Class Availability'!$F:$F,O14)&amp;""),0)=0,IFERROR(--(INDEX('Reguler Class Availability'!$G:$G,O14)&amp;""),0)=0),IF(OR(INDEX('Reguler Class Availability'!$B:$B,O14)&amp;""&lt;&gt;"",INDEX('Reguler Class Availability'!$I:$I,O14)&amp;""&lt;&gt;""),"Tutup","Tidak dibuka"),IF(IFERROR(--(INDEX('Reguler Class Availability'!$G:$G,O14)&amp;""),0)&gt;IFERROR(--(INDEX('Reguler Class Availability'!$F:$F,O14)&amp;""),0),"Lebih",IF(IFERROR(--(INDEX('Reguler Class Availability'!$G:$G,O14)&amp;""),0)=IFERROR(--(INDEX('Reguler Class Availability'!$F:$F,O14)&amp;""),0),"Penuh",IF(IFERROR(--(INDEX('Reguler Class Availability'!$G:$G,O14)&amp;""),0)=0,IF(INDEX('Reguler Class Availability'!$B:$B,O14)&amp;""="","Kosong","Belum terisi"),IF(IFERROR(--(INDEX('Reguler Class Availability'!$G:$G,O14)&amp;""),0)/IFERROR(--(INDEX('Reguler Class Availability'!$F:$F,O14)&amp;""),0)&gt;=0.6,"Tinggi","Sebagian"))))))</f>
        <v>Belum terisi</v>
      </c>
      <c r="X14" s="0" t="str">
        <f aca="false">IF(P14="","",IF(AND(IFERROR(--(INDEX('Reguler Class Availability'!$F:$F,P14)&amp;""),0)=0,IFERROR(--(INDEX('Reguler Class Availability'!$G:$G,P14)&amp;""),0)=0),IF(OR(INDEX('Reguler Class Availability'!$B:$B,P14)&amp;""&lt;&gt;"",INDEX('Reguler Class Availability'!$I:$I,P14)&amp;""&lt;&gt;""),"Tutup","Tidak dibuka"),IF(IFERROR(--(INDEX('Reguler Class Availability'!$G:$G,P14)&amp;""),0)&gt;IFERROR(--(INDEX('Reguler Class Availability'!$F:$F,P14)&amp;""),0),"Lebih",IF(IFERROR(--(INDEX('Reguler Class Availability'!$G:$G,P14)&amp;""),0)=IFERROR(--(INDEX('Reguler Class Availability'!$F:$F,P14)&amp;""),0),"Penuh",IF(IFERROR(--(INDEX('Reguler Class Availability'!$G:$G,P14)&amp;""),0)=0,IF(INDEX('Reguler Class Availability'!$B:$B,P14)&amp;""="","Kosong","Belum terisi"),IF(IFERROR(--(INDEX('Reguler Class Availability'!$G:$G,P14)&amp;""),0)/IFERROR(--(INDEX('Reguler Class Availability'!$F:$F,P14)&amp;""),0)&gt;=0.6,"Tinggi","Sebagian"))))))</f>
        <v>Belum terisi</v>
      </c>
      <c r="Z14" s="4" t="s">
        <v>47</v>
      </c>
      <c r="AA14" s="4" t="n">
        <f aca="false">IF(COUNTIFS('Reguler Class Availability'!$L:$L,$B$4&amp;"|- Lane 1 - *|"&amp;Z14)&gt;0,1,0)</f>
        <v>1</v>
      </c>
      <c r="AB14" s="4" t="n">
        <f aca="false">AA14+AB13</f>
        <v>3</v>
      </c>
    </row>
    <row r="15" customFormat="false" ht="39.75" hidden="false" customHeight="true" outlineLevel="0" collapsed="false">
      <c r="A15" s="39" t="str">
        <f aca="false">IFERROR(INDEX($Z$2:$Z$61,MATCH(2,$AB$2:$AB$61,0)),"")</f>
        <v>08:15</v>
      </c>
      <c r="B15" s="40" t="str">
        <f aca="false">IF(J15="","",IF(R15="Tidak dibuka","–",IF(INDEX('Reguler Class Availability'!$B:$B,J15)&amp;""="","Kosong",PROPER(INDEX('Reguler Class Availability'!$B:$B,J15)&amp;""))&amp;"  "&amp;IFERROR(--(INDEX('Reguler Class Availability'!$G:$G,J15)&amp;""),0)&amp;"/"&amp;IFERROR(--(INDEX('Reguler Class Availability'!$F:$F,J15)&amp;""),0)&amp;IF(IFERROR(--(INDEX('Reguler Class Availability'!$F:$F,J15)&amp;""),0)&gt;0,"  ("&amp;TEXT(IFERROR(--(INDEX('Reguler Class Availability'!$G:$G,J15)&amp;""),0)/IFERROR(--(INDEX('Reguler Class Availability'!$F:$F,J15)&amp;""),0),"0%")&amp;")","")&amp;CHAR(10)&amp;IF(INDEX('Reguler Class Availability'!$I:$I,J15)&amp;""="","coach: –",PROPER(INDEX('Reguler Class Availability'!$I:$I,J15)&amp;""))&amp;IF(INDEX('Reguler Class Availability'!$J:$J,J15)&amp;""="","",CHAR(10)&amp;"asst: "&amp;PROPER(INDEX('Reguler Class Availability'!$J:$J,J15)&amp;""))))</f>
        <v>–</v>
      </c>
      <c r="C15" s="40" t="str">
        <f aca="false">IF(K15="","",IF(S15="Tidak dibuka","–",IF(INDEX('Reguler Class Availability'!$B:$B,K15)&amp;""="","Kosong",PROPER(INDEX('Reguler Class Availability'!$B:$B,K15)&amp;""))&amp;"  "&amp;IFERROR(--(INDEX('Reguler Class Availability'!$G:$G,K15)&amp;""),0)&amp;"/"&amp;IFERROR(--(INDEX('Reguler Class Availability'!$F:$F,K15)&amp;""),0)&amp;IF(IFERROR(--(INDEX('Reguler Class Availability'!$F:$F,K15)&amp;""),0)&gt;0,"  ("&amp;TEXT(IFERROR(--(INDEX('Reguler Class Availability'!$G:$G,K15)&amp;""),0)/IFERROR(--(INDEX('Reguler Class Availability'!$F:$F,K15)&amp;""),0),"0%")&amp;")","")&amp;CHAR(10)&amp;IF(INDEX('Reguler Class Availability'!$I:$I,K15)&amp;""="","coach: –",PROPER(INDEX('Reguler Class Availability'!$I:$I,K15)&amp;""))&amp;IF(INDEX('Reguler Class Availability'!$J:$J,K15)&amp;""="","",CHAR(10)&amp;"asst: "&amp;PROPER(INDEX('Reguler Class Availability'!$J:$J,K15)&amp;""))))</f>
        <v>–</v>
      </c>
      <c r="D15" s="40" t="str">
        <f aca="false">IF(L15="","",IF(T15="Tidak dibuka","–",IF(INDEX('Reguler Class Availability'!$B:$B,L15)&amp;""="","Kosong",PROPER(INDEX('Reguler Class Availability'!$B:$B,L15)&amp;""))&amp;"  "&amp;IFERROR(--(INDEX('Reguler Class Availability'!$G:$G,L15)&amp;""),0)&amp;"/"&amp;IFERROR(--(INDEX('Reguler Class Availability'!$F:$F,L15)&amp;""),0)&amp;IF(IFERROR(--(INDEX('Reguler Class Availability'!$F:$F,L15)&amp;""),0)&gt;0,"  ("&amp;TEXT(IFERROR(--(INDEX('Reguler Class Availability'!$G:$G,L15)&amp;""),0)/IFERROR(--(INDEX('Reguler Class Availability'!$F:$F,L15)&amp;""),0),"0%")&amp;")","")&amp;CHAR(10)&amp;IF(INDEX('Reguler Class Availability'!$I:$I,L15)&amp;""="","coach: –",PROPER(INDEX('Reguler Class Availability'!$I:$I,L15)&amp;""))&amp;IF(INDEX('Reguler Class Availability'!$J:$J,L15)&amp;""="","",CHAR(10)&amp;"asst: "&amp;PROPER(INDEX('Reguler Class Availability'!$J:$J,L15)&amp;""))))</f>
        <v>–</v>
      </c>
      <c r="E15" s="40" t="str">
        <f aca="false">IF(M15="","",IF(U15="Tidak dibuka","–",IF(INDEX('Reguler Class Availability'!$B:$B,M15)&amp;""="","Kosong",PROPER(INDEX('Reguler Class Availability'!$B:$B,M15)&amp;""))&amp;"  "&amp;IFERROR(--(INDEX('Reguler Class Availability'!$G:$G,M15)&amp;""),0)&amp;"/"&amp;IFERROR(--(INDEX('Reguler Class Availability'!$F:$F,M15)&amp;""),0)&amp;IF(IFERROR(--(INDEX('Reguler Class Availability'!$F:$F,M15)&amp;""),0)&gt;0,"  ("&amp;TEXT(IFERROR(--(INDEX('Reguler Class Availability'!$G:$G,M15)&amp;""),0)/IFERROR(--(INDEX('Reguler Class Availability'!$F:$F,M15)&amp;""),0),"0%")&amp;")","")&amp;CHAR(10)&amp;IF(INDEX('Reguler Class Availability'!$I:$I,M15)&amp;""="","coach: –",PROPER(INDEX('Reguler Class Availability'!$I:$I,M15)&amp;""))&amp;IF(INDEX('Reguler Class Availability'!$J:$J,M15)&amp;""="","",CHAR(10)&amp;"asst: "&amp;PROPER(INDEX('Reguler Class Availability'!$J:$J,M15)&amp;""))))</f>
        <v>–</v>
      </c>
      <c r="F15" s="40" t="str">
        <f aca="false">IF(N15="","",IF(V15="Tidak dibuka","–",IF(INDEX('Reguler Class Availability'!$B:$B,N15)&amp;""="","Kosong",PROPER(INDEX('Reguler Class Availability'!$B:$B,N15)&amp;""))&amp;"  "&amp;IFERROR(--(INDEX('Reguler Class Availability'!$G:$G,N15)&amp;""),0)&amp;"/"&amp;IFERROR(--(INDEX('Reguler Class Availability'!$F:$F,N15)&amp;""),0)&amp;IF(IFERROR(--(INDEX('Reguler Class Availability'!$F:$F,N15)&amp;""),0)&gt;0,"  ("&amp;TEXT(IFERROR(--(INDEX('Reguler Class Availability'!$G:$G,N15)&amp;""),0)/IFERROR(--(INDEX('Reguler Class Availability'!$F:$F,N15)&amp;""),0),"0%")&amp;")","")&amp;CHAR(10)&amp;IF(INDEX('Reguler Class Availability'!$I:$I,N15)&amp;""="","coach: –",PROPER(INDEX('Reguler Class Availability'!$I:$I,N15)&amp;""))&amp;IF(INDEX('Reguler Class Availability'!$J:$J,N15)&amp;""="","",CHAR(10)&amp;"asst: "&amp;PROPER(INDEX('Reguler Class Availability'!$J:$J,N15)&amp;""))))</f>
        <v>–</v>
      </c>
      <c r="G15" s="40" t="str">
        <f aca="false">IF(O15="","",IF(W15="Tidak dibuka","–",IF(INDEX('Reguler Class Availability'!$B:$B,O15)&amp;""="","Kosong",PROPER(INDEX('Reguler Class Availability'!$B:$B,O15)&amp;""))&amp;"  "&amp;IFERROR(--(INDEX('Reguler Class Availability'!$G:$G,O15)&amp;""),0)&amp;"/"&amp;IFERROR(--(INDEX('Reguler Class Availability'!$F:$F,O15)&amp;""),0)&amp;IF(IFERROR(--(INDEX('Reguler Class Availability'!$F:$F,O15)&amp;""),0)&gt;0,"  ("&amp;TEXT(IFERROR(--(INDEX('Reguler Class Availability'!$G:$G,O15)&amp;""),0)/IFERROR(--(INDEX('Reguler Class Availability'!$F:$F,O15)&amp;""),0),"0%")&amp;")","")&amp;CHAR(10)&amp;IF(INDEX('Reguler Class Availability'!$I:$I,O15)&amp;""="","coach: –",PROPER(INDEX('Reguler Class Availability'!$I:$I,O15)&amp;""))&amp;IF(INDEX('Reguler Class Availability'!$J:$J,O15)&amp;""="","",CHAR(10)&amp;"asst: "&amp;PROPER(INDEX('Reguler Class Availability'!$J:$J,O15)&amp;""))))</f>
        <v>–</v>
      </c>
      <c r="H15" s="40" t="str">
        <f aca="false">IF(P15="","",IF(X15="Tidak dibuka","–",IF(INDEX('Reguler Class Availability'!$B:$B,P15)&amp;""="","Kosong",PROPER(INDEX('Reguler Class Availability'!$B:$B,P15)&amp;""))&amp;"  "&amp;IFERROR(--(INDEX('Reguler Class Availability'!$G:$G,P15)&amp;""),0)&amp;"/"&amp;IFERROR(--(INDEX('Reguler Class Availability'!$F:$F,P15)&amp;""),0)&amp;IF(IFERROR(--(INDEX('Reguler Class Availability'!$F:$F,P15)&amp;""),0)&gt;0,"  ("&amp;TEXT(IFERROR(--(INDEX('Reguler Class Availability'!$G:$G,P15)&amp;""),0)/IFERROR(--(INDEX('Reguler Class Availability'!$F:$F,P15)&amp;""),0),"0%")&amp;")","")&amp;CHAR(10)&amp;IF(INDEX('Reguler Class Availability'!$I:$I,P15)&amp;""="","coach: –",PROPER(INDEX('Reguler Class Availability'!$I:$I,P15)&amp;""))&amp;IF(INDEX('Reguler Class Availability'!$J:$J,P15)&amp;""="","",CHAR(10)&amp;"asst: "&amp;PROPER(INDEX('Reguler Class Availability'!$J:$J,P15)&amp;""))))</f>
        <v>–</v>
      </c>
      <c r="J15" s="4" t="n">
        <f aca="false">IF($A15="","",IFERROR(MATCH($B$4&amp;"|- Lane 1 - "&amp;B$13&amp;"|"&amp;$A15,'Reguler Class Availability'!$L:$L,0),""))</f>
        <v>2</v>
      </c>
      <c r="K15" s="4" t="n">
        <f aca="false">IF($A15="","",IFERROR(MATCH($B$4&amp;"|- Lane 1 - "&amp;C$13&amp;"|"&amp;$A15,'Reguler Class Availability'!$L:$L,0),""))</f>
        <v>14</v>
      </c>
      <c r="L15" s="4" t="n">
        <f aca="false">IF($A15="","",IFERROR(MATCH($B$4&amp;"|- Lane 1 - "&amp;D$13&amp;"|"&amp;$A15,'Reguler Class Availability'!$L:$L,0),""))</f>
        <v>26</v>
      </c>
      <c r="M15" s="4" t="n">
        <f aca="false">IF($A15="","",IFERROR(MATCH($B$4&amp;"|- Lane 1 - "&amp;E$13&amp;"|"&amp;$A15,'Reguler Class Availability'!$L:$L,0),""))</f>
        <v>38</v>
      </c>
      <c r="N15" s="4" t="n">
        <f aca="false">IF($A15="","",IFERROR(MATCH($B$4&amp;"|- Lane 1 - "&amp;F$13&amp;"|"&amp;$A15,'Reguler Class Availability'!$L:$L,0),""))</f>
        <v>50</v>
      </c>
      <c r="O15" s="4" t="n">
        <f aca="false">IF($A15="","",IFERROR(MATCH($B$4&amp;"|- Lane 1 - "&amp;G$13&amp;"|"&amp;$A15,'Reguler Class Availability'!$L:$L,0),""))</f>
        <v>62</v>
      </c>
      <c r="P15" s="4" t="n">
        <f aca="false">IF($A15="","",IFERROR(MATCH($B$4&amp;"|- Lane 1 - "&amp;H$13&amp;"|"&amp;$A15,'Reguler Class Availability'!$L:$L,0),""))</f>
        <v>74</v>
      </c>
      <c r="R15" s="0" t="str">
        <f aca="false">IF(J15="","",IF(AND(IFERROR(--(INDEX('Reguler Class Availability'!$F:$F,J15)&amp;""),0)=0,IFERROR(--(INDEX('Reguler Class Availability'!$G:$G,J15)&amp;""),0)=0),IF(OR(INDEX('Reguler Class Availability'!$B:$B,J15)&amp;""&lt;&gt;"",INDEX('Reguler Class Availability'!$I:$I,J15)&amp;""&lt;&gt;""),"Tutup","Tidak dibuka"),IF(IFERROR(--(INDEX('Reguler Class Availability'!$G:$G,J15)&amp;""),0)&gt;IFERROR(--(INDEX('Reguler Class Availability'!$F:$F,J15)&amp;""),0),"Lebih",IF(IFERROR(--(INDEX('Reguler Class Availability'!$G:$G,J15)&amp;""),0)=IFERROR(--(INDEX('Reguler Class Availability'!$F:$F,J15)&amp;""),0),"Penuh",IF(IFERROR(--(INDEX('Reguler Class Availability'!$G:$G,J15)&amp;""),0)=0,IF(INDEX('Reguler Class Availability'!$B:$B,J15)&amp;""="","Kosong","Belum terisi"),IF(IFERROR(--(INDEX('Reguler Class Availability'!$G:$G,J15)&amp;""),0)/IFERROR(--(INDEX('Reguler Class Availability'!$F:$F,J15)&amp;""),0)&gt;=0.6,"Tinggi","Sebagian"))))))</f>
        <v>Tidak dibuka</v>
      </c>
      <c r="S15" s="0" t="str">
        <f aca="false">IF(K15="","",IF(AND(IFERROR(--(INDEX('Reguler Class Availability'!$F:$F,K15)&amp;""),0)=0,IFERROR(--(INDEX('Reguler Class Availability'!$G:$G,K15)&amp;""),0)=0),IF(OR(INDEX('Reguler Class Availability'!$B:$B,K15)&amp;""&lt;&gt;"",INDEX('Reguler Class Availability'!$I:$I,K15)&amp;""&lt;&gt;""),"Tutup","Tidak dibuka"),IF(IFERROR(--(INDEX('Reguler Class Availability'!$G:$G,K15)&amp;""),0)&gt;IFERROR(--(INDEX('Reguler Class Availability'!$F:$F,K15)&amp;""),0),"Lebih",IF(IFERROR(--(INDEX('Reguler Class Availability'!$G:$G,K15)&amp;""),0)=IFERROR(--(INDEX('Reguler Class Availability'!$F:$F,K15)&amp;""),0),"Penuh",IF(IFERROR(--(INDEX('Reguler Class Availability'!$G:$G,K15)&amp;""),0)=0,IF(INDEX('Reguler Class Availability'!$B:$B,K15)&amp;""="","Kosong","Belum terisi"),IF(IFERROR(--(INDEX('Reguler Class Availability'!$G:$G,K15)&amp;""),0)/IFERROR(--(INDEX('Reguler Class Availability'!$F:$F,K15)&amp;""),0)&gt;=0.6,"Tinggi","Sebagian"))))))</f>
        <v>Tidak dibuka</v>
      </c>
      <c r="T15" s="0" t="str">
        <f aca="false">IF(L15="","",IF(AND(IFERROR(--(INDEX('Reguler Class Availability'!$F:$F,L15)&amp;""),0)=0,IFERROR(--(INDEX('Reguler Class Availability'!$G:$G,L15)&amp;""),0)=0),IF(OR(INDEX('Reguler Class Availability'!$B:$B,L15)&amp;""&lt;&gt;"",INDEX('Reguler Class Availability'!$I:$I,L15)&amp;""&lt;&gt;""),"Tutup","Tidak dibuka"),IF(IFERROR(--(INDEX('Reguler Class Availability'!$G:$G,L15)&amp;""),0)&gt;IFERROR(--(INDEX('Reguler Class Availability'!$F:$F,L15)&amp;""),0),"Lebih",IF(IFERROR(--(INDEX('Reguler Class Availability'!$G:$G,L15)&amp;""),0)=IFERROR(--(INDEX('Reguler Class Availability'!$F:$F,L15)&amp;""),0),"Penuh",IF(IFERROR(--(INDEX('Reguler Class Availability'!$G:$G,L15)&amp;""),0)=0,IF(INDEX('Reguler Class Availability'!$B:$B,L15)&amp;""="","Kosong","Belum terisi"),IF(IFERROR(--(INDEX('Reguler Class Availability'!$G:$G,L15)&amp;""),0)/IFERROR(--(INDEX('Reguler Class Availability'!$F:$F,L15)&amp;""),0)&gt;=0.6,"Tinggi","Sebagian"))))))</f>
        <v>Tidak dibuka</v>
      </c>
      <c r="U15" s="0" t="str">
        <f aca="false">IF(M15="","",IF(AND(IFERROR(--(INDEX('Reguler Class Availability'!$F:$F,M15)&amp;""),0)=0,IFERROR(--(INDEX('Reguler Class Availability'!$G:$G,M15)&amp;""),0)=0),IF(OR(INDEX('Reguler Class Availability'!$B:$B,M15)&amp;""&lt;&gt;"",INDEX('Reguler Class Availability'!$I:$I,M15)&amp;""&lt;&gt;""),"Tutup","Tidak dibuka"),IF(IFERROR(--(INDEX('Reguler Class Availability'!$G:$G,M15)&amp;""),0)&gt;IFERROR(--(INDEX('Reguler Class Availability'!$F:$F,M15)&amp;""),0),"Lebih",IF(IFERROR(--(INDEX('Reguler Class Availability'!$G:$G,M15)&amp;""),0)=IFERROR(--(INDEX('Reguler Class Availability'!$F:$F,M15)&amp;""),0),"Penuh",IF(IFERROR(--(INDEX('Reguler Class Availability'!$G:$G,M15)&amp;""),0)=0,IF(INDEX('Reguler Class Availability'!$B:$B,M15)&amp;""="","Kosong","Belum terisi"),IF(IFERROR(--(INDEX('Reguler Class Availability'!$G:$G,M15)&amp;""),0)/IFERROR(--(INDEX('Reguler Class Availability'!$F:$F,M15)&amp;""),0)&gt;=0.6,"Tinggi","Sebagian"))))))</f>
        <v>Tidak dibuka</v>
      </c>
      <c r="V15" s="0" t="str">
        <f aca="false">IF(N15="","",IF(AND(IFERROR(--(INDEX('Reguler Class Availability'!$F:$F,N15)&amp;""),0)=0,IFERROR(--(INDEX('Reguler Class Availability'!$G:$G,N15)&amp;""),0)=0),IF(OR(INDEX('Reguler Class Availability'!$B:$B,N15)&amp;""&lt;&gt;"",INDEX('Reguler Class Availability'!$I:$I,N15)&amp;""&lt;&gt;""),"Tutup","Tidak dibuka"),IF(IFERROR(--(INDEX('Reguler Class Availability'!$G:$G,N15)&amp;""),0)&gt;IFERROR(--(INDEX('Reguler Class Availability'!$F:$F,N15)&amp;""),0),"Lebih",IF(IFERROR(--(INDEX('Reguler Class Availability'!$G:$G,N15)&amp;""),0)=IFERROR(--(INDEX('Reguler Class Availability'!$F:$F,N15)&amp;""),0),"Penuh",IF(IFERROR(--(INDEX('Reguler Class Availability'!$G:$G,N15)&amp;""),0)=0,IF(INDEX('Reguler Class Availability'!$B:$B,N15)&amp;""="","Kosong","Belum terisi"),IF(IFERROR(--(INDEX('Reguler Class Availability'!$G:$G,N15)&amp;""),0)/IFERROR(--(INDEX('Reguler Class Availability'!$F:$F,N15)&amp;""),0)&gt;=0.6,"Tinggi","Sebagian"))))))</f>
        <v>Tidak dibuka</v>
      </c>
      <c r="W15" s="0" t="str">
        <f aca="false">IF(O15="","",IF(AND(IFERROR(--(INDEX('Reguler Class Availability'!$F:$F,O15)&amp;""),0)=0,IFERROR(--(INDEX('Reguler Class Availability'!$G:$G,O15)&amp;""),0)=0),IF(OR(INDEX('Reguler Class Availability'!$B:$B,O15)&amp;""&lt;&gt;"",INDEX('Reguler Class Availability'!$I:$I,O15)&amp;""&lt;&gt;""),"Tutup","Tidak dibuka"),IF(IFERROR(--(INDEX('Reguler Class Availability'!$G:$G,O15)&amp;""),0)&gt;IFERROR(--(INDEX('Reguler Class Availability'!$F:$F,O15)&amp;""),0),"Lebih",IF(IFERROR(--(INDEX('Reguler Class Availability'!$G:$G,O15)&amp;""),0)=IFERROR(--(INDEX('Reguler Class Availability'!$F:$F,O15)&amp;""),0),"Penuh",IF(IFERROR(--(INDEX('Reguler Class Availability'!$G:$G,O15)&amp;""),0)=0,IF(INDEX('Reguler Class Availability'!$B:$B,O15)&amp;""="","Kosong","Belum terisi"),IF(IFERROR(--(INDEX('Reguler Class Availability'!$G:$G,O15)&amp;""),0)/IFERROR(--(INDEX('Reguler Class Availability'!$F:$F,O15)&amp;""),0)&gt;=0.6,"Tinggi","Sebagian"))))))</f>
        <v>Tidak dibuka</v>
      </c>
      <c r="X15" s="0" t="str">
        <f aca="false">IF(P15="","",IF(AND(IFERROR(--(INDEX('Reguler Class Availability'!$F:$F,P15)&amp;""),0)=0,IFERROR(--(INDEX('Reguler Class Availability'!$G:$G,P15)&amp;""),0)=0),IF(OR(INDEX('Reguler Class Availability'!$B:$B,P15)&amp;""&lt;&gt;"",INDEX('Reguler Class Availability'!$I:$I,P15)&amp;""&lt;&gt;""),"Tutup","Tidak dibuka"),IF(IFERROR(--(INDEX('Reguler Class Availability'!$G:$G,P15)&amp;""),0)&gt;IFERROR(--(INDEX('Reguler Class Availability'!$F:$F,P15)&amp;""),0),"Lebih",IF(IFERROR(--(INDEX('Reguler Class Availability'!$G:$G,P15)&amp;""),0)=IFERROR(--(INDEX('Reguler Class Availability'!$F:$F,P15)&amp;""),0),"Penuh",IF(IFERROR(--(INDEX('Reguler Class Availability'!$G:$G,P15)&amp;""),0)=0,IF(INDEX('Reguler Class Availability'!$B:$B,P15)&amp;""="","Kosong","Belum terisi"),IF(IFERROR(--(INDEX('Reguler Class Availability'!$G:$G,P15)&amp;""),0)/IFERROR(--(INDEX('Reguler Class Availability'!$F:$F,P15)&amp;""),0)&gt;=0.6,"Tinggi","Sebagian"))))))</f>
        <v>Tidak dibuka</v>
      </c>
      <c r="Z15" s="4" t="s">
        <v>48</v>
      </c>
      <c r="AA15" s="4" t="n">
        <f aca="false">IF(COUNTIFS('Reguler Class Availability'!$L:$L,$B$4&amp;"|- Lane 1 - *|"&amp;Z15)&gt;0,1,0)</f>
        <v>0</v>
      </c>
      <c r="AB15" s="4" t="n">
        <f aca="false">AA15+AB14</f>
        <v>3</v>
      </c>
    </row>
    <row r="16" customFormat="false" ht="39.75" hidden="false" customHeight="true" outlineLevel="0" collapsed="false">
      <c r="A16" s="39" t="str">
        <f aca="false">IFERROR(INDEX($Z$2:$Z$61,MATCH(3,$AB$2:$AB$61,0)),"")</f>
        <v>09:00</v>
      </c>
      <c r="B16" s="40" t="str">
        <f aca="false">IF(J16="","",IF(R16="Tidak dibuka","–",IF(INDEX('Reguler Class Availability'!$B:$B,J16)&amp;""="","Kosong",PROPER(INDEX('Reguler Class Availability'!$B:$B,J16)&amp;""))&amp;"  "&amp;IFERROR(--(INDEX('Reguler Class Availability'!$G:$G,J16)&amp;""),0)&amp;"/"&amp;IFERROR(--(INDEX('Reguler Class Availability'!$F:$F,J16)&amp;""),0)&amp;IF(IFERROR(--(INDEX('Reguler Class Availability'!$F:$F,J16)&amp;""),0)&gt;0,"  ("&amp;TEXT(IFERROR(--(INDEX('Reguler Class Availability'!$G:$G,J16)&amp;""),0)/IFERROR(--(INDEX('Reguler Class Availability'!$F:$F,J16)&amp;""),0),"0%")&amp;")","")&amp;CHAR(10)&amp;IF(INDEX('Reguler Class Availability'!$I:$I,J16)&amp;""="","coach: –",PROPER(INDEX('Reguler Class Availability'!$I:$I,J16)&amp;""))&amp;IF(INDEX('Reguler Class Availability'!$J:$J,J16)&amp;""="","",CHAR(10)&amp;"asst: "&amp;PROPER(INDEX('Reguler Class Availability'!$J:$J,J16)&amp;""))))</f>
        <v>Kosong  0/5  (0%)
coach: –</v>
      </c>
      <c r="C16" s="40" t="str">
        <f aca="false">IF(K16="","",IF(S16="Tidak dibuka","–",IF(INDEX('Reguler Class Availability'!$B:$B,K16)&amp;""="","Kosong",PROPER(INDEX('Reguler Class Availability'!$B:$B,K16)&amp;""))&amp;"  "&amp;IFERROR(--(INDEX('Reguler Class Availability'!$G:$G,K16)&amp;""),0)&amp;"/"&amp;IFERROR(--(INDEX('Reguler Class Availability'!$F:$F,K16)&amp;""),0)&amp;IF(IFERROR(--(INDEX('Reguler Class Availability'!$F:$F,K16)&amp;""),0)&gt;0,"  ("&amp;TEXT(IFERROR(--(INDEX('Reguler Class Availability'!$G:$G,K16)&amp;""),0)/IFERROR(--(INDEX('Reguler Class Availability'!$F:$F,K16)&amp;""),0),"0%")&amp;")","")&amp;CHAR(10)&amp;IF(INDEX('Reguler Class Availability'!$I:$I,K16)&amp;""="","coach: –",PROPER(INDEX('Reguler Class Availability'!$I:$I,K16)&amp;""))&amp;IF(INDEX('Reguler Class Availability'!$J:$J,K16)&amp;""="","",CHAR(10)&amp;"asst: "&amp;PROPER(INDEX('Reguler Class Availability'!$J:$J,K16)&amp;""))))</f>
        <v>Kosong  0/5  (0%)
coach: –</v>
      </c>
      <c r="D16" s="40" t="str">
        <f aca="false">IF(L16="","",IF(T16="Tidak dibuka","–",IF(INDEX('Reguler Class Availability'!$B:$B,L16)&amp;""="","Kosong",PROPER(INDEX('Reguler Class Availability'!$B:$B,L16)&amp;""))&amp;"  "&amp;IFERROR(--(INDEX('Reguler Class Availability'!$G:$G,L16)&amp;""),0)&amp;"/"&amp;IFERROR(--(INDEX('Reguler Class Availability'!$F:$F,L16)&amp;""),0)&amp;IF(IFERROR(--(INDEX('Reguler Class Availability'!$F:$F,L16)&amp;""),0)&gt;0,"  ("&amp;TEXT(IFERROR(--(INDEX('Reguler Class Availability'!$G:$G,L16)&amp;""),0)/IFERROR(--(INDEX('Reguler Class Availability'!$F:$F,L16)&amp;""),0),"0%")&amp;")","")&amp;CHAR(10)&amp;IF(INDEX('Reguler Class Availability'!$I:$I,L16)&amp;""="","coach: –",PROPER(INDEX('Reguler Class Availability'!$I:$I,L16)&amp;""))&amp;IF(INDEX('Reguler Class Availability'!$J:$J,L16)&amp;""="","",CHAR(10)&amp;"asst: "&amp;PROPER(INDEX('Reguler Class Availability'!$J:$J,L16)&amp;""))))</f>
        <v>Baby  5/5  (100%)
Nuky</v>
      </c>
      <c r="E16" s="40" t="str">
        <f aca="false">IF(M16="","",IF(U16="Tidak dibuka","–",IF(INDEX('Reguler Class Availability'!$B:$B,M16)&amp;""="","Kosong",PROPER(INDEX('Reguler Class Availability'!$B:$B,M16)&amp;""))&amp;"  "&amp;IFERROR(--(INDEX('Reguler Class Availability'!$G:$G,M16)&amp;""),0)&amp;"/"&amp;IFERROR(--(INDEX('Reguler Class Availability'!$F:$F,M16)&amp;""),0)&amp;IF(IFERROR(--(INDEX('Reguler Class Availability'!$F:$F,M16)&amp;""),0)&gt;0,"  ("&amp;TEXT(IFERROR(--(INDEX('Reguler Class Availability'!$G:$G,M16)&amp;""),0)/IFERROR(--(INDEX('Reguler Class Availability'!$F:$F,M16)&amp;""),0),"0%")&amp;")","")&amp;CHAR(10)&amp;IF(INDEX('Reguler Class Availability'!$I:$I,M16)&amp;""="","coach: –",PROPER(INDEX('Reguler Class Availability'!$I:$I,M16)&amp;""))&amp;IF(INDEX('Reguler Class Availability'!$J:$J,M16)&amp;""="","",CHAR(10)&amp;"asst: "&amp;PROPER(INDEX('Reguler Class Availability'!$J:$J,M16)&amp;""))))</f>
        <v>Kosong  0/5  (0%)
coach: –</v>
      </c>
      <c r="F16" s="40" t="str">
        <f aca="false">IF(N16="","",IF(V16="Tidak dibuka","–",IF(INDEX('Reguler Class Availability'!$B:$B,N16)&amp;""="","Kosong",PROPER(INDEX('Reguler Class Availability'!$B:$B,N16)&amp;""))&amp;"  "&amp;IFERROR(--(INDEX('Reguler Class Availability'!$G:$G,N16)&amp;""),0)&amp;"/"&amp;IFERROR(--(INDEX('Reguler Class Availability'!$F:$F,N16)&amp;""),0)&amp;IF(IFERROR(--(INDEX('Reguler Class Availability'!$F:$F,N16)&amp;""),0)&gt;0,"  ("&amp;TEXT(IFERROR(--(INDEX('Reguler Class Availability'!$G:$G,N16)&amp;""),0)/IFERROR(--(INDEX('Reguler Class Availability'!$F:$F,N16)&amp;""),0),"0%")&amp;")","")&amp;CHAR(10)&amp;IF(INDEX('Reguler Class Availability'!$I:$I,N16)&amp;""="","coach: –",PROPER(INDEX('Reguler Class Availability'!$I:$I,N16)&amp;""))&amp;IF(INDEX('Reguler Class Availability'!$J:$J,N16)&amp;""="","",CHAR(10)&amp;"asst: "&amp;PROPER(INDEX('Reguler Class Availability'!$J:$J,N16)&amp;""))))</f>
        <v>Baby  5/5  (100%)
Surya</v>
      </c>
      <c r="G16" s="40" t="str">
        <f aca="false">IF(O16="","",IF(W16="Tidak dibuka","–",IF(INDEX('Reguler Class Availability'!$B:$B,O16)&amp;""="","Kosong",PROPER(INDEX('Reguler Class Availability'!$B:$B,O16)&amp;""))&amp;"  "&amp;IFERROR(--(INDEX('Reguler Class Availability'!$G:$G,O16)&amp;""),0)&amp;"/"&amp;IFERROR(--(INDEX('Reguler Class Availability'!$F:$F,O16)&amp;""),0)&amp;IF(IFERROR(--(INDEX('Reguler Class Availability'!$F:$F,O16)&amp;""),0)&gt;0,"  ("&amp;TEXT(IFERROR(--(INDEX('Reguler Class Availability'!$G:$G,O16)&amp;""),0)/IFERROR(--(INDEX('Reguler Class Availability'!$F:$F,O16)&amp;""),0),"0%")&amp;")","")&amp;CHAR(10)&amp;IF(INDEX('Reguler Class Availability'!$I:$I,O16)&amp;""="","coach: –",PROPER(INDEX('Reguler Class Availability'!$I:$I,O16)&amp;""))&amp;IF(INDEX('Reguler Class Availability'!$J:$J,O16)&amp;""="","",CHAR(10)&amp;"asst: "&amp;PROPER(INDEX('Reguler Class Availability'!$J:$J,O16)&amp;""))))</f>
        <v>Baby  5/5  (100%)
Eka</v>
      </c>
      <c r="H16" s="40" t="str">
        <f aca="false">IF(P16="","",IF(X16="Tidak dibuka","–",IF(INDEX('Reguler Class Availability'!$B:$B,P16)&amp;""="","Kosong",PROPER(INDEX('Reguler Class Availability'!$B:$B,P16)&amp;""))&amp;"  "&amp;IFERROR(--(INDEX('Reguler Class Availability'!$G:$G,P16)&amp;""),0)&amp;"/"&amp;IFERROR(--(INDEX('Reguler Class Availability'!$F:$F,P16)&amp;""),0)&amp;IF(IFERROR(--(INDEX('Reguler Class Availability'!$F:$F,P16)&amp;""),0)&gt;0,"  ("&amp;TEXT(IFERROR(--(INDEX('Reguler Class Availability'!$G:$G,P16)&amp;""),0)/IFERROR(--(INDEX('Reguler Class Availability'!$F:$F,P16)&amp;""),0),"0%")&amp;")","")&amp;CHAR(10)&amp;IF(INDEX('Reguler Class Availability'!$I:$I,P16)&amp;""="","coach: –",PROPER(INDEX('Reguler Class Availability'!$I:$I,P16)&amp;""))&amp;IF(INDEX('Reguler Class Availability'!$J:$J,P16)&amp;""="","",CHAR(10)&amp;"asst: "&amp;PROPER(INDEX('Reguler Class Availability'!$J:$J,P16)&amp;""))))</f>
        <v>Baby  5/5  (100%)
Rischa</v>
      </c>
      <c r="J16" s="4" t="n">
        <f aca="false">IF($A16="","",IFERROR(MATCH($B$4&amp;"|- Lane 1 - "&amp;B$13&amp;"|"&amp;$A16,'Reguler Class Availability'!$L:$L,0),""))</f>
        <v>3</v>
      </c>
      <c r="K16" s="4" t="n">
        <f aca="false">IF($A16="","",IFERROR(MATCH($B$4&amp;"|- Lane 1 - "&amp;C$13&amp;"|"&amp;$A16,'Reguler Class Availability'!$L:$L,0),""))</f>
        <v>15</v>
      </c>
      <c r="L16" s="4" t="n">
        <f aca="false">IF($A16="","",IFERROR(MATCH($B$4&amp;"|- Lane 1 - "&amp;D$13&amp;"|"&amp;$A16,'Reguler Class Availability'!$L:$L,0),""))</f>
        <v>27</v>
      </c>
      <c r="M16" s="4" t="n">
        <f aca="false">IF($A16="","",IFERROR(MATCH($B$4&amp;"|- Lane 1 - "&amp;E$13&amp;"|"&amp;$A16,'Reguler Class Availability'!$L:$L,0),""))</f>
        <v>39</v>
      </c>
      <c r="N16" s="4" t="n">
        <f aca="false">IF($A16="","",IFERROR(MATCH($B$4&amp;"|- Lane 1 - "&amp;F$13&amp;"|"&amp;$A16,'Reguler Class Availability'!$L:$L,0),""))</f>
        <v>51</v>
      </c>
      <c r="O16" s="4" t="n">
        <f aca="false">IF($A16="","",IFERROR(MATCH($B$4&amp;"|- Lane 1 - "&amp;G$13&amp;"|"&amp;$A16,'Reguler Class Availability'!$L:$L,0),""))</f>
        <v>63</v>
      </c>
      <c r="P16" s="4" t="n">
        <f aca="false">IF($A16="","",IFERROR(MATCH($B$4&amp;"|- Lane 1 - "&amp;H$13&amp;"|"&amp;$A16,'Reguler Class Availability'!$L:$L,0),""))</f>
        <v>75</v>
      </c>
      <c r="R16" s="0" t="str">
        <f aca="false">IF(J16="","",IF(AND(IFERROR(--(INDEX('Reguler Class Availability'!$F:$F,J16)&amp;""),0)=0,IFERROR(--(INDEX('Reguler Class Availability'!$G:$G,J16)&amp;""),0)=0),IF(OR(INDEX('Reguler Class Availability'!$B:$B,J16)&amp;""&lt;&gt;"",INDEX('Reguler Class Availability'!$I:$I,J16)&amp;""&lt;&gt;""),"Tutup","Tidak dibuka"),IF(IFERROR(--(INDEX('Reguler Class Availability'!$G:$G,J16)&amp;""),0)&gt;IFERROR(--(INDEX('Reguler Class Availability'!$F:$F,J16)&amp;""),0),"Lebih",IF(IFERROR(--(INDEX('Reguler Class Availability'!$G:$G,J16)&amp;""),0)=IFERROR(--(INDEX('Reguler Class Availability'!$F:$F,J16)&amp;""),0),"Penuh",IF(IFERROR(--(INDEX('Reguler Class Availability'!$G:$G,J16)&amp;""),0)=0,IF(INDEX('Reguler Class Availability'!$B:$B,J16)&amp;""="","Kosong","Belum terisi"),IF(IFERROR(--(INDEX('Reguler Class Availability'!$G:$G,J16)&amp;""),0)/IFERROR(--(INDEX('Reguler Class Availability'!$F:$F,J16)&amp;""),0)&gt;=0.6,"Tinggi","Sebagian"))))))</f>
        <v>Kosong</v>
      </c>
      <c r="S16" s="0" t="str">
        <f aca="false">IF(K16="","",IF(AND(IFERROR(--(INDEX('Reguler Class Availability'!$F:$F,K16)&amp;""),0)=0,IFERROR(--(INDEX('Reguler Class Availability'!$G:$G,K16)&amp;""),0)=0),IF(OR(INDEX('Reguler Class Availability'!$B:$B,K16)&amp;""&lt;&gt;"",INDEX('Reguler Class Availability'!$I:$I,K16)&amp;""&lt;&gt;""),"Tutup","Tidak dibuka"),IF(IFERROR(--(INDEX('Reguler Class Availability'!$G:$G,K16)&amp;""),0)&gt;IFERROR(--(INDEX('Reguler Class Availability'!$F:$F,K16)&amp;""),0),"Lebih",IF(IFERROR(--(INDEX('Reguler Class Availability'!$G:$G,K16)&amp;""),0)=IFERROR(--(INDEX('Reguler Class Availability'!$F:$F,K16)&amp;""),0),"Penuh",IF(IFERROR(--(INDEX('Reguler Class Availability'!$G:$G,K16)&amp;""),0)=0,IF(INDEX('Reguler Class Availability'!$B:$B,K16)&amp;""="","Kosong","Belum terisi"),IF(IFERROR(--(INDEX('Reguler Class Availability'!$G:$G,K16)&amp;""),0)/IFERROR(--(INDEX('Reguler Class Availability'!$F:$F,K16)&amp;""),0)&gt;=0.6,"Tinggi","Sebagian"))))))</f>
        <v>Kosong</v>
      </c>
      <c r="T16" s="0" t="str">
        <f aca="false">IF(L16="","",IF(AND(IFERROR(--(INDEX('Reguler Class Availability'!$F:$F,L16)&amp;""),0)=0,IFERROR(--(INDEX('Reguler Class Availability'!$G:$G,L16)&amp;""),0)=0),IF(OR(INDEX('Reguler Class Availability'!$B:$B,L16)&amp;""&lt;&gt;"",INDEX('Reguler Class Availability'!$I:$I,L16)&amp;""&lt;&gt;""),"Tutup","Tidak dibuka"),IF(IFERROR(--(INDEX('Reguler Class Availability'!$G:$G,L16)&amp;""),0)&gt;IFERROR(--(INDEX('Reguler Class Availability'!$F:$F,L16)&amp;""),0),"Lebih",IF(IFERROR(--(INDEX('Reguler Class Availability'!$G:$G,L16)&amp;""),0)=IFERROR(--(INDEX('Reguler Class Availability'!$F:$F,L16)&amp;""),0),"Penuh",IF(IFERROR(--(INDEX('Reguler Class Availability'!$G:$G,L16)&amp;""),0)=0,IF(INDEX('Reguler Class Availability'!$B:$B,L16)&amp;""="","Kosong","Belum terisi"),IF(IFERROR(--(INDEX('Reguler Class Availability'!$G:$G,L16)&amp;""),0)/IFERROR(--(INDEX('Reguler Class Availability'!$F:$F,L16)&amp;""),0)&gt;=0.6,"Tinggi","Sebagian"))))))</f>
        <v>Penuh</v>
      </c>
      <c r="U16" s="0" t="str">
        <f aca="false">IF(M16="","",IF(AND(IFERROR(--(INDEX('Reguler Class Availability'!$F:$F,M16)&amp;""),0)=0,IFERROR(--(INDEX('Reguler Class Availability'!$G:$G,M16)&amp;""),0)=0),IF(OR(INDEX('Reguler Class Availability'!$B:$B,M16)&amp;""&lt;&gt;"",INDEX('Reguler Class Availability'!$I:$I,M16)&amp;""&lt;&gt;""),"Tutup","Tidak dibuka"),IF(IFERROR(--(INDEX('Reguler Class Availability'!$G:$G,M16)&amp;""),0)&gt;IFERROR(--(INDEX('Reguler Class Availability'!$F:$F,M16)&amp;""),0),"Lebih",IF(IFERROR(--(INDEX('Reguler Class Availability'!$G:$G,M16)&amp;""),0)=IFERROR(--(INDEX('Reguler Class Availability'!$F:$F,M16)&amp;""),0),"Penuh",IF(IFERROR(--(INDEX('Reguler Class Availability'!$G:$G,M16)&amp;""),0)=0,IF(INDEX('Reguler Class Availability'!$B:$B,M16)&amp;""="","Kosong","Belum terisi"),IF(IFERROR(--(INDEX('Reguler Class Availability'!$G:$G,M16)&amp;""),0)/IFERROR(--(INDEX('Reguler Class Availability'!$F:$F,M16)&amp;""),0)&gt;=0.6,"Tinggi","Sebagian"))))))</f>
        <v>Kosong</v>
      </c>
      <c r="V16" s="0" t="str">
        <f aca="false">IF(N16="","",IF(AND(IFERROR(--(INDEX('Reguler Class Availability'!$F:$F,N16)&amp;""),0)=0,IFERROR(--(INDEX('Reguler Class Availability'!$G:$G,N16)&amp;""),0)=0),IF(OR(INDEX('Reguler Class Availability'!$B:$B,N16)&amp;""&lt;&gt;"",INDEX('Reguler Class Availability'!$I:$I,N16)&amp;""&lt;&gt;""),"Tutup","Tidak dibuka"),IF(IFERROR(--(INDEX('Reguler Class Availability'!$G:$G,N16)&amp;""),0)&gt;IFERROR(--(INDEX('Reguler Class Availability'!$F:$F,N16)&amp;""),0),"Lebih",IF(IFERROR(--(INDEX('Reguler Class Availability'!$G:$G,N16)&amp;""),0)=IFERROR(--(INDEX('Reguler Class Availability'!$F:$F,N16)&amp;""),0),"Penuh",IF(IFERROR(--(INDEX('Reguler Class Availability'!$G:$G,N16)&amp;""),0)=0,IF(INDEX('Reguler Class Availability'!$B:$B,N16)&amp;""="","Kosong","Belum terisi"),IF(IFERROR(--(INDEX('Reguler Class Availability'!$G:$G,N16)&amp;""),0)/IFERROR(--(INDEX('Reguler Class Availability'!$F:$F,N16)&amp;""),0)&gt;=0.6,"Tinggi","Sebagian"))))))</f>
        <v>Penuh</v>
      </c>
      <c r="W16" s="0" t="str">
        <f aca="false">IF(O16="","",IF(AND(IFERROR(--(INDEX('Reguler Class Availability'!$F:$F,O16)&amp;""),0)=0,IFERROR(--(INDEX('Reguler Class Availability'!$G:$G,O16)&amp;""),0)=0),IF(OR(INDEX('Reguler Class Availability'!$B:$B,O16)&amp;""&lt;&gt;"",INDEX('Reguler Class Availability'!$I:$I,O16)&amp;""&lt;&gt;""),"Tutup","Tidak dibuka"),IF(IFERROR(--(INDEX('Reguler Class Availability'!$G:$G,O16)&amp;""),0)&gt;IFERROR(--(INDEX('Reguler Class Availability'!$F:$F,O16)&amp;""),0),"Lebih",IF(IFERROR(--(INDEX('Reguler Class Availability'!$G:$G,O16)&amp;""),0)=IFERROR(--(INDEX('Reguler Class Availability'!$F:$F,O16)&amp;""),0),"Penuh",IF(IFERROR(--(INDEX('Reguler Class Availability'!$G:$G,O16)&amp;""),0)=0,IF(INDEX('Reguler Class Availability'!$B:$B,O16)&amp;""="","Kosong","Belum terisi"),IF(IFERROR(--(INDEX('Reguler Class Availability'!$G:$G,O16)&amp;""),0)/IFERROR(--(INDEX('Reguler Class Availability'!$F:$F,O16)&amp;""),0)&gt;=0.6,"Tinggi","Sebagian"))))))</f>
        <v>Penuh</v>
      </c>
      <c r="X16" s="0" t="str">
        <f aca="false">IF(P16="","",IF(AND(IFERROR(--(INDEX('Reguler Class Availability'!$F:$F,P16)&amp;""),0)=0,IFERROR(--(INDEX('Reguler Class Availability'!$G:$G,P16)&amp;""),0)=0),IF(OR(INDEX('Reguler Class Availability'!$B:$B,P16)&amp;""&lt;&gt;"",INDEX('Reguler Class Availability'!$I:$I,P16)&amp;""&lt;&gt;""),"Tutup","Tidak dibuka"),IF(IFERROR(--(INDEX('Reguler Class Availability'!$G:$G,P16)&amp;""),0)&gt;IFERROR(--(INDEX('Reguler Class Availability'!$F:$F,P16)&amp;""),0),"Lebih",IF(IFERROR(--(INDEX('Reguler Class Availability'!$G:$G,P16)&amp;""),0)=IFERROR(--(INDEX('Reguler Class Availability'!$F:$F,P16)&amp;""),0),"Penuh",IF(IFERROR(--(INDEX('Reguler Class Availability'!$G:$G,P16)&amp;""),0)=0,IF(INDEX('Reguler Class Availability'!$B:$B,P16)&amp;""="","Kosong","Belum terisi"),IF(IFERROR(--(INDEX('Reguler Class Availability'!$G:$G,P16)&amp;""),0)/IFERROR(--(INDEX('Reguler Class Availability'!$F:$F,P16)&amp;""),0)&gt;=0.6,"Tinggi","Sebagian"))))))</f>
        <v>Penuh</v>
      </c>
      <c r="Z16" s="4" t="s">
        <v>49</v>
      </c>
      <c r="AA16" s="4" t="n">
        <f aca="false">IF(COUNTIFS('Reguler Class Availability'!$L:$L,$B$4&amp;"|- Lane 1 - *|"&amp;Z16)&gt;0,1,0)</f>
        <v>0</v>
      </c>
      <c r="AB16" s="4" t="n">
        <f aca="false">AA16+AB15</f>
        <v>3</v>
      </c>
    </row>
    <row r="17" customFormat="false" ht="39.75" hidden="false" customHeight="true" outlineLevel="0" collapsed="false">
      <c r="A17" s="39" t="str">
        <f aca="false">IFERROR(INDEX($Z$2:$Z$61,MATCH(4,$AB$2:$AB$61,0)),"")</f>
        <v>09:45</v>
      </c>
      <c r="B17" s="40" t="str">
        <f aca="false">IF(J17="","",IF(R17="Tidak dibuka","–",IF(INDEX('Reguler Class Availability'!$B:$B,J17)&amp;""="","Kosong",PROPER(INDEX('Reguler Class Availability'!$B:$B,J17)&amp;""))&amp;"  "&amp;IFERROR(--(INDEX('Reguler Class Availability'!$G:$G,J17)&amp;""),0)&amp;"/"&amp;IFERROR(--(INDEX('Reguler Class Availability'!$F:$F,J17)&amp;""),0)&amp;IF(IFERROR(--(INDEX('Reguler Class Availability'!$F:$F,J17)&amp;""),0)&gt;0,"  ("&amp;TEXT(IFERROR(--(INDEX('Reguler Class Availability'!$G:$G,J17)&amp;""),0)/IFERROR(--(INDEX('Reguler Class Availability'!$F:$F,J17)&amp;""),0),"0%")&amp;")","")&amp;CHAR(10)&amp;IF(INDEX('Reguler Class Availability'!$I:$I,J17)&amp;""="","coach: –",PROPER(INDEX('Reguler Class Availability'!$I:$I,J17)&amp;""))&amp;IF(INDEX('Reguler Class Availability'!$J:$J,J17)&amp;""="","",CHAR(10)&amp;"asst: "&amp;PROPER(INDEX('Reguler Class Availability'!$J:$J,J17)&amp;""))))</f>
        <v>Kosong  0/5  (0%)
coach: –</v>
      </c>
      <c r="C17" s="40" t="str">
        <f aca="false">IF(K17="","",IF(S17="Tidak dibuka","–",IF(INDEX('Reguler Class Availability'!$B:$B,K17)&amp;""="","Kosong",PROPER(INDEX('Reguler Class Availability'!$B:$B,K17)&amp;""))&amp;"  "&amp;IFERROR(--(INDEX('Reguler Class Availability'!$G:$G,K17)&amp;""),0)&amp;"/"&amp;IFERROR(--(INDEX('Reguler Class Availability'!$F:$F,K17)&amp;""),0)&amp;IF(IFERROR(--(INDEX('Reguler Class Availability'!$F:$F,K17)&amp;""),0)&gt;0,"  ("&amp;TEXT(IFERROR(--(INDEX('Reguler Class Availability'!$G:$G,K17)&amp;""),0)/IFERROR(--(INDEX('Reguler Class Availability'!$F:$F,K17)&amp;""),0),"0%")&amp;")","")&amp;CHAR(10)&amp;IF(INDEX('Reguler Class Availability'!$I:$I,K17)&amp;""="","coach: –",PROPER(INDEX('Reguler Class Availability'!$I:$I,K17)&amp;""))&amp;IF(INDEX('Reguler Class Availability'!$J:$J,K17)&amp;""="","",CHAR(10)&amp;"asst: "&amp;PROPER(INDEX('Reguler Class Availability'!$J:$J,K17)&amp;""))))</f>
        <v>Kosong  0/5  (0%)
coach: –</v>
      </c>
      <c r="D17" s="40" t="str">
        <f aca="false">IF(L17="","",IF(T17="Tidak dibuka","–",IF(INDEX('Reguler Class Availability'!$B:$B,L17)&amp;""="","Kosong",PROPER(INDEX('Reguler Class Availability'!$B:$B,L17)&amp;""))&amp;"  "&amp;IFERROR(--(INDEX('Reguler Class Availability'!$G:$G,L17)&amp;""),0)&amp;"/"&amp;IFERROR(--(INDEX('Reguler Class Availability'!$F:$F,L17)&amp;""),0)&amp;IF(IFERROR(--(INDEX('Reguler Class Availability'!$F:$F,L17)&amp;""),0)&gt;0,"  ("&amp;TEXT(IFERROR(--(INDEX('Reguler Class Availability'!$G:$G,L17)&amp;""),0)/IFERROR(--(INDEX('Reguler Class Availability'!$F:$F,L17)&amp;""),0),"0%")&amp;")","")&amp;CHAR(10)&amp;IF(INDEX('Reguler Class Availability'!$I:$I,L17)&amp;""="","coach: –",PROPER(INDEX('Reguler Class Availability'!$I:$I,L17)&amp;""))&amp;IF(INDEX('Reguler Class Availability'!$J:$J,L17)&amp;""="","",CHAR(10)&amp;"asst: "&amp;PROPER(INDEX('Reguler Class Availability'!$J:$J,L17)&amp;""))))</f>
        <v>Kosong  0/5  (0%)
coach: –</v>
      </c>
      <c r="E17" s="40" t="str">
        <f aca="false">IF(M17="","",IF(U17="Tidak dibuka","–",IF(INDEX('Reguler Class Availability'!$B:$B,M17)&amp;""="","Kosong",PROPER(INDEX('Reguler Class Availability'!$B:$B,M17)&amp;""))&amp;"  "&amp;IFERROR(--(INDEX('Reguler Class Availability'!$G:$G,M17)&amp;""),0)&amp;"/"&amp;IFERROR(--(INDEX('Reguler Class Availability'!$F:$F,M17)&amp;""),0)&amp;IF(IFERROR(--(INDEX('Reguler Class Availability'!$F:$F,M17)&amp;""),0)&gt;0,"  ("&amp;TEXT(IFERROR(--(INDEX('Reguler Class Availability'!$G:$G,M17)&amp;""),0)/IFERROR(--(INDEX('Reguler Class Availability'!$F:$F,M17)&amp;""),0),"0%")&amp;")","")&amp;CHAR(10)&amp;IF(INDEX('Reguler Class Availability'!$I:$I,M17)&amp;""="","coach: –",PROPER(INDEX('Reguler Class Availability'!$I:$I,M17)&amp;""))&amp;IF(INDEX('Reguler Class Availability'!$J:$J,M17)&amp;""="","",CHAR(10)&amp;"asst: "&amp;PROPER(INDEX('Reguler Class Availability'!$J:$J,M17)&amp;""))))</f>
        <v>Kosong  0/5  (0%)
coach: –</v>
      </c>
      <c r="F17" s="40" t="str">
        <f aca="false">IF(N17="","",IF(V17="Tidak dibuka","–",IF(INDEX('Reguler Class Availability'!$B:$B,N17)&amp;""="","Kosong",PROPER(INDEX('Reguler Class Availability'!$B:$B,N17)&amp;""))&amp;"  "&amp;IFERROR(--(INDEX('Reguler Class Availability'!$G:$G,N17)&amp;""),0)&amp;"/"&amp;IFERROR(--(INDEX('Reguler Class Availability'!$F:$F,N17)&amp;""),0)&amp;IF(IFERROR(--(INDEX('Reguler Class Availability'!$F:$F,N17)&amp;""),0)&gt;0,"  ("&amp;TEXT(IFERROR(--(INDEX('Reguler Class Availability'!$G:$G,N17)&amp;""),0)/IFERROR(--(INDEX('Reguler Class Availability'!$F:$F,N17)&amp;""),0),"0%")&amp;")","")&amp;CHAR(10)&amp;IF(INDEX('Reguler Class Availability'!$I:$I,N17)&amp;""="","coach: –",PROPER(INDEX('Reguler Class Availability'!$I:$I,N17)&amp;""))&amp;IF(INDEX('Reguler Class Availability'!$J:$J,N17)&amp;""="","",CHAR(10)&amp;"asst: "&amp;PROPER(INDEX('Reguler Class Availability'!$J:$J,N17)&amp;""))))</f>
        <v>Kosong  0/5  (0%)
coach: –</v>
      </c>
      <c r="G17" s="40" t="str">
        <f aca="false">IF(O17="","",IF(W17="Tidak dibuka","–",IF(INDEX('Reguler Class Availability'!$B:$B,O17)&amp;""="","Kosong",PROPER(INDEX('Reguler Class Availability'!$B:$B,O17)&amp;""))&amp;"  "&amp;IFERROR(--(INDEX('Reguler Class Availability'!$G:$G,O17)&amp;""),0)&amp;"/"&amp;IFERROR(--(INDEX('Reguler Class Availability'!$F:$F,O17)&amp;""),0)&amp;IF(IFERROR(--(INDEX('Reguler Class Availability'!$F:$F,O17)&amp;""),0)&gt;0,"  ("&amp;TEXT(IFERROR(--(INDEX('Reguler Class Availability'!$G:$G,O17)&amp;""),0)/IFERROR(--(INDEX('Reguler Class Availability'!$F:$F,O17)&amp;""),0),"0%")&amp;")","")&amp;CHAR(10)&amp;IF(INDEX('Reguler Class Availability'!$I:$I,O17)&amp;""="","coach: –",PROPER(INDEX('Reguler Class Availability'!$I:$I,O17)&amp;""))&amp;IF(INDEX('Reguler Class Availability'!$J:$J,O17)&amp;""="","",CHAR(10)&amp;"asst: "&amp;PROPER(INDEX('Reguler Class Availability'!$J:$J,O17)&amp;""))))</f>
        <v>Baby  5/5  (100%)
Rischa</v>
      </c>
      <c r="H17" s="40" t="str">
        <f aca="false">IF(P17="","",IF(X17="Tidak dibuka","–",IF(INDEX('Reguler Class Availability'!$B:$B,P17)&amp;""="","Kosong",PROPER(INDEX('Reguler Class Availability'!$B:$B,P17)&amp;""))&amp;"  "&amp;IFERROR(--(INDEX('Reguler Class Availability'!$G:$G,P17)&amp;""),0)&amp;"/"&amp;IFERROR(--(INDEX('Reguler Class Availability'!$F:$F,P17)&amp;""),0)&amp;IF(IFERROR(--(INDEX('Reguler Class Availability'!$F:$F,P17)&amp;""),0)&gt;0,"  ("&amp;TEXT(IFERROR(--(INDEX('Reguler Class Availability'!$G:$G,P17)&amp;""),0)/IFERROR(--(INDEX('Reguler Class Availability'!$F:$F,P17)&amp;""),0),"0%")&amp;")","")&amp;CHAR(10)&amp;IF(INDEX('Reguler Class Availability'!$I:$I,P17)&amp;""="","coach: –",PROPER(INDEX('Reguler Class Availability'!$I:$I,P17)&amp;""))&amp;IF(INDEX('Reguler Class Availability'!$J:$J,P17)&amp;""="","",CHAR(10)&amp;"asst: "&amp;PROPER(INDEX('Reguler Class Availability'!$J:$J,P17)&amp;""))))</f>
        <v>Baby  5/5  (100%)
Zidane</v>
      </c>
      <c r="J17" s="4" t="n">
        <f aca="false">IF($A17="","",IFERROR(MATCH($B$4&amp;"|- Lane 1 - "&amp;B$13&amp;"|"&amp;$A17,'Reguler Class Availability'!$L:$L,0),""))</f>
        <v>4</v>
      </c>
      <c r="K17" s="4" t="n">
        <f aca="false">IF($A17="","",IFERROR(MATCH($B$4&amp;"|- Lane 1 - "&amp;C$13&amp;"|"&amp;$A17,'Reguler Class Availability'!$L:$L,0),""))</f>
        <v>16</v>
      </c>
      <c r="L17" s="4" t="n">
        <f aca="false">IF($A17="","",IFERROR(MATCH($B$4&amp;"|- Lane 1 - "&amp;D$13&amp;"|"&amp;$A17,'Reguler Class Availability'!$L:$L,0),""))</f>
        <v>28</v>
      </c>
      <c r="M17" s="4" t="n">
        <f aca="false">IF($A17="","",IFERROR(MATCH($B$4&amp;"|- Lane 1 - "&amp;E$13&amp;"|"&amp;$A17,'Reguler Class Availability'!$L:$L,0),""))</f>
        <v>40</v>
      </c>
      <c r="N17" s="4" t="n">
        <f aca="false">IF($A17="","",IFERROR(MATCH($B$4&amp;"|- Lane 1 - "&amp;F$13&amp;"|"&amp;$A17,'Reguler Class Availability'!$L:$L,0),""))</f>
        <v>52</v>
      </c>
      <c r="O17" s="4" t="n">
        <f aca="false">IF($A17="","",IFERROR(MATCH($B$4&amp;"|- Lane 1 - "&amp;G$13&amp;"|"&amp;$A17,'Reguler Class Availability'!$L:$L,0),""))</f>
        <v>64</v>
      </c>
      <c r="P17" s="4" t="n">
        <f aca="false">IF($A17="","",IFERROR(MATCH($B$4&amp;"|- Lane 1 - "&amp;H$13&amp;"|"&amp;$A17,'Reguler Class Availability'!$L:$L,0),""))</f>
        <v>76</v>
      </c>
      <c r="R17" s="0" t="str">
        <f aca="false">IF(J17="","",IF(AND(IFERROR(--(INDEX('Reguler Class Availability'!$F:$F,J17)&amp;""),0)=0,IFERROR(--(INDEX('Reguler Class Availability'!$G:$G,J17)&amp;""),0)=0),IF(OR(INDEX('Reguler Class Availability'!$B:$B,J17)&amp;""&lt;&gt;"",INDEX('Reguler Class Availability'!$I:$I,J17)&amp;""&lt;&gt;""),"Tutup","Tidak dibuka"),IF(IFERROR(--(INDEX('Reguler Class Availability'!$G:$G,J17)&amp;""),0)&gt;IFERROR(--(INDEX('Reguler Class Availability'!$F:$F,J17)&amp;""),0),"Lebih",IF(IFERROR(--(INDEX('Reguler Class Availability'!$G:$G,J17)&amp;""),0)=IFERROR(--(INDEX('Reguler Class Availability'!$F:$F,J17)&amp;""),0),"Penuh",IF(IFERROR(--(INDEX('Reguler Class Availability'!$G:$G,J17)&amp;""),0)=0,IF(INDEX('Reguler Class Availability'!$B:$B,J17)&amp;""="","Kosong","Belum terisi"),IF(IFERROR(--(INDEX('Reguler Class Availability'!$G:$G,J17)&amp;""),0)/IFERROR(--(INDEX('Reguler Class Availability'!$F:$F,J17)&amp;""),0)&gt;=0.6,"Tinggi","Sebagian"))))))</f>
        <v>Kosong</v>
      </c>
      <c r="S17" s="0" t="str">
        <f aca="false">IF(K17="","",IF(AND(IFERROR(--(INDEX('Reguler Class Availability'!$F:$F,K17)&amp;""),0)=0,IFERROR(--(INDEX('Reguler Class Availability'!$G:$G,K17)&amp;""),0)=0),IF(OR(INDEX('Reguler Class Availability'!$B:$B,K17)&amp;""&lt;&gt;"",INDEX('Reguler Class Availability'!$I:$I,K17)&amp;""&lt;&gt;""),"Tutup","Tidak dibuka"),IF(IFERROR(--(INDEX('Reguler Class Availability'!$G:$G,K17)&amp;""),0)&gt;IFERROR(--(INDEX('Reguler Class Availability'!$F:$F,K17)&amp;""),0),"Lebih",IF(IFERROR(--(INDEX('Reguler Class Availability'!$G:$G,K17)&amp;""),0)=IFERROR(--(INDEX('Reguler Class Availability'!$F:$F,K17)&amp;""),0),"Penuh",IF(IFERROR(--(INDEX('Reguler Class Availability'!$G:$G,K17)&amp;""),0)=0,IF(INDEX('Reguler Class Availability'!$B:$B,K17)&amp;""="","Kosong","Belum terisi"),IF(IFERROR(--(INDEX('Reguler Class Availability'!$G:$G,K17)&amp;""),0)/IFERROR(--(INDEX('Reguler Class Availability'!$F:$F,K17)&amp;""),0)&gt;=0.6,"Tinggi","Sebagian"))))))</f>
        <v>Kosong</v>
      </c>
      <c r="T17" s="0" t="str">
        <f aca="false">IF(L17="","",IF(AND(IFERROR(--(INDEX('Reguler Class Availability'!$F:$F,L17)&amp;""),0)=0,IFERROR(--(INDEX('Reguler Class Availability'!$G:$G,L17)&amp;""),0)=0),IF(OR(INDEX('Reguler Class Availability'!$B:$B,L17)&amp;""&lt;&gt;"",INDEX('Reguler Class Availability'!$I:$I,L17)&amp;""&lt;&gt;""),"Tutup","Tidak dibuka"),IF(IFERROR(--(INDEX('Reguler Class Availability'!$G:$G,L17)&amp;""),0)&gt;IFERROR(--(INDEX('Reguler Class Availability'!$F:$F,L17)&amp;""),0),"Lebih",IF(IFERROR(--(INDEX('Reguler Class Availability'!$G:$G,L17)&amp;""),0)=IFERROR(--(INDEX('Reguler Class Availability'!$F:$F,L17)&amp;""),0),"Penuh",IF(IFERROR(--(INDEX('Reguler Class Availability'!$G:$G,L17)&amp;""),0)=0,IF(INDEX('Reguler Class Availability'!$B:$B,L17)&amp;""="","Kosong","Belum terisi"),IF(IFERROR(--(INDEX('Reguler Class Availability'!$G:$G,L17)&amp;""),0)/IFERROR(--(INDEX('Reguler Class Availability'!$F:$F,L17)&amp;""),0)&gt;=0.6,"Tinggi","Sebagian"))))))</f>
        <v>Kosong</v>
      </c>
      <c r="U17" s="0" t="str">
        <f aca="false">IF(M17="","",IF(AND(IFERROR(--(INDEX('Reguler Class Availability'!$F:$F,M17)&amp;""),0)=0,IFERROR(--(INDEX('Reguler Class Availability'!$G:$G,M17)&amp;""),0)=0),IF(OR(INDEX('Reguler Class Availability'!$B:$B,M17)&amp;""&lt;&gt;"",INDEX('Reguler Class Availability'!$I:$I,M17)&amp;""&lt;&gt;""),"Tutup","Tidak dibuka"),IF(IFERROR(--(INDEX('Reguler Class Availability'!$G:$G,M17)&amp;""),0)&gt;IFERROR(--(INDEX('Reguler Class Availability'!$F:$F,M17)&amp;""),0),"Lebih",IF(IFERROR(--(INDEX('Reguler Class Availability'!$G:$G,M17)&amp;""),0)=IFERROR(--(INDEX('Reguler Class Availability'!$F:$F,M17)&amp;""),0),"Penuh",IF(IFERROR(--(INDEX('Reguler Class Availability'!$G:$G,M17)&amp;""),0)=0,IF(INDEX('Reguler Class Availability'!$B:$B,M17)&amp;""="","Kosong","Belum terisi"),IF(IFERROR(--(INDEX('Reguler Class Availability'!$G:$G,M17)&amp;""),0)/IFERROR(--(INDEX('Reguler Class Availability'!$F:$F,M17)&amp;""),0)&gt;=0.6,"Tinggi","Sebagian"))))))</f>
        <v>Kosong</v>
      </c>
      <c r="V17" s="0" t="str">
        <f aca="false">IF(N17="","",IF(AND(IFERROR(--(INDEX('Reguler Class Availability'!$F:$F,N17)&amp;""),0)=0,IFERROR(--(INDEX('Reguler Class Availability'!$G:$G,N17)&amp;""),0)=0),IF(OR(INDEX('Reguler Class Availability'!$B:$B,N17)&amp;""&lt;&gt;"",INDEX('Reguler Class Availability'!$I:$I,N17)&amp;""&lt;&gt;""),"Tutup","Tidak dibuka"),IF(IFERROR(--(INDEX('Reguler Class Availability'!$G:$G,N17)&amp;""),0)&gt;IFERROR(--(INDEX('Reguler Class Availability'!$F:$F,N17)&amp;""),0),"Lebih",IF(IFERROR(--(INDEX('Reguler Class Availability'!$G:$G,N17)&amp;""),0)=IFERROR(--(INDEX('Reguler Class Availability'!$F:$F,N17)&amp;""),0),"Penuh",IF(IFERROR(--(INDEX('Reguler Class Availability'!$G:$G,N17)&amp;""),0)=0,IF(INDEX('Reguler Class Availability'!$B:$B,N17)&amp;""="","Kosong","Belum terisi"),IF(IFERROR(--(INDEX('Reguler Class Availability'!$G:$G,N17)&amp;""),0)/IFERROR(--(INDEX('Reguler Class Availability'!$F:$F,N17)&amp;""),0)&gt;=0.6,"Tinggi","Sebagian"))))))</f>
        <v>Kosong</v>
      </c>
      <c r="W17" s="0" t="str">
        <f aca="false">IF(O17="","",IF(AND(IFERROR(--(INDEX('Reguler Class Availability'!$F:$F,O17)&amp;""),0)=0,IFERROR(--(INDEX('Reguler Class Availability'!$G:$G,O17)&amp;""),0)=0),IF(OR(INDEX('Reguler Class Availability'!$B:$B,O17)&amp;""&lt;&gt;"",INDEX('Reguler Class Availability'!$I:$I,O17)&amp;""&lt;&gt;""),"Tutup","Tidak dibuka"),IF(IFERROR(--(INDEX('Reguler Class Availability'!$G:$G,O17)&amp;""),0)&gt;IFERROR(--(INDEX('Reguler Class Availability'!$F:$F,O17)&amp;""),0),"Lebih",IF(IFERROR(--(INDEX('Reguler Class Availability'!$G:$G,O17)&amp;""),0)=IFERROR(--(INDEX('Reguler Class Availability'!$F:$F,O17)&amp;""),0),"Penuh",IF(IFERROR(--(INDEX('Reguler Class Availability'!$G:$G,O17)&amp;""),0)=0,IF(INDEX('Reguler Class Availability'!$B:$B,O17)&amp;""="","Kosong","Belum terisi"),IF(IFERROR(--(INDEX('Reguler Class Availability'!$G:$G,O17)&amp;""),0)/IFERROR(--(INDEX('Reguler Class Availability'!$F:$F,O17)&amp;""),0)&gt;=0.6,"Tinggi","Sebagian"))))))</f>
        <v>Penuh</v>
      </c>
      <c r="X17" s="0" t="str">
        <f aca="false">IF(P17="","",IF(AND(IFERROR(--(INDEX('Reguler Class Availability'!$F:$F,P17)&amp;""),0)=0,IFERROR(--(INDEX('Reguler Class Availability'!$G:$G,P17)&amp;""),0)=0),IF(OR(INDEX('Reguler Class Availability'!$B:$B,P17)&amp;""&lt;&gt;"",INDEX('Reguler Class Availability'!$I:$I,P17)&amp;""&lt;&gt;""),"Tutup","Tidak dibuka"),IF(IFERROR(--(INDEX('Reguler Class Availability'!$G:$G,P17)&amp;""),0)&gt;IFERROR(--(INDEX('Reguler Class Availability'!$F:$F,P17)&amp;""),0),"Lebih",IF(IFERROR(--(INDEX('Reguler Class Availability'!$G:$G,P17)&amp;""),0)=IFERROR(--(INDEX('Reguler Class Availability'!$F:$F,P17)&amp;""),0),"Penuh",IF(IFERROR(--(INDEX('Reguler Class Availability'!$G:$G,P17)&amp;""),0)=0,IF(INDEX('Reguler Class Availability'!$B:$B,P17)&amp;""="","Kosong","Belum terisi"),IF(IFERROR(--(INDEX('Reguler Class Availability'!$G:$G,P17)&amp;""),0)/IFERROR(--(INDEX('Reguler Class Availability'!$F:$F,P17)&amp;""),0)&gt;=0.6,"Tinggi","Sebagian"))))))</f>
        <v>Penuh</v>
      </c>
      <c r="Z17" s="4" t="s">
        <v>50</v>
      </c>
      <c r="AA17" s="4" t="n">
        <f aca="false">IF(COUNTIFS('Reguler Class Availability'!$L:$L,$B$4&amp;"|- Lane 1 - *|"&amp;Z17)&gt;0,1,0)</f>
        <v>1</v>
      </c>
      <c r="AB17" s="4" t="n">
        <f aca="false">AA17+AB16</f>
        <v>4</v>
      </c>
    </row>
    <row r="18" customFormat="false" ht="39.75" hidden="false" customHeight="true" outlineLevel="0" collapsed="false">
      <c r="A18" s="39" t="str">
        <f aca="false">IFERROR(INDEX($Z$2:$Z$61,MATCH(5,$AB$2:$AB$61,0)),"")</f>
        <v>10:30</v>
      </c>
      <c r="B18" s="40" t="str">
        <f aca="false">IF(J18="","",IF(R18="Tidak dibuka","–",IF(INDEX('Reguler Class Availability'!$B:$B,J18)&amp;""="","Kosong",PROPER(INDEX('Reguler Class Availability'!$B:$B,J18)&amp;""))&amp;"  "&amp;IFERROR(--(INDEX('Reguler Class Availability'!$G:$G,J18)&amp;""),0)&amp;"/"&amp;IFERROR(--(INDEX('Reguler Class Availability'!$F:$F,J18)&amp;""),0)&amp;IF(IFERROR(--(INDEX('Reguler Class Availability'!$F:$F,J18)&amp;""),0)&gt;0,"  ("&amp;TEXT(IFERROR(--(INDEX('Reguler Class Availability'!$G:$G,J18)&amp;""),0)/IFERROR(--(INDEX('Reguler Class Availability'!$F:$F,J18)&amp;""),0),"0%")&amp;")","")&amp;CHAR(10)&amp;IF(INDEX('Reguler Class Availability'!$I:$I,J18)&amp;""="","coach: –",PROPER(INDEX('Reguler Class Availability'!$I:$I,J18)&amp;""))&amp;IF(INDEX('Reguler Class Availability'!$J:$J,J18)&amp;""="","",CHAR(10)&amp;"asst: "&amp;PROPER(INDEX('Reguler Class Availability'!$J:$J,J18)&amp;""))))</f>
        <v>Baby  1/5  (20%)
Danti</v>
      </c>
      <c r="C18" s="40" t="str">
        <f aca="false">IF(K18="","",IF(S18="Tidak dibuka","–",IF(INDEX('Reguler Class Availability'!$B:$B,K18)&amp;""="","Kosong",PROPER(INDEX('Reguler Class Availability'!$B:$B,K18)&amp;""))&amp;"  "&amp;IFERROR(--(INDEX('Reguler Class Availability'!$G:$G,K18)&amp;""),0)&amp;"/"&amp;IFERROR(--(INDEX('Reguler Class Availability'!$F:$F,K18)&amp;""),0)&amp;IF(IFERROR(--(INDEX('Reguler Class Availability'!$F:$F,K18)&amp;""),0)&gt;0,"  ("&amp;TEXT(IFERROR(--(INDEX('Reguler Class Availability'!$G:$G,K18)&amp;""),0)/IFERROR(--(INDEX('Reguler Class Availability'!$F:$F,K18)&amp;""),0),"0%")&amp;")","")&amp;CHAR(10)&amp;IF(INDEX('Reguler Class Availability'!$I:$I,K18)&amp;""="","coach: –",PROPER(INDEX('Reguler Class Availability'!$I:$I,K18)&amp;""))&amp;IF(INDEX('Reguler Class Availability'!$J:$J,K18)&amp;""="","",CHAR(10)&amp;"asst: "&amp;PROPER(INDEX('Reguler Class Availability'!$J:$J,K18)&amp;""))))</f>
        <v>Baby  1/5  (20%)
Zidane</v>
      </c>
      <c r="D18" s="40" t="str">
        <f aca="false">IF(L18="","",IF(T18="Tidak dibuka","–",IF(INDEX('Reguler Class Availability'!$B:$B,L18)&amp;""="","Kosong",PROPER(INDEX('Reguler Class Availability'!$B:$B,L18)&amp;""))&amp;"  "&amp;IFERROR(--(INDEX('Reguler Class Availability'!$G:$G,L18)&amp;""),0)&amp;"/"&amp;IFERROR(--(INDEX('Reguler Class Availability'!$F:$F,L18)&amp;""),0)&amp;IF(IFERROR(--(INDEX('Reguler Class Availability'!$F:$F,L18)&amp;""),0)&gt;0,"  ("&amp;TEXT(IFERROR(--(INDEX('Reguler Class Availability'!$G:$G,L18)&amp;""),0)/IFERROR(--(INDEX('Reguler Class Availability'!$F:$F,L18)&amp;""),0),"0%")&amp;")","")&amp;CHAR(10)&amp;IF(INDEX('Reguler Class Availability'!$I:$I,L18)&amp;""="","coach: –",PROPER(INDEX('Reguler Class Availability'!$I:$I,L18)&amp;""))&amp;IF(INDEX('Reguler Class Availability'!$J:$J,L18)&amp;""="","",CHAR(10)&amp;"asst: "&amp;PROPER(INDEX('Reguler Class Availability'!$J:$J,L18)&amp;""))))</f>
        <v>Kosong  0/5  (0%)
coach: –</v>
      </c>
      <c r="E18" s="40" t="str">
        <f aca="false">IF(M18="","",IF(U18="Tidak dibuka","–",IF(INDEX('Reguler Class Availability'!$B:$B,M18)&amp;""="","Kosong",PROPER(INDEX('Reguler Class Availability'!$B:$B,M18)&amp;""))&amp;"  "&amp;IFERROR(--(INDEX('Reguler Class Availability'!$G:$G,M18)&amp;""),0)&amp;"/"&amp;IFERROR(--(INDEX('Reguler Class Availability'!$F:$F,M18)&amp;""),0)&amp;IF(IFERROR(--(INDEX('Reguler Class Availability'!$F:$F,M18)&amp;""),0)&gt;0,"  ("&amp;TEXT(IFERROR(--(INDEX('Reguler Class Availability'!$G:$G,M18)&amp;""),0)/IFERROR(--(INDEX('Reguler Class Availability'!$F:$F,M18)&amp;""),0),"0%")&amp;")","")&amp;CHAR(10)&amp;IF(INDEX('Reguler Class Availability'!$I:$I,M18)&amp;""="","coach: –",PROPER(INDEX('Reguler Class Availability'!$I:$I,M18)&amp;""))&amp;IF(INDEX('Reguler Class Availability'!$J:$J,M18)&amp;""="","",CHAR(10)&amp;"asst: "&amp;PROPER(INDEX('Reguler Class Availability'!$J:$J,M18)&amp;""))))</f>
        <v>Kosong  0/5  (0%)
coach: –</v>
      </c>
      <c r="F18" s="40" t="str">
        <f aca="false">IF(N18="","",IF(V18="Tidak dibuka","–",IF(INDEX('Reguler Class Availability'!$B:$B,N18)&amp;""="","Kosong",PROPER(INDEX('Reguler Class Availability'!$B:$B,N18)&amp;""))&amp;"  "&amp;IFERROR(--(INDEX('Reguler Class Availability'!$G:$G,N18)&amp;""),0)&amp;"/"&amp;IFERROR(--(INDEX('Reguler Class Availability'!$F:$F,N18)&amp;""),0)&amp;IF(IFERROR(--(INDEX('Reguler Class Availability'!$F:$F,N18)&amp;""),0)&gt;0,"  ("&amp;TEXT(IFERROR(--(INDEX('Reguler Class Availability'!$G:$G,N18)&amp;""),0)/IFERROR(--(INDEX('Reguler Class Availability'!$F:$F,N18)&amp;""),0),"0%")&amp;")","")&amp;CHAR(10)&amp;IF(INDEX('Reguler Class Availability'!$I:$I,N18)&amp;""="","coach: –",PROPER(INDEX('Reguler Class Availability'!$I:$I,N18)&amp;""))&amp;IF(INDEX('Reguler Class Availability'!$J:$J,N18)&amp;""="","",CHAR(10)&amp;"asst: "&amp;PROPER(INDEX('Reguler Class Availability'!$J:$J,N18)&amp;""))))</f>
        <v>Kosong  0/5  (0%)
coach: –</v>
      </c>
      <c r="G18" s="40" t="str">
        <f aca="false">IF(O18="","",IF(W18="Tidak dibuka","–",IF(INDEX('Reguler Class Availability'!$B:$B,O18)&amp;""="","Kosong",PROPER(INDEX('Reguler Class Availability'!$B:$B,O18)&amp;""))&amp;"  "&amp;IFERROR(--(INDEX('Reguler Class Availability'!$G:$G,O18)&amp;""),0)&amp;"/"&amp;IFERROR(--(INDEX('Reguler Class Availability'!$F:$F,O18)&amp;""),0)&amp;IF(IFERROR(--(INDEX('Reguler Class Availability'!$F:$F,O18)&amp;""),0)&gt;0,"  ("&amp;TEXT(IFERROR(--(INDEX('Reguler Class Availability'!$G:$G,O18)&amp;""),0)/IFERROR(--(INDEX('Reguler Class Availability'!$F:$F,O18)&amp;""),0),"0%")&amp;")","")&amp;CHAR(10)&amp;IF(INDEX('Reguler Class Availability'!$I:$I,O18)&amp;""="","coach: –",PROPER(INDEX('Reguler Class Availability'!$I:$I,O18)&amp;""))&amp;IF(INDEX('Reguler Class Availability'!$J:$J,O18)&amp;""="","",CHAR(10)&amp;"asst: "&amp;PROPER(INDEX('Reguler Class Availability'!$J:$J,O18)&amp;""))))</f>
        <v>Baby  5/5  (100%)
Rischa</v>
      </c>
      <c r="H18" s="40" t="str">
        <f aca="false">IF(P18="","",IF(X18="Tidak dibuka","–",IF(INDEX('Reguler Class Availability'!$B:$B,P18)&amp;""="","Kosong",PROPER(INDEX('Reguler Class Availability'!$B:$B,P18)&amp;""))&amp;"  "&amp;IFERROR(--(INDEX('Reguler Class Availability'!$G:$G,P18)&amp;""),0)&amp;"/"&amp;IFERROR(--(INDEX('Reguler Class Availability'!$F:$F,P18)&amp;""),0)&amp;IF(IFERROR(--(INDEX('Reguler Class Availability'!$F:$F,P18)&amp;""),0)&gt;0,"  ("&amp;TEXT(IFERROR(--(INDEX('Reguler Class Availability'!$G:$G,P18)&amp;""),0)/IFERROR(--(INDEX('Reguler Class Availability'!$F:$F,P18)&amp;""),0),"0%")&amp;")","")&amp;CHAR(10)&amp;IF(INDEX('Reguler Class Availability'!$I:$I,P18)&amp;""="","coach: –",PROPER(INDEX('Reguler Class Availability'!$I:$I,P18)&amp;""))&amp;IF(INDEX('Reguler Class Availability'!$J:$J,P18)&amp;""="","",CHAR(10)&amp;"asst: "&amp;PROPER(INDEX('Reguler Class Availability'!$J:$J,P18)&amp;""))))</f>
        <v>Baby  4/5  (80%)
Nuky</v>
      </c>
      <c r="J18" s="4" t="n">
        <f aca="false">IF($A18="","",IFERROR(MATCH($B$4&amp;"|- Lane 1 - "&amp;B$13&amp;"|"&amp;$A18,'Reguler Class Availability'!$L:$L,0),""))</f>
        <v>5</v>
      </c>
      <c r="K18" s="4" t="n">
        <f aca="false">IF($A18="","",IFERROR(MATCH($B$4&amp;"|- Lane 1 - "&amp;C$13&amp;"|"&amp;$A18,'Reguler Class Availability'!$L:$L,0),""))</f>
        <v>17</v>
      </c>
      <c r="L18" s="4" t="n">
        <f aca="false">IF($A18="","",IFERROR(MATCH($B$4&amp;"|- Lane 1 - "&amp;D$13&amp;"|"&amp;$A18,'Reguler Class Availability'!$L:$L,0),""))</f>
        <v>29</v>
      </c>
      <c r="M18" s="4" t="n">
        <f aca="false">IF($A18="","",IFERROR(MATCH($B$4&amp;"|- Lane 1 - "&amp;E$13&amp;"|"&amp;$A18,'Reguler Class Availability'!$L:$L,0),""))</f>
        <v>41</v>
      </c>
      <c r="N18" s="4" t="n">
        <f aca="false">IF($A18="","",IFERROR(MATCH($B$4&amp;"|- Lane 1 - "&amp;F$13&amp;"|"&amp;$A18,'Reguler Class Availability'!$L:$L,0),""))</f>
        <v>53</v>
      </c>
      <c r="O18" s="4" t="n">
        <f aca="false">IF($A18="","",IFERROR(MATCH($B$4&amp;"|- Lane 1 - "&amp;G$13&amp;"|"&amp;$A18,'Reguler Class Availability'!$L:$L,0),""))</f>
        <v>65</v>
      </c>
      <c r="P18" s="4" t="n">
        <f aca="false">IF($A18="","",IFERROR(MATCH($B$4&amp;"|- Lane 1 - "&amp;H$13&amp;"|"&amp;$A18,'Reguler Class Availability'!$L:$L,0),""))</f>
        <v>77</v>
      </c>
      <c r="R18" s="0" t="str">
        <f aca="false">IF(J18="","",IF(AND(IFERROR(--(INDEX('Reguler Class Availability'!$F:$F,J18)&amp;""),0)=0,IFERROR(--(INDEX('Reguler Class Availability'!$G:$G,J18)&amp;""),0)=0),IF(OR(INDEX('Reguler Class Availability'!$B:$B,J18)&amp;""&lt;&gt;"",INDEX('Reguler Class Availability'!$I:$I,J18)&amp;""&lt;&gt;""),"Tutup","Tidak dibuka"),IF(IFERROR(--(INDEX('Reguler Class Availability'!$G:$G,J18)&amp;""),0)&gt;IFERROR(--(INDEX('Reguler Class Availability'!$F:$F,J18)&amp;""),0),"Lebih",IF(IFERROR(--(INDEX('Reguler Class Availability'!$G:$G,J18)&amp;""),0)=IFERROR(--(INDEX('Reguler Class Availability'!$F:$F,J18)&amp;""),0),"Penuh",IF(IFERROR(--(INDEX('Reguler Class Availability'!$G:$G,J18)&amp;""),0)=0,IF(INDEX('Reguler Class Availability'!$B:$B,J18)&amp;""="","Kosong","Belum terisi"),IF(IFERROR(--(INDEX('Reguler Class Availability'!$G:$G,J18)&amp;""),0)/IFERROR(--(INDEX('Reguler Class Availability'!$F:$F,J18)&amp;""),0)&gt;=0.6,"Tinggi","Sebagian"))))))</f>
        <v>Sebagian</v>
      </c>
      <c r="S18" s="0" t="str">
        <f aca="false">IF(K18="","",IF(AND(IFERROR(--(INDEX('Reguler Class Availability'!$F:$F,K18)&amp;""),0)=0,IFERROR(--(INDEX('Reguler Class Availability'!$G:$G,K18)&amp;""),0)=0),IF(OR(INDEX('Reguler Class Availability'!$B:$B,K18)&amp;""&lt;&gt;"",INDEX('Reguler Class Availability'!$I:$I,K18)&amp;""&lt;&gt;""),"Tutup","Tidak dibuka"),IF(IFERROR(--(INDEX('Reguler Class Availability'!$G:$G,K18)&amp;""),0)&gt;IFERROR(--(INDEX('Reguler Class Availability'!$F:$F,K18)&amp;""),0),"Lebih",IF(IFERROR(--(INDEX('Reguler Class Availability'!$G:$G,K18)&amp;""),0)=IFERROR(--(INDEX('Reguler Class Availability'!$F:$F,K18)&amp;""),0),"Penuh",IF(IFERROR(--(INDEX('Reguler Class Availability'!$G:$G,K18)&amp;""),0)=0,IF(INDEX('Reguler Class Availability'!$B:$B,K18)&amp;""="","Kosong","Belum terisi"),IF(IFERROR(--(INDEX('Reguler Class Availability'!$G:$G,K18)&amp;""),0)/IFERROR(--(INDEX('Reguler Class Availability'!$F:$F,K18)&amp;""),0)&gt;=0.6,"Tinggi","Sebagian"))))))</f>
        <v>Sebagian</v>
      </c>
      <c r="T18" s="0" t="str">
        <f aca="false">IF(L18="","",IF(AND(IFERROR(--(INDEX('Reguler Class Availability'!$F:$F,L18)&amp;""),0)=0,IFERROR(--(INDEX('Reguler Class Availability'!$G:$G,L18)&amp;""),0)=0),IF(OR(INDEX('Reguler Class Availability'!$B:$B,L18)&amp;""&lt;&gt;"",INDEX('Reguler Class Availability'!$I:$I,L18)&amp;""&lt;&gt;""),"Tutup","Tidak dibuka"),IF(IFERROR(--(INDEX('Reguler Class Availability'!$G:$G,L18)&amp;""),0)&gt;IFERROR(--(INDEX('Reguler Class Availability'!$F:$F,L18)&amp;""),0),"Lebih",IF(IFERROR(--(INDEX('Reguler Class Availability'!$G:$G,L18)&amp;""),0)=IFERROR(--(INDEX('Reguler Class Availability'!$F:$F,L18)&amp;""),0),"Penuh",IF(IFERROR(--(INDEX('Reguler Class Availability'!$G:$G,L18)&amp;""),0)=0,IF(INDEX('Reguler Class Availability'!$B:$B,L18)&amp;""="","Kosong","Belum terisi"),IF(IFERROR(--(INDEX('Reguler Class Availability'!$G:$G,L18)&amp;""),0)/IFERROR(--(INDEX('Reguler Class Availability'!$F:$F,L18)&amp;""),0)&gt;=0.6,"Tinggi","Sebagian"))))))</f>
        <v>Kosong</v>
      </c>
      <c r="U18" s="0" t="str">
        <f aca="false">IF(M18="","",IF(AND(IFERROR(--(INDEX('Reguler Class Availability'!$F:$F,M18)&amp;""),0)=0,IFERROR(--(INDEX('Reguler Class Availability'!$G:$G,M18)&amp;""),0)=0),IF(OR(INDEX('Reguler Class Availability'!$B:$B,M18)&amp;""&lt;&gt;"",INDEX('Reguler Class Availability'!$I:$I,M18)&amp;""&lt;&gt;""),"Tutup","Tidak dibuka"),IF(IFERROR(--(INDEX('Reguler Class Availability'!$G:$G,M18)&amp;""),0)&gt;IFERROR(--(INDEX('Reguler Class Availability'!$F:$F,M18)&amp;""),0),"Lebih",IF(IFERROR(--(INDEX('Reguler Class Availability'!$G:$G,M18)&amp;""),0)=IFERROR(--(INDEX('Reguler Class Availability'!$F:$F,M18)&amp;""),0),"Penuh",IF(IFERROR(--(INDEX('Reguler Class Availability'!$G:$G,M18)&amp;""),0)=0,IF(INDEX('Reguler Class Availability'!$B:$B,M18)&amp;""="","Kosong","Belum terisi"),IF(IFERROR(--(INDEX('Reguler Class Availability'!$G:$G,M18)&amp;""),0)/IFERROR(--(INDEX('Reguler Class Availability'!$F:$F,M18)&amp;""),0)&gt;=0.6,"Tinggi","Sebagian"))))))</f>
        <v>Kosong</v>
      </c>
      <c r="V18" s="0" t="str">
        <f aca="false">IF(N18="","",IF(AND(IFERROR(--(INDEX('Reguler Class Availability'!$F:$F,N18)&amp;""),0)=0,IFERROR(--(INDEX('Reguler Class Availability'!$G:$G,N18)&amp;""),0)=0),IF(OR(INDEX('Reguler Class Availability'!$B:$B,N18)&amp;""&lt;&gt;"",INDEX('Reguler Class Availability'!$I:$I,N18)&amp;""&lt;&gt;""),"Tutup","Tidak dibuka"),IF(IFERROR(--(INDEX('Reguler Class Availability'!$G:$G,N18)&amp;""),0)&gt;IFERROR(--(INDEX('Reguler Class Availability'!$F:$F,N18)&amp;""),0),"Lebih",IF(IFERROR(--(INDEX('Reguler Class Availability'!$G:$G,N18)&amp;""),0)=IFERROR(--(INDEX('Reguler Class Availability'!$F:$F,N18)&amp;""),0),"Penuh",IF(IFERROR(--(INDEX('Reguler Class Availability'!$G:$G,N18)&amp;""),0)=0,IF(INDEX('Reguler Class Availability'!$B:$B,N18)&amp;""="","Kosong","Belum terisi"),IF(IFERROR(--(INDEX('Reguler Class Availability'!$G:$G,N18)&amp;""),0)/IFERROR(--(INDEX('Reguler Class Availability'!$F:$F,N18)&amp;""),0)&gt;=0.6,"Tinggi","Sebagian"))))))</f>
        <v>Kosong</v>
      </c>
      <c r="W18" s="0" t="str">
        <f aca="false">IF(O18="","",IF(AND(IFERROR(--(INDEX('Reguler Class Availability'!$F:$F,O18)&amp;""),0)=0,IFERROR(--(INDEX('Reguler Class Availability'!$G:$G,O18)&amp;""),0)=0),IF(OR(INDEX('Reguler Class Availability'!$B:$B,O18)&amp;""&lt;&gt;"",INDEX('Reguler Class Availability'!$I:$I,O18)&amp;""&lt;&gt;""),"Tutup","Tidak dibuka"),IF(IFERROR(--(INDEX('Reguler Class Availability'!$G:$G,O18)&amp;""),0)&gt;IFERROR(--(INDEX('Reguler Class Availability'!$F:$F,O18)&amp;""),0),"Lebih",IF(IFERROR(--(INDEX('Reguler Class Availability'!$G:$G,O18)&amp;""),0)=IFERROR(--(INDEX('Reguler Class Availability'!$F:$F,O18)&amp;""),0),"Penuh",IF(IFERROR(--(INDEX('Reguler Class Availability'!$G:$G,O18)&amp;""),0)=0,IF(INDEX('Reguler Class Availability'!$B:$B,O18)&amp;""="","Kosong","Belum terisi"),IF(IFERROR(--(INDEX('Reguler Class Availability'!$G:$G,O18)&amp;""),0)/IFERROR(--(INDEX('Reguler Class Availability'!$F:$F,O18)&amp;""),0)&gt;=0.6,"Tinggi","Sebagian"))))))</f>
        <v>Penuh</v>
      </c>
      <c r="X18" s="0" t="str">
        <f aca="false">IF(P18="","",IF(AND(IFERROR(--(INDEX('Reguler Class Availability'!$F:$F,P18)&amp;""),0)=0,IFERROR(--(INDEX('Reguler Class Availability'!$G:$G,P18)&amp;""),0)=0),IF(OR(INDEX('Reguler Class Availability'!$B:$B,P18)&amp;""&lt;&gt;"",INDEX('Reguler Class Availability'!$I:$I,P18)&amp;""&lt;&gt;""),"Tutup","Tidak dibuka"),IF(IFERROR(--(INDEX('Reguler Class Availability'!$G:$G,P18)&amp;""),0)&gt;IFERROR(--(INDEX('Reguler Class Availability'!$F:$F,P18)&amp;""),0),"Lebih",IF(IFERROR(--(INDEX('Reguler Class Availability'!$G:$G,P18)&amp;""),0)=IFERROR(--(INDEX('Reguler Class Availability'!$F:$F,P18)&amp;""),0),"Penuh",IF(IFERROR(--(INDEX('Reguler Class Availability'!$G:$G,P18)&amp;""),0)=0,IF(INDEX('Reguler Class Availability'!$B:$B,P18)&amp;""="","Kosong","Belum terisi"),IF(IFERROR(--(INDEX('Reguler Class Availability'!$G:$G,P18)&amp;""),0)/IFERROR(--(INDEX('Reguler Class Availability'!$F:$F,P18)&amp;""),0)&gt;=0.6,"Tinggi","Sebagian"))))))</f>
        <v>Tinggi</v>
      </c>
      <c r="Z18" s="4" t="s">
        <v>51</v>
      </c>
      <c r="AA18" s="4" t="n">
        <f aca="false">IF(COUNTIFS('Reguler Class Availability'!$L:$L,$B$4&amp;"|- Lane 1 - *|"&amp;Z18)&gt;0,1,0)</f>
        <v>0</v>
      </c>
      <c r="AB18" s="4" t="n">
        <f aca="false">AA18+AB17</f>
        <v>4</v>
      </c>
    </row>
    <row r="19" customFormat="false" ht="39.75" hidden="false" customHeight="true" outlineLevel="0" collapsed="false">
      <c r="A19" s="39" t="str">
        <f aca="false">IFERROR(INDEX($Z$2:$Z$61,MATCH(6,$AB$2:$AB$61,0)),"")</f>
        <v>11:15</v>
      </c>
      <c r="B19" s="40" t="str">
        <f aca="false">IF(J19="","",IF(R19="Tidak dibuka","–",IF(INDEX('Reguler Class Availability'!$B:$B,J19)&amp;""="","Kosong",PROPER(INDEX('Reguler Class Availability'!$B:$B,J19)&amp;""))&amp;"  "&amp;IFERROR(--(INDEX('Reguler Class Availability'!$G:$G,J19)&amp;""),0)&amp;"/"&amp;IFERROR(--(INDEX('Reguler Class Availability'!$F:$F,J19)&amp;""),0)&amp;IF(IFERROR(--(INDEX('Reguler Class Availability'!$F:$F,J19)&amp;""),0)&gt;0,"  ("&amp;TEXT(IFERROR(--(INDEX('Reguler Class Availability'!$G:$G,J19)&amp;""),0)/IFERROR(--(INDEX('Reguler Class Availability'!$F:$F,J19)&amp;""),0),"0%")&amp;")","")&amp;CHAR(10)&amp;IF(INDEX('Reguler Class Availability'!$I:$I,J19)&amp;""="","coach: –",PROPER(INDEX('Reguler Class Availability'!$I:$I,J19)&amp;""))&amp;IF(INDEX('Reguler Class Availability'!$J:$J,J19)&amp;""="","",CHAR(10)&amp;"asst: "&amp;PROPER(INDEX('Reguler Class Availability'!$J:$J,J19)&amp;""))))</f>
        <v>Kosong  0/5  (0%)
coach: –</v>
      </c>
      <c r="C19" s="40" t="str">
        <f aca="false">IF(K19="","",IF(S19="Tidak dibuka","–",IF(INDEX('Reguler Class Availability'!$B:$B,K19)&amp;""="","Kosong",PROPER(INDEX('Reguler Class Availability'!$B:$B,K19)&amp;""))&amp;"  "&amp;IFERROR(--(INDEX('Reguler Class Availability'!$G:$G,K19)&amp;""),0)&amp;"/"&amp;IFERROR(--(INDEX('Reguler Class Availability'!$F:$F,K19)&amp;""),0)&amp;IF(IFERROR(--(INDEX('Reguler Class Availability'!$F:$F,K19)&amp;""),0)&gt;0,"  ("&amp;TEXT(IFERROR(--(INDEX('Reguler Class Availability'!$G:$G,K19)&amp;""),0)/IFERROR(--(INDEX('Reguler Class Availability'!$F:$F,K19)&amp;""),0),"0%")&amp;")","")&amp;CHAR(10)&amp;IF(INDEX('Reguler Class Availability'!$I:$I,K19)&amp;""="","coach: –",PROPER(INDEX('Reguler Class Availability'!$I:$I,K19)&amp;""))&amp;IF(INDEX('Reguler Class Availability'!$J:$J,K19)&amp;""="","",CHAR(10)&amp;"asst: "&amp;PROPER(INDEX('Reguler Class Availability'!$J:$J,K19)&amp;""))))</f>
        <v>Baby  2/5  (40%)
Zidane</v>
      </c>
      <c r="D19" s="40" t="str">
        <f aca="false">IF(L19="","",IF(T19="Tidak dibuka","–",IF(INDEX('Reguler Class Availability'!$B:$B,L19)&amp;""="","Kosong",PROPER(INDEX('Reguler Class Availability'!$B:$B,L19)&amp;""))&amp;"  "&amp;IFERROR(--(INDEX('Reguler Class Availability'!$G:$G,L19)&amp;""),0)&amp;"/"&amp;IFERROR(--(INDEX('Reguler Class Availability'!$F:$F,L19)&amp;""),0)&amp;IF(IFERROR(--(INDEX('Reguler Class Availability'!$F:$F,L19)&amp;""),0)&gt;0,"  ("&amp;TEXT(IFERROR(--(INDEX('Reguler Class Availability'!$G:$G,L19)&amp;""),0)/IFERROR(--(INDEX('Reguler Class Availability'!$F:$F,L19)&amp;""),0),"0%")&amp;")","")&amp;CHAR(10)&amp;IF(INDEX('Reguler Class Availability'!$I:$I,L19)&amp;""="","coach: –",PROPER(INDEX('Reguler Class Availability'!$I:$I,L19)&amp;""))&amp;IF(INDEX('Reguler Class Availability'!$J:$J,L19)&amp;""="","",CHAR(10)&amp;"asst: "&amp;PROPER(INDEX('Reguler Class Availability'!$J:$J,L19)&amp;""))))</f>
        <v>Baby  2/5  (40%)
Nuky</v>
      </c>
      <c r="E19" s="40" t="str">
        <f aca="false">IF(M19="","",IF(U19="Tidak dibuka","–",IF(INDEX('Reguler Class Availability'!$B:$B,M19)&amp;""="","Kosong",PROPER(INDEX('Reguler Class Availability'!$B:$B,M19)&amp;""))&amp;"  "&amp;IFERROR(--(INDEX('Reguler Class Availability'!$G:$G,M19)&amp;""),0)&amp;"/"&amp;IFERROR(--(INDEX('Reguler Class Availability'!$F:$F,M19)&amp;""),0)&amp;IF(IFERROR(--(INDEX('Reguler Class Availability'!$F:$F,M19)&amp;""),0)&gt;0,"  ("&amp;TEXT(IFERROR(--(INDEX('Reguler Class Availability'!$G:$G,M19)&amp;""),0)/IFERROR(--(INDEX('Reguler Class Availability'!$F:$F,M19)&amp;""),0),"0%")&amp;")","")&amp;CHAR(10)&amp;IF(INDEX('Reguler Class Availability'!$I:$I,M19)&amp;""="","coach: –",PROPER(INDEX('Reguler Class Availability'!$I:$I,M19)&amp;""))&amp;IF(INDEX('Reguler Class Availability'!$J:$J,M19)&amp;""="","",CHAR(10)&amp;"asst: "&amp;PROPER(INDEX('Reguler Class Availability'!$J:$J,M19)&amp;""))))</f>
        <v>Kosong  0/5  (0%)
coach: –</v>
      </c>
      <c r="F19" s="40" t="str">
        <f aca="false">IF(N19="","",IF(V19="Tidak dibuka","–",IF(INDEX('Reguler Class Availability'!$B:$B,N19)&amp;""="","Kosong",PROPER(INDEX('Reguler Class Availability'!$B:$B,N19)&amp;""))&amp;"  "&amp;IFERROR(--(INDEX('Reguler Class Availability'!$G:$G,N19)&amp;""),0)&amp;"/"&amp;IFERROR(--(INDEX('Reguler Class Availability'!$F:$F,N19)&amp;""),0)&amp;IF(IFERROR(--(INDEX('Reguler Class Availability'!$F:$F,N19)&amp;""),0)&gt;0,"  ("&amp;TEXT(IFERROR(--(INDEX('Reguler Class Availability'!$G:$G,N19)&amp;""),0)/IFERROR(--(INDEX('Reguler Class Availability'!$F:$F,N19)&amp;""),0),"0%")&amp;")","")&amp;CHAR(10)&amp;IF(INDEX('Reguler Class Availability'!$I:$I,N19)&amp;""="","coach: –",PROPER(INDEX('Reguler Class Availability'!$I:$I,N19)&amp;""))&amp;IF(INDEX('Reguler Class Availability'!$J:$J,N19)&amp;""="","",CHAR(10)&amp;"asst: "&amp;PROPER(INDEX('Reguler Class Availability'!$J:$J,N19)&amp;""))))</f>
        <v>Kosong  0/5  (0%)
coach: –</v>
      </c>
      <c r="G19" s="40" t="str">
        <f aca="false">IF(O19="","",IF(W19="Tidak dibuka","–",IF(INDEX('Reguler Class Availability'!$B:$B,O19)&amp;""="","Kosong",PROPER(INDEX('Reguler Class Availability'!$B:$B,O19)&amp;""))&amp;"  "&amp;IFERROR(--(INDEX('Reguler Class Availability'!$G:$G,O19)&amp;""),0)&amp;"/"&amp;IFERROR(--(INDEX('Reguler Class Availability'!$F:$F,O19)&amp;""),0)&amp;IF(IFERROR(--(INDEX('Reguler Class Availability'!$F:$F,O19)&amp;""),0)&gt;0,"  ("&amp;TEXT(IFERROR(--(INDEX('Reguler Class Availability'!$G:$G,O19)&amp;""),0)/IFERROR(--(INDEX('Reguler Class Availability'!$F:$F,O19)&amp;""),0),"0%")&amp;")","")&amp;CHAR(10)&amp;IF(INDEX('Reguler Class Availability'!$I:$I,O19)&amp;""="","coach: –",PROPER(INDEX('Reguler Class Availability'!$I:$I,O19)&amp;""))&amp;IF(INDEX('Reguler Class Availability'!$J:$J,O19)&amp;""="","",CHAR(10)&amp;"asst: "&amp;PROPER(INDEX('Reguler Class Availability'!$J:$J,O19)&amp;""))))</f>
        <v>Little  4/4  (100%)
Tessa</v>
      </c>
      <c r="H19" s="40" t="str">
        <f aca="false">IF(P19="","",IF(X19="Tidak dibuka","–",IF(INDEX('Reguler Class Availability'!$B:$B,P19)&amp;""="","Kosong",PROPER(INDEX('Reguler Class Availability'!$B:$B,P19)&amp;""))&amp;"  "&amp;IFERROR(--(INDEX('Reguler Class Availability'!$G:$G,P19)&amp;""),0)&amp;"/"&amp;IFERROR(--(INDEX('Reguler Class Availability'!$F:$F,P19)&amp;""),0)&amp;IF(IFERROR(--(INDEX('Reguler Class Availability'!$F:$F,P19)&amp;""),0)&gt;0,"  ("&amp;TEXT(IFERROR(--(INDEX('Reguler Class Availability'!$G:$G,P19)&amp;""),0)/IFERROR(--(INDEX('Reguler Class Availability'!$F:$F,P19)&amp;""),0),"0%")&amp;")","")&amp;CHAR(10)&amp;IF(INDEX('Reguler Class Availability'!$I:$I,P19)&amp;""="","coach: –",PROPER(INDEX('Reguler Class Availability'!$I:$I,P19)&amp;""))&amp;IF(INDEX('Reguler Class Availability'!$J:$J,P19)&amp;""="","",CHAR(10)&amp;"asst: "&amp;PROPER(INDEX('Reguler Class Availability'!$J:$J,P19)&amp;""))))</f>
        <v>Little  4/4  (100%)
Gita</v>
      </c>
      <c r="J19" s="4" t="n">
        <f aca="false">IF($A19="","",IFERROR(MATCH($B$4&amp;"|- Lane 1 - "&amp;B$13&amp;"|"&amp;$A19,'Reguler Class Availability'!$L:$L,0),""))</f>
        <v>6</v>
      </c>
      <c r="K19" s="4" t="n">
        <f aca="false">IF($A19="","",IFERROR(MATCH($B$4&amp;"|- Lane 1 - "&amp;C$13&amp;"|"&amp;$A19,'Reguler Class Availability'!$L:$L,0),""))</f>
        <v>18</v>
      </c>
      <c r="L19" s="4" t="n">
        <f aca="false">IF($A19="","",IFERROR(MATCH($B$4&amp;"|- Lane 1 - "&amp;D$13&amp;"|"&amp;$A19,'Reguler Class Availability'!$L:$L,0),""))</f>
        <v>30</v>
      </c>
      <c r="M19" s="4" t="n">
        <f aca="false">IF($A19="","",IFERROR(MATCH($B$4&amp;"|- Lane 1 - "&amp;E$13&amp;"|"&amp;$A19,'Reguler Class Availability'!$L:$L,0),""))</f>
        <v>42</v>
      </c>
      <c r="N19" s="4" t="n">
        <f aca="false">IF($A19="","",IFERROR(MATCH($B$4&amp;"|- Lane 1 - "&amp;F$13&amp;"|"&amp;$A19,'Reguler Class Availability'!$L:$L,0),""))</f>
        <v>54</v>
      </c>
      <c r="O19" s="4" t="n">
        <f aca="false">IF($A19="","",IFERROR(MATCH($B$4&amp;"|- Lane 1 - "&amp;G$13&amp;"|"&amp;$A19,'Reguler Class Availability'!$L:$L,0),""))</f>
        <v>66</v>
      </c>
      <c r="P19" s="4" t="n">
        <f aca="false">IF($A19="","",IFERROR(MATCH($B$4&amp;"|- Lane 1 - "&amp;H$13&amp;"|"&amp;$A19,'Reguler Class Availability'!$L:$L,0),""))</f>
        <v>78</v>
      </c>
      <c r="R19" s="0" t="str">
        <f aca="false">IF(J19="","",IF(AND(IFERROR(--(INDEX('Reguler Class Availability'!$F:$F,J19)&amp;""),0)=0,IFERROR(--(INDEX('Reguler Class Availability'!$G:$G,J19)&amp;""),0)=0),IF(OR(INDEX('Reguler Class Availability'!$B:$B,J19)&amp;""&lt;&gt;"",INDEX('Reguler Class Availability'!$I:$I,J19)&amp;""&lt;&gt;""),"Tutup","Tidak dibuka"),IF(IFERROR(--(INDEX('Reguler Class Availability'!$G:$G,J19)&amp;""),0)&gt;IFERROR(--(INDEX('Reguler Class Availability'!$F:$F,J19)&amp;""),0),"Lebih",IF(IFERROR(--(INDEX('Reguler Class Availability'!$G:$G,J19)&amp;""),0)=IFERROR(--(INDEX('Reguler Class Availability'!$F:$F,J19)&amp;""),0),"Penuh",IF(IFERROR(--(INDEX('Reguler Class Availability'!$G:$G,J19)&amp;""),0)=0,IF(INDEX('Reguler Class Availability'!$B:$B,J19)&amp;""="","Kosong","Belum terisi"),IF(IFERROR(--(INDEX('Reguler Class Availability'!$G:$G,J19)&amp;""),0)/IFERROR(--(INDEX('Reguler Class Availability'!$F:$F,J19)&amp;""),0)&gt;=0.6,"Tinggi","Sebagian"))))))</f>
        <v>Kosong</v>
      </c>
      <c r="S19" s="0" t="str">
        <f aca="false">IF(K19="","",IF(AND(IFERROR(--(INDEX('Reguler Class Availability'!$F:$F,K19)&amp;""),0)=0,IFERROR(--(INDEX('Reguler Class Availability'!$G:$G,K19)&amp;""),0)=0),IF(OR(INDEX('Reguler Class Availability'!$B:$B,K19)&amp;""&lt;&gt;"",INDEX('Reguler Class Availability'!$I:$I,K19)&amp;""&lt;&gt;""),"Tutup","Tidak dibuka"),IF(IFERROR(--(INDEX('Reguler Class Availability'!$G:$G,K19)&amp;""),0)&gt;IFERROR(--(INDEX('Reguler Class Availability'!$F:$F,K19)&amp;""),0),"Lebih",IF(IFERROR(--(INDEX('Reguler Class Availability'!$G:$G,K19)&amp;""),0)=IFERROR(--(INDEX('Reguler Class Availability'!$F:$F,K19)&amp;""),0),"Penuh",IF(IFERROR(--(INDEX('Reguler Class Availability'!$G:$G,K19)&amp;""),0)=0,IF(INDEX('Reguler Class Availability'!$B:$B,K19)&amp;""="","Kosong","Belum terisi"),IF(IFERROR(--(INDEX('Reguler Class Availability'!$G:$G,K19)&amp;""),0)/IFERROR(--(INDEX('Reguler Class Availability'!$F:$F,K19)&amp;""),0)&gt;=0.6,"Tinggi","Sebagian"))))))</f>
        <v>Sebagian</v>
      </c>
      <c r="T19" s="0" t="str">
        <f aca="false">IF(L19="","",IF(AND(IFERROR(--(INDEX('Reguler Class Availability'!$F:$F,L19)&amp;""),0)=0,IFERROR(--(INDEX('Reguler Class Availability'!$G:$G,L19)&amp;""),0)=0),IF(OR(INDEX('Reguler Class Availability'!$B:$B,L19)&amp;""&lt;&gt;"",INDEX('Reguler Class Availability'!$I:$I,L19)&amp;""&lt;&gt;""),"Tutup","Tidak dibuka"),IF(IFERROR(--(INDEX('Reguler Class Availability'!$G:$G,L19)&amp;""),0)&gt;IFERROR(--(INDEX('Reguler Class Availability'!$F:$F,L19)&amp;""),0),"Lebih",IF(IFERROR(--(INDEX('Reguler Class Availability'!$G:$G,L19)&amp;""),0)=IFERROR(--(INDEX('Reguler Class Availability'!$F:$F,L19)&amp;""),0),"Penuh",IF(IFERROR(--(INDEX('Reguler Class Availability'!$G:$G,L19)&amp;""),0)=0,IF(INDEX('Reguler Class Availability'!$B:$B,L19)&amp;""="","Kosong","Belum terisi"),IF(IFERROR(--(INDEX('Reguler Class Availability'!$G:$G,L19)&amp;""),0)/IFERROR(--(INDEX('Reguler Class Availability'!$F:$F,L19)&amp;""),0)&gt;=0.6,"Tinggi","Sebagian"))))))</f>
        <v>Sebagian</v>
      </c>
      <c r="U19" s="0" t="str">
        <f aca="false">IF(M19="","",IF(AND(IFERROR(--(INDEX('Reguler Class Availability'!$F:$F,M19)&amp;""),0)=0,IFERROR(--(INDEX('Reguler Class Availability'!$G:$G,M19)&amp;""),0)=0),IF(OR(INDEX('Reguler Class Availability'!$B:$B,M19)&amp;""&lt;&gt;"",INDEX('Reguler Class Availability'!$I:$I,M19)&amp;""&lt;&gt;""),"Tutup","Tidak dibuka"),IF(IFERROR(--(INDEX('Reguler Class Availability'!$G:$G,M19)&amp;""),0)&gt;IFERROR(--(INDEX('Reguler Class Availability'!$F:$F,M19)&amp;""),0),"Lebih",IF(IFERROR(--(INDEX('Reguler Class Availability'!$G:$G,M19)&amp;""),0)=IFERROR(--(INDEX('Reguler Class Availability'!$F:$F,M19)&amp;""),0),"Penuh",IF(IFERROR(--(INDEX('Reguler Class Availability'!$G:$G,M19)&amp;""),0)=0,IF(INDEX('Reguler Class Availability'!$B:$B,M19)&amp;""="","Kosong","Belum terisi"),IF(IFERROR(--(INDEX('Reguler Class Availability'!$G:$G,M19)&amp;""),0)/IFERROR(--(INDEX('Reguler Class Availability'!$F:$F,M19)&amp;""),0)&gt;=0.6,"Tinggi","Sebagian"))))))</f>
        <v>Kosong</v>
      </c>
      <c r="V19" s="0" t="str">
        <f aca="false">IF(N19="","",IF(AND(IFERROR(--(INDEX('Reguler Class Availability'!$F:$F,N19)&amp;""),0)=0,IFERROR(--(INDEX('Reguler Class Availability'!$G:$G,N19)&amp;""),0)=0),IF(OR(INDEX('Reguler Class Availability'!$B:$B,N19)&amp;""&lt;&gt;"",INDEX('Reguler Class Availability'!$I:$I,N19)&amp;""&lt;&gt;""),"Tutup","Tidak dibuka"),IF(IFERROR(--(INDEX('Reguler Class Availability'!$G:$G,N19)&amp;""),0)&gt;IFERROR(--(INDEX('Reguler Class Availability'!$F:$F,N19)&amp;""),0),"Lebih",IF(IFERROR(--(INDEX('Reguler Class Availability'!$G:$G,N19)&amp;""),0)=IFERROR(--(INDEX('Reguler Class Availability'!$F:$F,N19)&amp;""),0),"Penuh",IF(IFERROR(--(INDEX('Reguler Class Availability'!$G:$G,N19)&amp;""),0)=0,IF(INDEX('Reguler Class Availability'!$B:$B,N19)&amp;""="","Kosong","Belum terisi"),IF(IFERROR(--(INDEX('Reguler Class Availability'!$G:$G,N19)&amp;""),0)/IFERROR(--(INDEX('Reguler Class Availability'!$F:$F,N19)&amp;""),0)&gt;=0.6,"Tinggi","Sebagian"))))))</f>
        <v>Kosong</v>
      </c>
      <c r="W19" s="0" t="str">
        <f aca="false">IF(O19="","",IF(AND(IFERROR(--(INDEX('Reguler Class Availability'!$F:$F,O19)&amp;""),0)=0,IFERROR(--(INDEX('Reguler Class Availability'!$G:$G,O19)&amp;""),0)=0),IF(OR(INDEX('Reguler Class Availability'!$B:$B,O19)&amp;""&lt;&gt;"",INDEX('Reguler Class Availability'!$I:$I,O19)&amp;""&lt;&gt;""),"Tutup","Tidak dibuka"),IF(IFERROR(--(INDEX('Reguler Class Availability'!$G:$G,O19)&amp;""),0)&gt;IFERROR(--(INDEX('Reguler Class Availability'!$F:$F,O19)&amp;""),0),"Lebih",IF(IFERROR(--(INDEX('Reguler Class Availability'!$G:$G,O19)&amp;""),0)=IFERROR(--(INDEX('Reguler Class Availability'!$F:$F,O19)&amp;""),0),"Penuh",IF(IFERROR(--(INDEX('Reguler Class Availability'!$G:$G,O19)&amp;""),0)=0,IF(INDEX('Reguler Class Availability'!$B:$B,O19)&amp;""="","Kosong","Belum terisi"),IF(IFERROR(--(INDEX('Reguler Class Availability'!$G:$G,O19)&amp;""),0)/IFERROR(--(INDEX('Reguler Class Availability'!$F:$F,O19)&amp;""),0)&gt;=0.6,"Tinggi","Sebagian"))))))</f>
        <v>Penuh</v>
      </c>
      <c r="X19" s="0" t="str">
        <f aca="false">IF(P19="","",IF(AND(IFERROR(--(INDEX('Reguler Class Availability'!$F:$F,P19)&amp;""),0)=0,IFERROR(--(INDEX('Reguler Class Availability'!$G:$G,P19)&amp;""),0)=0),IF(OR(INDEX('Reguler Class Availability'!$B:$B,P19)&amp;""&lt;&gt;"",INDEX('Reguler Class Availability'!$I:$I,P19)&amp;""&lt;&gt;""),"Tutup","Tidak dibuka"),IF(IFERROR(--(INDEX('Reguler Class Availability'!$G:$G,P19)&amp;""),0)&gt;IFERROR(--(INDEX('Reguler Class Availability'!$F:$F,P19)&amp;""),0),"Lebih",IF(IFERROR(--(INDEX('Reguler Class Availability'!$G:$G,P19)&amp;""),0)=IFERROR(--(INDEX('Reguler Class Availability'!$F:$F,P19)&amp;""),0),"Penuh",IF(IFERROR(--(INDEX('Reguler Class Availability'!$G:$G,P19)&amp;""),0)=0,IF(INDEX('Reguler Class Availability'!$B:$B,P19)&amp;""="","Kosong","Belum terisi"),IF(IFERROR(--(INDEX('Reguler Class Availability'!$G:$G,P19)&amp;""),0)/IFERROR(--(INDEX('Reguler Class Availability'!$F:$F,P19)&amp;""),0)&gt;=0.6,"Tinggi","Sebagian"))))))</f>
        <v>Penuh</v>
      </c>
      <c r="Z19" s="4" t="s">
        <v>52</v>
      </c>
      <c r="AA19" s="4" t="n">
        <f aca="false">IF(COUNTIFS('Reguler Class Availability'!$L:$L,$B$4&amp;"|- Lane 1 - *|"&amp;Z19)&gt;0,1,0)</f>
        <v>0</v>
      </c>
      <c r="AB19" s="4" t="n">
        <f aca="false">AA19+AB18</f>
        <v>4</v>
      </c>
    </row>
    <row r="20" customFormat="false" ht="39.75" hidden="false" customHeight="true" outlineLevel="0" collapsed="false">
      <c r="A20" s="39" t="str">
        <f aca="false">IFERROR(INDEX($Z$2:$Z$61,MATCH(7,$AB$2:$AB$61,0)),"")</f>
        <v>12:00</v>
      </c>
      <c r="B20" s="40" t="str">
        <f aca="false">IF(J20="","",IF(R20="Tidak dibuka","–",IF(INDEX('Reguler Class Availability'!$B:$B,J20)&amp;""="","Kosong",PROPER(INDEX('Reguler Class Availability'!$B:$B,J20)&amp;""))&amp;"  "&amp;IFERROR(--(INDEX('Reguler Class Availability'!$G:$G,J20)&amp;""),0)&amp;"/"&amp;IFERROR(--(INDEX('Reguler Class Availability'!$F:$F,J20)&amp;""),0)&amp;IF(IFERROR(--(INDEX('Reguler Class Availability'!$F:$F,J20)&amp;""),0)&gt;0,"  ("&amp;TEXT(IFERROR(--(INDEX('Reguler Class Availability'!$G:$G,J20)&amp;""),0)/IFERROR(--(INDEX('Reguler Class Availability'!$F:$F,J20)&amp;""),0),"0%")&amp;")","")&amp;CHAR(10)&amp;IF(INDEX('Reguler Class Availability'!$I:$I,J20)&amp;""="","coach: –",PROPER(INDEX('Reguler Class Availability'!$I:$I,J20)&amp;""))&amp;IF(INDEX('Reguler Class Availability'!$J:$J,J20)&amp;""="","",CHAR(10)&amp;"asst: "&amp;PROPER(INDEX('Reguler Class Availability'!$J:$J,J20)&amp;""))))</f>
        <v>Baby  3/5  (60%)
Danti</v>
      </c>
      <c r="C20" s="40" t="str">
        <f aca="false">IF(K20="","",IF(S20="Tidak dibuka","–",IF(INDEX('Reguler Class Availability'!$B:$B,K20)&amp;""="","Kosong",PROPER(INDEX('Reguler Class Availability'!$B:$B,K20)&amp;""))&amp;"  "&amp;IFERROR(--(INDEX('Reguler Class Availability'!$G:$G,K20)&amp;""),0)&amp;"/"&amp;IFERROR(--(INDEX('Reguler Class Availability'!$F:$F,K20)&amp;""),0)&amp;IF(IFERROR(--(INDEX('Reguler Class Availability'!$F:$F,K20)&amp;""),0)&gt;0,"  ("&amp;TEXT(IFERROR(--(INDEX('Reguler Class Availability'!$G:$G,K20)&amp;""),0)/IFERROR(--(INDEX('Reguler Class Availability'!$F:$F,K20)&amp;""),0),"0%")&amp;")","")&amp;CHAR(10)&amp;IF(INDEX('Reguler Class Availability'!$I:$I,K20)&amp;""="","coach: –",PROPER(INDEX('Reguler Class Availability'!$I:$I,K20)&amp;""))&amp;IF(INDEX('Reguler Class Availability'!$J:$J,K20)&amp;""="","",CHAR(10)&amp;"asst: "&amp;PROPER(INDEX('Reguler Class Availability'!$J:$J,K20)&amp;""))))</f>
        <v>–</v>
      </c>
      <c r="D20" s="40" t="str">
        <f aca="false">IF(L20="","",IF(T20="Tidak dibuka","–",IF(INDEX('Reguler Class Availability'!$B:$B,L20)&amp;""="","Kosong",PROPER(INDEX('Reguler Class Availability'!$B:$B,L20)&amp;""))&amp;"  "&amp;IFERROR(--(INDEX('Reguler Class Availability'!$G:$G,L20)&amp;""),0)&amp;"/"&amp;IFERROR(--(INDEX('Reguler Class Availability'!$F:$F,L20)&amp;""),0)&amp;IF(IFERROR(--(INDEX('Reguler Class Availability'!$F:$F,L20)&amp;""),0)&gt;0,"  ("&amp;TEXT(IFERROR(--(INDEX('Reguler Class Availability'!$G:$G,L20)&amp;""),0)/IFERROR(--(INDEX('Reguler Class Availability'!$F:$F,L20)&amp;""),0),"0%")&amp;")","")&amp;CHAR(10)&amp;IF(INDEX('Reguler Class Availability'!$I:$I,L20)&amp;""="","coach: –",PROPER(INDEX('Reguler Class Availability'!$I:$I,L20)&amp;""))&amp;IF(INDEX('Reguler Class Availability'!$J:$J,L20)&amp;""="","",CHAR(10)&amp;"asst: "&amp;PROPER(INDEX('Reguler Class Availability'!$J:$J,L20)&amp;""))))</f>
        <v>–</v>
      </c>
      <c r="E20" s="40" t="str">
        <f aca="false">IF(M20="","",IF(U20="Tidak dibuka","–",IF(INDEX('Reguler Class Availability'!$B:$B,M20)&amp;""="","Kosong",PROPER(INDEX('Reguler Class Availability'!$B:$B,M20)&amp;""))&amp;"  "&amp;IFERROR(--(INDEX('Reguler Class Availability'!$G:$G,M20)&amp;""),0)&amp;"/"&amp;IFERROR(--(INDEX('Reguler Class Availability'!$F:$F,M20)&amp;""),0)&amp;IF(IFERROR(--(INDEX('Reguler Class Availability'!$F:$F,M20)&amp;""),0)&gt;0,"  ("&amp;TEXT(IFERROR(--(INDEX('Reguler Class Availability'!$G:$G,M20)&amp;""),0)/IFERROR(--(INDEX('Reguler Class Availability'!$F:$F,M20)&amp;""),0),"0%")&amp;")","")&amp;CHAR(10)&amp;IF(INDEX('Reguler Class Availability'!$I:$I,M20)&amp;""="","coach: –",PROPER(INDEX('Reguler Class Availability'!$I:$I,M20)&amp;""))&amp;IF(INDEX('Reguler Class Availability'!$J:$J,M20)&amp;""="","",CHAR(10)&amp;"asst: "&amp;PROPER(INDEX('Reguler Class Availability'!$J:$J,M20)&amp;""))))</f>
        <v>–</v>
      </c>
      <c r="F20" s="40" t="str">
        <f aca="false">IF(N20="","",IF(V20="Tidak dibuka","–",IF(INDEX('Reguler Class Availability'!$B:$B,N20)&amp;""="","Kosong",PROPER(INDEX('Reguler Class Availability'!$B:$B,N20)&amp;""))&amp;"  "&amp;IFERROR(--(INDEX('Reguler Class Availability'!$G:$G,N20)&amp;""),0)&amp;"/"&amp;IFERROR(--(INDEX('Reguler Class Availability'!$F:$F,N20)&amp;""),0)&amp;IF(IFERROR(--(INDEX('Reguler Class Availability'!$F:$F,N20)&amp;""),0)&gt;0,"  ("&amp;TEXT(IFERROR(--(INDEX('Reguler Class Availability'!$G:$G,N20)&amp;""),0)/IFERROR(--(INDEX('Reguler Class Availability'!$F:$F,N20)&amp;""),0),"0%")&amp;")","")&amp;CHAR(10)&amp;IF(INDEX('Reguler Class Availability'!$I:$I,N20)&amp;""="","coach: –",PROPER(INDEX('Reguler Class Availability'!$I:$I,N20)&amp;""))&amp;IF(INDEX('Reguler Class Availability'!$J:$J,N20)&amp;""="","",CHAR(10)&amp;"asst: "&amp;PROPER(INDEX('Reguler Class Availability'!$J:$J,N20)&amp;""))))</f>
        <v>–</v>
      </c>
      <c r="G20" s="40" t="str">
        <f aca="false">IF(O20="","",IF(W20="Tidak dibuka","–",IF(INDEX('Reguler Class Availability'!$B:$B,O20)&amp;""="","Kosong",PROPER(INDEX('Reguler Class Availability'!$B:$B,O20)&amp;""))&amp;"  "&amp;IFERROR(--(INDEX('Reguler Class Availability'!$G:$G,O20)&amp;""),0)&amp;"/"&amp;IFERROR(--(INDEX('Reguler Class Availability'!$F:$F,O20)&amp;""),0)&amp;IF(IFERROR(--(INDEX('Reguler Class Availability'!$F:$F,O20)&amp;""),0)&gt;0,"  ("&amp;TEXT(IFERROR(--(INDEX('Reguler Class Availability'!$G:$G,O20)&amp;""),0)/IFERROR(--(INDEX('Reguler Class Availability'!$F:$F,O20)&amp;""),0),"0%")&amp;")","")&amp;CHAR(10)&amp;IF(INDEX('Reguler Class Availability'!$I:$I,O20)&amp;""="","coach: –",PROPER(INDEX('Reguler Class Availability'!$I:$I,O20)&amp;""))&amp;IF(INDEX('Reguler Class Availability'!$J:$J,O20)&amp;""="","",CHAR(10)&amp;"asst: "&amp;PROPER(INDEX('Reguler Class Availability'!$J:$J,O20)&amp;""))))</f>
        <v>Little  2/4  (50%)
Daffa</v>
      </c>
      <c r="H20" s="40" t="str">
        <f aca="false">IF(P20="","",IF(X20="Tidak dibuka","–",IF(INDEX('Reguler Class Availability'!$B:$B,P20)&amp;""="","Kosong",PROPER(INDEX('Reguler Class Availability'!$B:$B,P20)&amp;""))&amp;"  "&amp;IFERROR(--(INDEX('Reguler Class Availability'!$G:$G,P20)&amp;""),0)&amp;"/"&amp;IFERROR(--(INDEX('Reguler Class Availability'!$F:$F,P20)&amp;""),0)&amp;IF(IFERROR(--(INDEX('Reguler Class Availability'!$F:$F,P20)&amp;""),0)&gt;0,"  ("&amp;TEXT(IFERROR(--(INDEX('Reguler Class Availability'!$G:$G,P20)&amp;""),0)/IFERROR(--(INDEX('Reguler Class Availability'!$F:$F,P20)&amp;""),0),"0%")&amp;")","")&amp;CHAR(10)&amp;IF(INDEX('Reguler Class Availability'!$I:$I,P20)&amp;""="","coach: –",PROPER(INDEX('Reguler Class Availability'!$I:$I,P20)&amp;""))&amp;IF(INDEX('Reguler Class Availability'!$J:$J,P20)&amp;""="","",CHAR(10)&amp;"asst: "&amp;PROPER(INDEX('Reguler Class Availability'!$J:$J,P20)&amp;""))))</f>
        <v>Kosong  0/5  (0%)
coach: –</v>
      </c>
      <c r="J20" s="4" t="n">
        <f aca="false">IF($A20="","",IFERROR(MATCH($B$4&amp;"|- Lane 1 - "&amp;B$13&amp;"|"&amp;$A20,'Reguler Class Availability'!$L:$L,0),""))</f>
        <v>7</v>
      </c>
      <c r="K20" s="4" t="n">
        <f aca="false">IF($A20="","",IFERROR(MATCH($B$4&amp;"|- Lane 1 - "&amp;C$13&amp;"|"&amp;$A20,'Reguler Class Availability'!$L:$L,0),""))</f>
        <v>19</v>
      </c>
      <c r="L20" s="4" t="n">
        <f aca="false">IF($A20="","",IFERROR(MATCH($B$4&amp;"|- Lane 1 - "&amp;D$13&amp;"|"&amp;$A20,'Reguler Class Availability'!$L:$L,0),""))</f>
        <v>31</v>
      </c>
      <c r="M20" s="4" t="n">
        <f aca="false">IF($A20="","",IFERROR(MATCH($B$4&amp;"|- Lane 1 - "&amp;E$13&amp;"|"&amp;$A20,'Reguler Class Availability'!$L:$L,0),""))</f>
        <v>43</v>
      </c>
      <c r="N20" s="4" t="n">
        <f aca="false">IF($A20="","",IFERROR(MATCH($B$4&amp;"|- Lane 1 - "&amp;F$13&amp;"|"&amp;$A20,'Reguler Class Availability'!$L:$L,0),""))</f>
        <v>55</v>
      </c>
      <c r="O20" s="4" t="n">
        <f aca="false">IF($A20="","",IFERROR(MATCH($B$4&amp;"|- Lane 1 - "&amp;G$13&amp;"|"&amp;$A20,'Reguler Class Availability'!$L:$L,0),""))</f>
        <v>67</v>
      </c>
      <c r="P20" s="4" t="n">
        <f aca="false">IF($A20="","",IFERROR(MATCH($B$4&amp;"|- Lane 1 - "&amp;H$13&amp;"|"&amp;$A20,'Reguler Class Availability'!$L:$L,0),""))</f>
        <v>79</v>
      </c>
      <c r="R20" s="0" t="str">
        <f aca="false">IF(J20="","",IF(AND(IFERROR(--(INDEX('Reguler Class Availability'!$F:$F,J20)&amp;""),0)=0,IFERROR(--(INDEX('Reguler Class Availability'!$G:$G,J20)&amp;""),0)=0),IF(OR(INDEX('Reguler Class Availability'!$B:$B,J20)&amp;""&lt;&gt;"",INDEX('Reguler Class Availability'!$I:$I,J20)&amp;""&lt;&gt;""),"Tutup","Tidak dibuka"),IF(IFERROR(--(INDEX('Reguler Class Availability'!$G:$G,J20)&amp;""),0)&gt;IFERROR(--(INDEX('Reguler Class Availability'!$F:$F,J20)&amp;""),0),"Lebih",IF(IFERROR(--(INDEX('Reguler Class Availability'!$G:$G,J20)&amp;""),0)=IFERROR(--(INDEX('Reguler Class Availability'!$F:$F,J20)&amp;""),0),"Penuh",IF(IFERROR(--(INDEX('Reguler Class Availability'!$G:$G,J20)&amp;""),0)=0,IF(INDEX('Reguler Class Availability'!$B:$B,J20)&amp;""="","Kosong","Belum terisi"),IF(IFERROR(--(INDEX('Reguler Class Availability'!$G:$G,J20)&amp;""),0)/IFERROR(--(INDEX('Reguler Class Availability'!$F:$F,J20)&amp;""),0)&gt;=0.6,"Tinggi","Sebagian"))))))</f>
        <v>Tinggi</v>
      </c>
      <c r="S20" s="0" t="str">
        <f aca="false">IF(K20="","",IF(AND(IFERROR(--(INDEX('Reguler Class Availability'!$F:$F,K20)&amp;""),0)=0,IFERROR(--(INDEX('Reguler Class Availability'!$G:$G,K20)&amp;""),0)=0),IF(OR(INDEX('Reguler Class Availability'!$B:$B,K20)&amp;""&lt;&gt;"",INDEX('Reguler Class Availability'!$I:$I,K20)&amp;""&lt;&gt;""),"Tutup","Tidak dibuka"),IF(IFERROR(--(INDEX('Reguler Class Availability'!$G:$G,K20)&amp;""),0)&gt;IFERROR(--(INDEX('Reguler Class Availability'!$F:$F,K20)&amp;""),0),"Lebih",IF(IFERROR(--(INDEX('Reguler Class Availability'!$G:$G,K20)&amp;""),0)=IFERROR(--(INDEX('Reguler Class Availability'!$F:$F,K20)&amp;""),0),"Penuh",IF(IFERROR(--(INDEX('Reguler Class Availability'!$G:$G,K20)&amp;""),0)=0,IF(INDEX('Reguler Class Availability'!$B:$B,K20)&amp;""="","Kosong","Belum terisi"),IF(IFERROR(--(INDEX('Reguler Class Availability'!$G:$G,K20)&amp;""),0)/IFERROR(--(INDEX('Reguler Class Availability'!$F:$F,K20)&amp;""),0)&gt;=0.6,"Tinggi","Sebagian"))))))</f>
        <v>Tidak dibuka</v>
      </c>
      <c r="T20" s="0" t="str">
        <f aca="false">IF(L20="","",IF(AND(IFERROR(--(INDEX('Reguler Class Availability'!$F:$F,L20)&amp;""),0)=0,IFERROR(--(INDEX('Reguler Class Availability'!$G:$G,L20)&amp;""),0)=0),IF(OR(INDEX('Reguler Class Availability'!$B:$B,L20)&amp;""&lt;&gt;"",INDEX('Reguler Class Availability'!$I:$I,L20)&amp;""&lt;&gt;""),"Tutup","Tidak dibuka"),IF(IFERROR(--(INDEX('Reguler Class Availability'!$G:$G,L20)&amp;""),0)&gt;IFERROR(--(INDEX('Reguler Class Availability'!$F:$F,L20)&amp;""),0),"Lebih",IF(IFERROR(--(INDEX('Reguler Class Availability'!$G:$G,L20)&amp;""),0)=IFERROR(--(INDEX('Reguler Class Availability'!$F:$F,L20)&amp;""),0),"Penuh",IF(IFERROR(--(INDEX('Reguler Class Availability'!$G:$G,L20)&amp;""),0)=0,IF(INDEX('Reguler Class Availability'!$B:$B,L20)&amp;""="","Kosong","Belum terisi"),IF(IFERROR(--(INDEX('Reguler Class Availability'!$G:$G,L20)&amp;""),0)/IFERROR(--(INDEX('Reguler Class Availability'!$F:$F,L20)&amp;""),0)&gt;=0.6,"Tinggi","Sebagian"))))))</f>
        <v>Tidak dibuka</v>
      </c>
      <c r="U20" s="0" t="str">
        <f aca="false">IF(M20="","",IF(AND(IFERROR(--(INDEX('Reguler Class Availability'!$F:$F,M20)&amp;""),0)=0,IFERROR(--(INDEX('Reguler Class Availability'!$G:$G,M20)&amp;""),0)=0),IF(OR(INDEX('Reguler Class Availability'!$B:$B,M20)&amp;""&lt;&gt;"",INDEX('Reguler Class Availability'!$I:$I,M20)&amp;""&lt;&gt;""),"Tutup","Tidak dibuka"),IF(IFERROR(--(INDEX('Reguler Class Availability'!$G:$G,M20)&amp;""),0)&gt;IFERROR(--(INDEX('Reguler Class Availability'!$F:$F,M20)&amp;""),0),"Lebih",IF(IFERROR(--(INDEX('Reguler Class Availability'!$G:$G,M20)&amp;""),0)=IFERROR(--(INDEX('Reguler Class Availability'!$F:$F,M20)&amp;""),0),"Penuh",IF(IFERROR(--(INDEX('Reguler Class Availability'!$G:$G,M20)&amp;""),0)=0,IF(INDEX('Reguler Class Availability'!$B:$B,M20)&amp;""="","Kosong","Belum terisi"),IF(IFERROR(--(INDEX('Reguler Class Availability'!$G:$G,M20)&amp;""),0)/IFERROR(--(INDEX('Reguler Class Availability'!$F:$F,M20)&amp;""),0)&gt;=0.6,"Tinggi","Sebagian"))))))</f>
        <v>Tidak dibuka</v>
      </c>
      <c r="V20" s="0" t="str">
        <f aca="false">IF(N20="","",IF(AND(IFERROR(--(INDEX('Reguler Class Availability'!$F:$F,N20)&amp;""),0)=0,IFERROR(--(INDEX('Reguler Class Availability'!$G:$G,N20)&amp;""),0)=0),IF(OR(INDEX('Reguler Class Availability'!$B:$B,N20)&amp;""&lt;&gt;"",INDEX('Reguler Class Availability'!$I:$I,N20)&amp;""&lt;&gt;""),"Tutup","Tidak dibuka"),IF(IFERROR(--(INDEX('Reguler Class Availability'!$G:$G,N20)&amp;""),0)&gt;IFERROR(--(INDEX('Reguler Class Availability'!$F:$F,N20)&amp;""),0),"Lebih",IF(IFERROR(--(INDEX('Reguler Class Availability'!$G:$G,N20)&amp;""),0)=IFERROR(--(INDEX('Reguler Class Availability'!$F:$F,N20)&amp;""),0),"Penuh",IF(IFERROR(--(INDEX('Reguler Class Availability'!$G:$G,N20)&amp;""),0)=0,IF(INDEX('Reguler Class Availability'!$B:$B,N20)&amp;""="","Kosong","Belum terisi"),IF(IFERROR(--(INDEX('Reguler Class Availability'!$G:$G,N20)&amp;""),0)/IFERROR(--(INDEX('Reguler Class Availability'!$F:$F,N20)&amp;""),0)&gt;=0.6,"Tinggi","Sebagian"))))))</f>
        <v>Tidak dibuka</v>
      </c>
      <c r="W20" s="0" t="str">
        <f aca="false">IF(O20="","",IF(AND(IFERROR(--(INDEX('Reguler Class Availability'!$F:$F,O20)&amp;""),0)=0,IFERROR(--(INDEX('Reguler Class Availability'!$G:$G,O20)&amp;""),0)=0),IF(OR(INDEX('Reguler Class Availability'!$B:$B,O20)&amp;""&lt;&gt;"",INDEX('Reguler Class Availability'!$I:$I,O20)&amp;""&lt;&gt;""),"Tutup","Tidak dibuka"),IF(IFERROR(--(INDEX('Reguler Class Availability'!$G:$G,O20)&amp;""),0)&gt;IFERROR(--(INDEX('Reguler Class Availability'!$F:$F,O20)&amp;""),0),"Lebih",IF(IFERROR(--(INDEX('Reguler Class Availability'!$G:$G,O20)&amp;""),0)=IFERROR(--(INDEX('Reguler Class Availability'!$F:$F,O20)&amp;""),0),"Penuh",IF(IFERROR(--(INDEX('Reguler Class Availability'!$G:$G,O20)&amp;""),0)=0,IF(INDEX('Reguler Class Availability'!$B:$B,O20)&amp;""="","Kosong","Belum terisi"),IF(IFERROR(--(INDEX('Reguler Class Availability'!$G:$G,O20)&amp;""),0)/IFERROR(--(INDEX('Reguler Class Availability'!$F:$F,O20)&amp;""),0)&gt;=0.6,"Tinggi","Sebagian"))))))</f>
        <v>Sebagian</v>
      </c>
      <c r="X20" s="0" t="str">
        <f aca="false">IF(P20="","",IF(AND(IFERROR(--(INDEX('Reguler Class Availability'!$F:$F,P20)&amp;""),0)=0,IFERROR(--(INDEX('Reguler Class Availability'!$G:$G,P20)&amp;""),0)=0),IF(OR(INDEX('Reguler Class Availability'!$B:$B,P20)&amp;""&lt;&gt;"",INDEX('Reguler Class Availability'!$I:$I,P20)&amp;""&lt;&gt;""),"Tutup","Tidak dibuka"),IF(IFERROR(--(INDEX('Reguler Class Availability'!$G:$G,P20)&amp;""),0)&gt;IFERROR(--(INDEX('Reguler Class Availability'!$F:$F,P20)&amp;""),0),"Lebih",IF(IFERROR(--(INDEX('Reguler Class Availability'!$G:$G,P20)&amp;""),0)=IFERROR(--(INDEX('Reguler Class Availability'!$F:$F,P20)&amp;""),0),"Penuh",IF(IFERROR(--(INDEX('Reguler Class Availability'!$G:$G,P20)&amp;""),0)=0,IF(INDEX('Reguler Class Availability'!$B:$B,P20)&amp;""="","Kosong","Belum terisi"),IF(IFERROR(--(INDEX('Reguler Class Availability'!$G:$G,P20)&amp;""),0)/IFERROR(--(INDEX('Reguler Class Availability'!$F:$F,P20)&amp;""),0)&gt;=0.6,"Tinggi","Sebagian"))))))</f>
        <v>Kosong</v>
      </c>
      <c r="Z20" s="4" t="s">
        <v>53</v>
      </c>
      <c r="AA20" s="4" t="n">
        <f aca="false">IF(COUNTIFS('Reguler Class Availability'!$L:$L,$B$4&amp;"|- Lane 1 - *|"&amp;Z20)&gt;0,1,0)</f>
        <v>1</v>
      </c>
      <c r="AB20" s="4" t="n">
        <f aca="false">AA20+AB19</f>
        <v>5</v>
      </c>
    </row>
    <row r="21" customFormat="false" ht="39.75" hidden="false" customHeight="true" outlineLevel="0" collapsed="false">
      <c r="A21" s="39" t="str">
        <f aca="false">IFERROR(INDEX($Z$2:$Z$61,MATCH(8,$AB$2:$AB$61,0)),"")</f>
        <v>13:30</v>
      </c>
      <c r="B21" s="40" t="str">
        <f aca="false">IF(J21="","",IF(R21="Tidak dibuka","–",IF(INDEX('Reguler Class Availability'!$B:$B,J21)&amp;""="","Kosong",PROPER(INDEX('Reguler Class Availability'!$B:$B,J21)&amp;""))&amp;"  "&amp;IFERROR(--(INDEX('Reguler Class Availability'!$G:$G,J21)&amp;""),0)&amp;"/"&amp;IFERROR(--(INDEX('Reguler Class Availability'!$F:$F,J21)&amp;""),0)&amp;IF(IFERROR(--(INDEX('Reguler Class Availability'!$F:$F,J21)&amp;""),0)&gt;0,"  ("&amp;TEXT(IFERROR(--(INDEX('Reguler Class Availability'!$G:$G,J21)&amp;""),0)/IFERROR(--(INDEX('Reguler Class Availability'!$F:$F,J21)&amp;""),0),"0%")&amp;")","")&amp;CHAR(10)&amp;IF(INDEX('Reguler Class Availability'!$I:$I,J21)&amp;""="","coach: –",PROPER(INDEX('Reguler Class Availability'!$I:$I,J21)&amp;""))&amp;IF(INDEX('Reguler Class Availability'!$J:$J,J21)&amp;""="","",CHAR(10)&amp;"asst: "&amp;PROPER(INDEX('Reguler Class Availability'!$J:$J,J21)&amp;""))))</f>
        <v>Little  1/4  (25%)
Gita</v>
      </c>
      <c r="C21" s="40" t="str">
        <f aca="false">IF(K21="","",IF(S21="Tidak dibuka","–",IF(INDEX('Reguler Class Availability'!$B:$B,K21)&amp;""="","Kosong",PROPER(INDEX('Reguler Class Availability'!$B:$B,K21)&amp;""))&amp;"  "&amp;IFERROR(--(INDEX('Reguler Class Availability'!$G:$G,K21)&amp;""),0)&amp;"/"&amp;IFERROR(--(INDEX('Reguler Class Availability'!$F:$F,K21)&amp;""),0)&amp;IF(IFERROR(--(INDEX('Reguler Class Availability'!$F:$F,K21)&amp;""),0)&gt;0,"  ("&amp;TEXT(IFERROR(--(INDEX('Reguler Class Availability'!$G:$G,K21)&amp;""),0)/IFERROR(--(INDEX('Reguler Class Availability'!$F:$F,K21)&amp;""),0),"0%")&amp;")","")&amp;CHAR(10)&amp;IF(INDEX('Reguler Class Availability'!$I:$I,K21)&amp;""="","coach: –",PROPER(INDEX('Reguler Class Availability'!$I:$I,K21)&amp;""))&amp;IF(INDEX('Reguler Class Availability'!$J:$J,K21)&amp;""="","",CHAR(10)&amp;"asst: "&amp;PROPER(INDEX('Reguler Class Availability'!$J:$J,K21)&amp;""))))</f>
        <v>Kosong  0/5  (0%)
coach: –</v>
      </c>
      <c r="D21" s="40" t="str">
        <f aca="false">IF(L21="","",IF(T21="Tidak dibuka","–",IF(INDEX('Reguler Class Availability'!$B:$B,L21)&amp;""="","Kosong",PROPER(INDEX('Reguler Class Availability'!$B:$B,L21)&amp;""))&amp;"  "&amp;IFERROR(--(INDEX('Reguler Class Availability'!$G:$G,L21)&amp;""),0)&amp;"/"&amp;IFERROR(--(INDEX('Reguler Class Availability'!$F:$F,L21)&amp;""),0)&amp;IF(IFERROR(--(INDEX('Reguler Class Availability'!$F:$F,L21)&amp;""),0)&gt;0,"  ("&amp;TEXT(IFERROR(--(INDEX('Reguler Class Availability'!$G:$G,L21)&amp;""),0)/IFERROR(--(INDEX('Reguler Class Availability'!$F:$F,L21)&amp;""),0),"0%")&amp;")","")&amp;CHAR(10)&amp;IF(INDEX('Reguler Class Availability'!$I:$I,L21)&amp;""="","coach: –",PROPER(INDEX('Reguler Class Availability'!$I:$I,L21)&amp;""))&amp;IF(INDEX('Reguler Class Availability'!$J:$J,L21)&amp;""="","",CHAR(10)&amp;"asst: "&amp;PROPER(INDEX('Reguler Class Availability'!$J:$J,L21)&amp;""))))</f>
        <v>Baby  0/5  (0%)
coach: –</v>
      </c>
      <c r="E21" s="40" t="str">
        <f aca="false">IF(M21="","",IF(U21="Tidak dibuka","–",IF(INDEX('Reguler Class Availability'!$B:$B,M21)&amp;""="","Kosong",PROPER(INDEX('Reguler Class Availability'!$B:$B,M21)&amp;""))&amp;"  "&amp;IFERROR(--(INDEX('Reguler Class Availability'!$G:$G,M21)&amp;""),0)&amp;"/"&amp;IFERROR(--(INDEX('Reguler Class Availability'!$F:$F,M21)&amp;""),0)&amp;IF(IFERROR(--(INDEX('Reguler Class Availability'!$F:$F,M21)&amp;""),0)&gt;0,"  ("&amp;TEXT(IFERROR(--(INDEX('Reguler Class Availability'!$G:$G,M21)&amp;""),0)/IFERROR(--(INDEX('Reguler Class Availability'!$F:$F,M21)&amp;""),0),"0%")&amp;")","")&amp;CHAR(10)&amp;IF(INDEX('Reguler Class Availability'!$I:$I,M21)&amp;""="","coach: –",PROPER(INDEX('Reguler Class Availability'!$I:$I,M21)&amp;""))&amp;IF(INDEX('Reguler Class Availability'!$J:$J,M21)&amp;""="","",CHAR(10)&amp;"asst: "&amp;PROPER(INDEX('Reguler Class Availability'!$J:$J,M21)&amp;""))))</f>
        <v>Kosong  0/5  (0%)
coach: –</v>
      </c>
      <c r="F21" s="40" t="str">
        <f aca="false">IF(N21="","",IF(V21="Tidak dibuka","–",IF(INDEX('Reguler Class Availability'!$B:$B,N21)&amp;""="","Kosong",PROPER(INDEX('Reguler Class Availability'!$B:$B,N21)&amp;""))&amp;"  "&amp;IFERROR(--(INDEX('Reguler Class Availability'!$G:$G,N21)&amp;""),0)&amp;"/"&amp;IFERROR(--(INDEX('Reguler Class Availability'!$F:$F,N21)&amp;""),0)&amp;IF(IFERROR(--(INDEX('Reguler Class Availability'!$F:$F,N21)&amp;""),0)&gt;0,"  ("&amp;TEXT(IFERROR(--(INDEX('Reguler Class Availability'!$G:$G,N21)&amp;""),0)/IFERROR(--(INDEX('Reguler Class Availability'!$F:$F,N21)&amp;""),0),"0%")&amp;")","")&amp;CHAR(10)&amp;IF(INDEX('Reguler Class Availability'!$I:$I,N21)&amp;""="","coach: –",PROPER(INDEX('Reguler Class Availability'!$I:$I,N21)&amp;""))&amp;IF(INDEX('Reguler Class Availability'!$J:$J,N21)&amp;""="","",CHAR(10)&amp;"asst: "&amp;PROPER(INDEX('Reguler Class Availability'!$J:$J,N21)&amp;""))))</f>
        <v>Kosong  0/5  (0%)
coach: –</v>
      </c>
      <c r="G21" s="40" t="str">
        <f aca="false">IF(O21="","",IF(W21="Tidak dibuka","–",IF(INDEX('Reguler Class Availability'!$B:$B,O21)&amp;""="","Kosong",PROPER(INDEX('Reguler Class Availability'!$B:$B,O21)&amp;""))&amp;"  "&amp;IFERROR(--(INDEX('Reguler Class Availability'!$G:$G,O21)&amp;""),0)&amp;"/"&amp;IFERROR(--(INDEX('Reguler Class Availability'!$F:$F,O21)&amp;""),0)&amp;IF(IFERROR(--(INDEX('Reguler Class Availability'!$F:$F,O21)&amp;""),0)&gt;0,"  ("&amp;TEXT(IFERROR(--(INDEX('Reguler Class Availability'!$G:$G,O21)&amp;""),0)/IFERROR(--(INDEX('Reguler Class Availability'!$F:$F,O21)&amp;""),0),"0%")&amp;")","")&amp;CHAR(10)&amp;IF(INDEX('Reguler Class Availability'!$I:$I,O21)&amp;""="","coach: –",PROPER(INDEX('Reguler Class Availability'!$I:$I,O21)&amp;""))&amp;IF(INDEX('Reguler Class Availability'!$J:$J,O21)&amp;""="","",CHAR(10)&amp;"asst: "&amp;PROPER(INDEX('Reguler Class Availability'!$J:$J,O21)&amp;""))))</f>
        <v>Baby  5/5  (100%)
Danti</v>
      </c>
      <c r="H21" s="40" t="str">
        <f aca="false">IF(P21="","",IF(X21="Tidak dibuka","–",IF(INDEX('Reguler Class Availability'!$B:$B,P21)&amp;""="","Kosong",PROPER(INDEX('Reguler Class Availability'!$B:$B,P21)&amp;""))&amp;"  "&amp;IFERROR(--(INDEX('Reguler Class Availability'!$G:$G,P21)&amp;""),0)&amp;"/"&amp;IFERROR(--(INDEX('Reguler Class Availability'!$F:$F,P21)&amp;""),0)&amp;IF(IFERROR(--(INDEX('Reguler Class Availability'!$F:$F,P21)&amp;""),0)&gt;0,"  ("&amp;TEXT(IFERROR(--(INDEX('Reguler Class Availability'!$G:$G,P21)&amp;""),0)/IFERROR(--(INDEX('Reguler Class Availability'!$F:$F,P21)&amp;""),0),"0%")&amp;")","")&amp;CHAR(10)&amp;IF(INDEX('Reguler Class Availability'!$I:$I,P21)&amp;""="","coach: –",PROPER(INDEX('Reguler Class Availability'!$I:$I,P21)&amp;""))&amp;IF(INDEX('Reguler Class Availability'!$J:$J,P21)&amp;""="","",CHAR(10)&amp;"asst: "&amp;PROPER(INDEX('Reguler Class Availability'!$J:$J,P21)&amp;""))))</f>
        <v>Baby  3/5  (60%)
Eka</v>
      </c>
      <c r="J21" s="4" t="n">
        <f aca="false">IF($A21="","",IFERROR(MATCH($B$4&amp;"|- Lane 1 - "&amp;B$13&amp;"|"&amp;$A21,'Reguler Class Availability'!$L:$L,0),""))</f>
        <v>8</v>
      </c>
      <c r="K21" s="4" t="n">
        <f aca="false">IF($A21="","",IFERROR(MATCH($B$4&amp;"|- Lane 1 - "&amp;C$13&amp;"|"&amp;$A21,'Reguler Class Availability'!$L:$L,0),""))</f>
        <v>20</v>
      </c>
      <c r="L21" s="4" t="n">
        <f aca="false">IF($A21="","",IFERROR(MATCH($B$4&amp;"|- Lane 1 - "&amp;D$13&amp;"|"&amp;$A21,'Reguler Class Availability'!$L:$L,0),""))</f>
        <v>32</v>
      </c>
      <c r="M21" s="4" t="n">
        <f aca="false">IF($A21="","",IFERROR(MATCH($B$4&amp;"|- Lane 1 - "&amp;E$13&amp;"|"&amp;$A21,'Reguler Class Availability'!$L:$L,0),""))</f>
        <v>44</v>
      </c>
      <c r="N21" s="4" t="n">
        <f aca="false">IF($A21="","",IFERROR(MATCH($B$4&amp;"|- Lane 1 - "&amp;F$13&amp;"|"&amp;$A21,'Reguler Class Availability'!$L:$L,0),""))</f>
        <v>56</v>
      </c>
      <c r="O21" s="4" t="n">
        <f aca="false">IF($A21="","",IFERROR(MATCH($B$4&amp;"|- Lane 1 - "&amp;G$13&amp;"|"&amp;$A21,'Reguler Class Availability'!$L:$L,0),""))</f>
        <v>68</v>
      </c>
      <c r="P21" s="4" t="n">
        <f aca="false">IF($A21="","",IFERROR(MATCH($B$4&amp;"|- Lane 1 - "&amp;H$13&amp;"|"&amp;$A21,'Reguler Class Availability'!$L:$L,0),""))</f>
        <v>80</v>
      </c>
      <c r="R21" s="0" t="str">
        <f aca="false">IF(J21="","",IF(AND(IFERROR(--(INDEX('Reguler Class Availability'!$F:$F,J21)&amp;""),0)=0,IFERROR(--(INDEX('Reguler Class Availability'!$G:$G,J21)&amp;""),0)=0),IF(OR(INDEX('Reguler Class Availability'!$B:$B,J21)&amp;""&lt;&gt;"",INDEX('Reguler Class Availability'!$I:$I,J21)&amp;""&lt;&gt;""),"Tutup","Tidak dibuka"),IF(IFERROR(--(INDEX('Reguler Class Availability'!$G:$G,J21)&amp;""),0)&gt;IFERROR(--(INDEX('Reguler Class Availability'!$F:$F,J21)&amp;""),0),"Lebih",IF(IFERROR(--(INDEX('Reguler Class Availability'!$G:$G,J21)&amp;""),0)=IFERROR(--(INDEX('Reguler Class Availability'!$F:$F,J21)&amp;""),0),"Penuh",IF(IFERROR(--(INDEX('Reguler Class Availability'!$G:$G,J21)&amp;""),0)=0,IF(INDEX('Reguler Class Availability'!$B:$B,J21)&amp;""="","Kosong","Belum terisi"),IF(IFERROR(--(INDEX('Reguler Class Availability'!$G:$G,J21)&amp;""),0)/IFERROR(--(INDEX('Reguler Class Availability'!$F:$F,J21)&amp;""),0)&gt;=0.6,"Tinggi","Sebagian"))))))</f>
        <v>Sebagian</v>
      </c>
      <c r="S21" s="0" t="str">
        <f aca="false">IF(K21="","",IF(AND(IFERROR(--(INDEX('Reguler Class Availability'!$F:$F,K21)&amp;""),0)=0,IFERROR(--(INDEX('Reguler Class Availability'!$G:$G,K21)&amp;""),0)=0),IF(OR(INDEX('Reguler Class Availability'!$B:$B,K21)&amp;""&lt;&gt;"",INDEX('Reguler Class Availability'!$I:$I,K21)&amp;""&lt;&gt;""),"Tutup","Tidak dibuka"),IF(IFERROR(--(INDEX('Reguler Class Availability'!$G:$G,K21)&amp;""),0)&gt;IFERROR(--(INDEX('Reguler Class Availability'!$F:$F,K21)&amp;""),0),"Lebih",IF(IFERROR(--(INDEX('Reguler Class Availability'!$G:$G,K21)&amp;""),0)=IFERROR(--(INDEX('Reguler Class Availability'!$F:$F,K21)&amp;""),0),"Penuh",IF(IFERROR(--(INDEX('Reguler Class Availability'!$G:$G,K21)&amp;""),0)=0,IF(INDEX('Reguler Class Availability'!$B:$B,K21)&amp;""="","Kosong","Belum terisi"),IF(IFERROR(--(INDEX('Reguler Class Availability'!$G:$G,K21)&amp;""),0)/IFERROR(--(INDEX('Reguler Class Availability'!$F:$F,K21)&amp;""),0)&gt;=0.6,"Tinggi","Sebagian"))))))</f>
        <v>Kosong</v>
      </c>
      <c r="T21" s="0" t="str">
        <f aca="false">IF(L21="","",IF(AND(IFERROR(--(INDEX('Reguler Class Availability'!$F:$F,L21)&amp;""),0)=0,IFERROR(--(INDEX('Reguler Class Availability'!$G:$G,L21)&amp;""),0)=0),IF(OR(INDEX('Reguler Class Availability'!$B:$B,L21)&amp;""&lt;&gt;"",INDEX('Reguler Class Availability'!$I:$I,L21)&amp;""&lt;&gt;""),"Tutup","Tidak dibuka"),IF(IFERROR(--(INDEX('Reguler Class Availability'!$G:$G,L21)&amp;""),0)&gt;IFERROR(--(INDEX('Reguler Class Availability'!$F:$F,L21)&amp;""),0),"Lebih",IF(IFERROR(--(INDEX('Reguler Class Availability'!$G:$G,L21)&amp;""),0)=IFERROR(--(INDEX('Reguler Class Availability'!$F:$F,L21)&amp;""),0),"Penuh",IF(IFERROR(--(INDEX('Reguler Class Availability'!$G:$G,L21)&amp;""),0)=0,IF(INDEX('Reguler Class Availability'!$B:$B,L21)&amp;""="","Kosong","Belum terisi"),IF(IFERROR(--(INDEX('Reguler Class Availability'!$G:$G,L21)&amp;""),0)/IFERROR(--(INDEX('Reguler Class Availability'!$F:$F,L21)&amp;""),0)&gt;=0.6,"Tinggi","Sebagian"))))))</f>
        <v>Belum terisi</v>
      </c>
      <c r="U21" s="0" t="str">
        <f aca="false">IF(M21="","",IF(AND(IFERROR(--(INDEX('Reguler Class Availability'!$F:$F,M21)&amp;""),0)=0,IFERROR(--(INDEX('Reguler Class Availability'!$G:$G,M21)&amp;""),0)=0),IF(OR(INDEX('Reguler Class Availability'!$B:$B,M21)&amp;""&lt;&gt;"",INDEX('Reguler Class Availability'!$I:$I,M21)&amp;""&lt;&gt;""),"Tutup","Tidak dibuka"),IF(IFERROR(--(INDEX('Reguler Class Availability'!$G:$G,M21)&amp;""),0)&gt;IFERROR(--(INDEX('Reguler Class Availability'!$F:$F,M21)&amp;""),0),"Lebih",IF(IFERROR(--(INDEX('Reguler Class Availability'!$G:$G,M21)&amp;""),0)=IFERROR(--(INDEX('Reguler Class Availability'!$F:$F,M21)&amp;""),0),"Penuh",IF(IFERROR(--(INDEX('Reguler Class Availability'!$G:$G,M21)&amp;""),0)=0,IF(INDEX('Reguler Class Availability'!$B:$B,M21)&amp;""="","Kosong","Belum terisi"),IF(IFERROR(--(INDEX('Reguler Class Availability'!$G:$G,M21)&amp;""),0)/IFERROR(--(INDEX('Reguler Class Availability'!$F:$F,M21)&amp;""),0)&gt;=0.6,"Tinggi","Sebagian"))))))</f>
        <v>Kosong</v>
      </c>
      <c r="V21" s="0" t="str">
        <f aca="false">IF(N21="","",IF(AND(IFERROR(--(INDEX('Reguler Class Availability'!$F:$F,N21)&amp;""),0)=0,IFERROR(--(INDEX('Reguler Class Availability'!$G:$G,N21)&amp;""),0)=0),IF(OR(INDEX('Reguler Class Availability'!$B:$B,N21)&amp;""&lt;&gt;"",INDEX('Reguler Class Availability'!$I:$I,N21)&amp;""&lt;&gt;""),"Tutup","Tidak dibuka"),IF(IFERROR(--(INDEX('Reguler Class Availability'!$G:$G,N21)&amp;""),0)&gt;IFERROR(--(INDEX('Reguler Class Availability'!$F:$F,N21)&amp;""),0),"Lebih",IF(IFERROR(--(INDEX('Reguler Class Availability'!$G:$G,N21)&amp;""),0)=IFERROR(--(INDEX('Reguler Class Availability'!$F:$F,N21)&amp;""),0),"Penuh",IF(IFERROR(--(INDEX('Reguler Class Availability'!$G:$G,N21)&amp;""),0)=0,IF(INDEX('Reguler Class Availability'!$B:$B,N21)&amp;""="","Kosong","Belum terisi"),IF(IFERROR(--(INDEX('Reguler Class Availability'!$G:$G,N21)&amp;""),0)/IFERROR(--(INDEX('Reguler Class Availability'!$F:$F,N21)&amp;""),0)&gt;=0.6,"Tinggi","Sebagian"))))))</f>
        <v>Kosong</v>
      </c>
      <c r="W21" s="0" t="str">
        <f aca="false">IF(O21="","",IF(AND(IFERROR(--(INDEX('Reguler Class Availability'!$F:$F,O21)&amp;""),0)=0,IFERROR(--(INDEX('Reguler Class Availability'!$G:$G,O21)&amp;""),0)=0),IF(OR(INDEX('Reguler Class Availability'!$B:$B,O21)&amp;""&lt;&gt;"",INDEX('Reguler Class Availability'!$I:$I,O21)&amp;""&lt;&gt;""),"Tutup","Tidak dibuka"),IF(IFERROR(--(INDEX('Reguler Class Availability'!$G:$G,O21)&amp;""),0)&gt;IFERROR(--(INDEX('Reguler Class Availability'!$F:$F,O21)&amp;""),0),"Lebih",IF(IFERROR(--(INDEX('Reguler Class Availability'!$G:$G,O21)&amp;""),0)=IFERROR(--(INDEX('Reguler Class Availability'!$F:$F,O21)&amp;""),0),"Penuh",IF(IFERROR(--(INDEX('Reguler Class Availability'!$G:$G,O21)&amp;""),0)=0,IF(INDEX('Reguler Class Availability'!$B:$B,O21)&amp;""="","Kosong","Belum terisi"),IF(IFERROR(--(INDEX('Reguler Class Availability'!$G:$G,O21)&amp;""),0)/IFERROR(--(INDEX('Reguler Class Availability'!$F:$F,O21)&amp;""),0)&gt;=0.6,"Tinggi","Sebagian"))))))</f>
        <v>Penuh</v>
      </c>
      <c r="X21" s="0" t="str">
        <f aca="false">IF(P21="","",IF(AND(IFERROR(--(INDEX('Reguler Class Availability'!$F:$F,P21)&amp;""),0)=0,IFERROR(--(INDEX('Reguler Class Availability'!$G:$G,P21)&amp;""),0)=0),IF(OR(INDEX('Reguler Class Availability'!$B:$B,P21)&amp;""&lt;&gt;"",INDEX('Reguler Class Availability'!$I:$I,P21)&amp;""&lt;&gt;""),"Tutup","Tidak dibuka"),IF(IFERROR(--(INDEX('Reguler Class Availability'!$G:$G,P21)&amp;""),0)&gt;IFERROR(--(INDEX('Reguler Class Availability'!$F:$F,P21)&amp;""),0),"Lebih",IF(IFERROR(--(INDEX('Reguler Class Availability'!$G:$G,P21)&amp;""),0)=IFERROR(--(INDEX('Reguler Class Availability'!$F:$F,P21)&amp;""),0),"Penuh",IF(IFERROR(--(INDEX('Reguler Class Availability'!$G:$G,P21)&amp;""),0)=0,IF(INDEX('Reguler Class Availability'!$B:$B,P21)&amp;""="","Kosong","Belum terisi"),IF(IFERROR(--(INDEX('Reguler Class Availability'!$G:$G,P21)&amp;""),0)/IFERROR(--(INDEX('Reguler Class Availability'!$F:$F,P21)&amp;""),0)&gt;=0.6,"Tinggi","Sebagian"))))))</f>
        <v>Tinggi</v>
      </c>
      <c r="Z21" s="4" t="s">
        <v>54</v>
      </c>
      <c r="AA21" s="4" t="n">
        <f aca="false">IF(COUNTIFS('Reguler Class Availability'!$L:$L,$B$4&amp;"|- Lane 1 - *|"&amp;Z21)&gt;0,1,0)</f>
        <v>0</v>
      </c>
      <c r="AB21" s="4" t="n">
        <f aca="false">AA21+AB20</f>
        <v>5</v>
      </c>
    </row>
    <row r="22" customFormat="false" ht="39.75" hidden="false" customHeight="true" outlineLevel="0" collapsed="false">
      <c r="A22" s="39" t="str">
        <f aca="false">IFERROR(INDEX($Z$2:$Z$61,MATCH(9,$AB$2:$AB$61,0)),"")</f>
        <v>14:15</v>
      </c>
      <c r="B22" s="40" t="str">
        <f aca="false">IF(J22="","",IF(R22="Tidak dibuka","–",IF(INDEX('Reguler Class Availability'!$B:$B,J22)&amp;""="","Kosong",PROPER(INDEX('Reguler Class Availability'!$B:$B,J22)&amp;""))&amp;"  "&amp;IFERROR(--(INDEX('Reguler Class Availability'!$G:$G,J22)&amp;""),0)&amp;"/"&amp;IFERROR(--(INDEX('Reguler Class Availability'!$F:$F,J22)&amp;""),0)&amp;IF(IFERROR(--(INDEX('Reguler Class Availability'!$F:$F,J22)&amp;""),0)&gt;0,"  ("&amp;TEXT(IFERROR(--(INDEX('Reguler Class Availability'!$G:$G,J22)&amp;""),0)/IFERROR(--(INDEX('Reguler Class Availability'!$F:$F,J22)&amp;""),0),"0%")&amp;")","")&amp;CHAR(10)&amp;IF(INDEX('Reguler Class Availability'!$I:$I,J22)&amp;""="","coach: –",PROPER(INDEX('Reguler Class Availability'!$I:$I,J22)&amp;""))&amp;IF(INDEX('Reguler Class Availability'!$J:$J,J22)&amp;""="","",CHAR(10)&amp;"asst: "&amp;PROPER(INDEX('Reguler Class Availability'!$J:$J,J22)&amp;""))))</f>
        <v>Kosong  0/5  (0%)
coach: –</v>
      </c>
      <c r="C22" s="40" t="str">
        <f aca="false">IF(K22="","",IF(S22="Tidak dibuka","–",IF(INDEX('Reguler Class Availability'!$B:$B,K22)&amp;""="","Kosong",PROPER(INDEX('Reguler Class Availability'!$B:$B,K22)&amp;""))&amp;"  "&amp;IFERROR(--(INDEX('Reguler Class Availability'!$G:$G,K22)&amp;""),0)&amp;"/"&amp;IFERROR(--(INDEX('Reguler Class Availability'!$F:$F,K22)&amp;""),0)&amp;IF(IFERROR(--(INDEX('Reguler Class Availability'!$F:$F,K22)&amp;""),0)&gt;0,"  ("&amp;TEXT(IFERROR(--(INDEX('Reguler Class Availability'!$G:$G,K22)&amp;""),0)/IFERROR(--(INDEX('Reguler Class Availability'!$F:$F,K22)&amp;""),0),"0%")&amp;")","")&amp;CHAR(10)&amp;IF(INDEX('Reguler Class Availability'!$I:$I,K22)&amp;""="","coach: –",PROPER(INDEX('Reguler Class Availability'!$I:$I,K22)&amp;""))&amp;IF(INDEX('Reguler Class Availability'!$J:$J,K22)&amp;""="","",CHAR(10)&amp;"asst: "&amp;PROPER(INDEX('Reguler Class Availability'!$J:$J,K22)&amp;""))))</f>
        <v>Kosong  0/5  (0%)
coach: –</v>
      </c>
      <c r="D22" s="40" t="str">
        <f aca="false">IF(L22="","",IF(T22="Tidak dibuka","–",IF(INDEX('Reguler Class Availability'!$B:$B,L22)&amp;""="","Kosong",PROPER(INDEX('Reguler Class Availability'!$B:$B,L22)&amp;""))&amp;"  "&amp;IFERROR(--(INDEX('Reguler Class Availability'!$G:$G,L22)&amp;""),0)&amp;"/"&amp;IFERROR(--(INDEX('Reguler Class Availability'!$F:$F,L22)&amp;""),0)&amp;IF(IFERROR(--(INDEX('Reguler Class Availability'!$F:$F,L22)&amp;""),0)&gt;0,"  ("&amp;TEXT(IFERROR(--(INDEX('Reguler Class Availability'!$G:$G,L22)&amp;""),0)/IFERROR(--(INDEX('Reguler Class Availability'!$F:$F,L22)&amp;""),0),"0%")&amp;")","")&amp;CHAR(10)&amp;IF(INDEX('Reguler Class Availability'!$I:$I,L22)&amp;""="","coach: –",PROPER(INDEX('Reguler Class Availability'!$I:$I,L22)&amp;""))&amp;IF(INDEX('Reguler Class Availability'!$J:$J,L22)&amp;""="","",CHAR(10)&amp;"asst: "&amp;PROPER(INDEX('Reguler Class Availability'!$J:$J,L22)&amp;""))))</f>
        <v>Kosong  0/5  (0%)
coach: –</v>
      </c>
      <c r="E22" s="40" t="str">
        <f aca="false">IF(M22="","",IF(U22="Tidak dibuka","–",IF(INDEX('Reguler Class Availability'!$B:$B,M22)&amp;""="","Kosong",PROPER(INDEX('Reguler Class Availability'!$B:$B,M22)&amp;""))&amp;"  "&amp;IFERROR(--(INDEX('Reguler Class Availability'!$G:$G,M22)&amp;""),0)&amp;"/"&amp;IFERROR(--(INDEX('Reguler Class Availability'!$F:$F,M22)&amp;""),0)&amp;IF(IFERROR(--(INDEX('Reguler Class Availability'!$F:$F,M22)&amp;""),0)&gt;0,"  ("&amp;TEXT(IFERROR(--(INDEX('Reguler Class Availability'!$G:$G,M22)&amp;""),0)/IFERROR(--(INDEX('Reguler Class Availability'!$F:$F,M22)&amp;""),0),"0%")&amp;")","")&amp;CHAR(10)&amp;IF(INDEX('Reguler Class Availability'!$I:$I,M22)&amp;""="","coach: –",PROPER(INDEX('Reguler Class Availability'!$I:$I,M22)&amp;""))&amp;IF(INDEX('Reguler Class Availability'!$J:$J,M22)&amp;""="","",CHAR(10)&amp;"asst: "&amp;PROPER(INDEX('Reguler Class Availability'!$J:$J,M22)&amp;""))))</f>
        <v>Kids  1/5  (20%)
Tessa</v>
      </c>
      <c r="F22" s="40" t="str">
        <f aca="false">IF(N22="","",IF(V22="Tidak dibuka","–",IF(INDEX('Reguler Class Availability'!$B:$B,N22)&amp;""="","Kosong",PROPER(INDEX('Reguler Class Availability'!$B:$B,N22)&amp;""))&amp;"  "&amp;IFERROR(--(INDEX('Reguler Class Availability'!$G:$G,N22)&amp;""),0)&amp;"/"&amp;IFERROR(--(INDEX('Reguler Class Availability'!$F:$F,N22)&amp;""),0)&amp;IF(IFERROR(--(INDEX('Reguler Class Availability'!$F:$F,N22)&amp;""),0)&gt;0,"  ("&amp;TEXT(IFERROR(--(INDEX('Reguler Class Availability'!$G:$G,N22)&amp;""),0)/IFERROR(--(INDEX('Reguler Class Availability'!$F:$F,N22)&amp;""),0),"0%")&amp;")","")&amp;CHAR(10)&amp;IF(INDEX('Reguler Class Availability'!$I:$I,N22)&amp;""="","coach: –",PROPER(INDEX('Reguler Class Availability'!$I:$I,N22)&amp;""))&amp;IF(INDEX('Reguler Class Availability'!$J:$J,N22)&amp;""="","",CHAR(10)&amp;"asst: "&amp;PROPER(INDEX('Reguler Class Availability'!$J:$J,N22)&amp;""))))</f>
        <v>Kids  3/4  (75%)
Tessa</v>
      </c>
      <c r="G22" s="40" t="str">
        <f aca="false">IF(O22="","",IF(W22="Tidak dibuka","–",IF(INDEX('Reguler Class Availability'!$B:$B,O22)&amp;""="","Kosong",PROPER(INDEX('Reguler Class Availability'!$B:$B,O22)&amp;""))&amp;"  "&amp;IFERROR(--(INDEX('Reguler Class Availability'!$G:$G,O22)&amp;""),0)&amp;"/"&amp;IFERROR(--(INDEX('Reguler Class Availability'!$F:$F,O22)&amp;""),0)&amp;IF(IFERROR(--(INDEX('Reguler Class Availability'!$F:$F,O22)&amp;""),0)&gt;0,"  ("&amp;TEXT(IFERROR(--(INDEX('Reguler Class Availability'!$G:$G,O22)&amp;""),0)/IFERROR(--(INDEX('Reguler Class Availability'!$F:$F,O22)&amp;""),0),"0%")&amp;")","")&amp;CHAR(10)&amp;IF(INDEX('Reguler Class Availability'!$I:$I,O22)&amp;""="","coach: –",PROPER(INDEX('Reguler Class Availability'!$I:$I,O22)&amp;""))&amp;IF(INDEX('Reguler Class Availability'!$J:$J,O22)&amp;""="","",CHAR(10)&amp;"asst: "&amp;PROPER(INDEX('Reguler Class Availability'!$J:$J,O22)&amp;""))))</f>
        <v>Kids  4/4  (100%)
Daffa</v>
      </c>
      <c r="H22" s="40" t="str">
        <f aca="false">IF(P22="","",IF(X22="Tidak dibuka","–",IF(INDEX('Reguler Class Availability'!$B:$B,P22)&amp;""="","Kosong",PROPER(INDEX('Reguler Class Availability'!$B:$B,P22)&amp;""))&amp;"  "&amp;IFERROR(--(INDEX('Reguler Class Availability'!$G:$G,P22)&amp;""),0)&amp;"/"&amp;IFERROR(--(INDEX('Reguler Class Availability'!$F:$F,P22)&amp;""),0)&amp;IF(IFERROR(--(INDEX('Reguler Class Availability'!$F:$F,P22)&amp;""),0)&gt;0,"  ("&amp;TEXT(IFERROR(--(INDEX('Reguler Class Availability'!$G:$G,P22)&amp;""),0)/IFERROR(--(INDEX('Reguler Class Availability'!$F:$F,P22)&amp;""),0),"0%")&amp;")","")&amp;CHAR(10)&amp;IF(INDEX('Reguler Class Availability'!$I:$I,P22)&amp;""="","coach: –",PROPER(INDEX('Reguler Class Availability'!$I:$I,P22)&amp;""))&amp;IF(INDEX('Reguler Class Availability'!$J:$J,P22)&amp;""="","",CHAR(10)&amp;"asst: "&amp;PROPER(INDEX('Reguler Class Availability'!$J:$J,P22)&amp;""))))</f>
        <v>Kids  4/4  (100%)
Danti</v>
      </c>
      <c r="J22" s="4" t="n">
        <f aca="false">IF($A22="","",IFERROR(MATCH($B$4&amp;"|- Lane 1 - "&amp;B$13&amp;"|"&amp;$A22,'Reguler Class Availability'!$L:$L,0),""))</f>
        <v>9</v>
      </c>
      <c r="K22" s="4" t="n">
        <f aca="false">IF($A22="","",IFERROR(MATCH($B$4&amp;"|- Lane 1 - "&amp;C$13&amp;"|"&amp;$A22,'Reguler Class Availability'!$L:$L,0),""))</f>
        <v>21</v>
      </c>
      <c r="L22" s="4" t="n">
        <f aca="false">IF($A22="","",IFERROR(MATCH($B$4&amp;"|- Lane 1 - "&amp;D$13&amp;"|"&amp;$A22,'Reguler Class Availability'!$L:$L,0),""))</f>
        <v>33</v>
      </c>
      <c r="M22" s="4" t="n">
        <f aca="false">IF($A22="","",IFERROR(MATCH($B$4&amp;"|- Lane 1 - "&amp;E$13&amp;"|"&amp;$A22,'Reguler Class Availability'!$L:$L,0),""))</f>
        <v>45</v>
      </c>
      <c r="N22" s="4" t="n">
        <f aca="false">IF($A22="","",IFERROR(MATCH($B$4&amp;"|- Lane 1 - "&amp;F$13&amp;"|"&amp;$A22,'Reguler Class Availability'!$L:$L,0),""))</f>
        <v>57</v>
      </c>
      <c r="O22" s="4" t="n">
        <f aca="false">IF($A22="","",IFERROR(MATCH($B$4&amp;"|- Lane 1 - "&amp;G$13&amp;"|"&amp;$A22,'Reguler Class Availability'!$L:$L,0),""))</f>
        <v>69</v>
      </c>
      <c r="P22" s="4" t="n">
        <f aca="false">IF($A22="","",IFERROR(MATCH($B$4&amp;"|- Lane 1 - "&amp;H$13&amp;"|"&amp;$A22,'Reguler Class Availability'!$L:$L,0),""))</f>
        <v>81</v>
      </c>
      <c r="R22" s="0" t="str">
        <f aca="false">IF(J22="","",IF(AND(IFERROR(--(INDEX('Reguler Class Availability'!$F:$F,J22)&amp;""),0)=0,IFERROR(--(INDEX('Reguler Class Availability'!$G:$G,J22)&amp;""),0)=0),IF(OR(INDEX('Reguler Class Availability'!$B:$B,J22)&amp;""&lt;&gt;"",INDEX('Reguler Class Availability'!$I:$I,J22)&amp;""&lt;&gt;""),"Tutup","Tidak dibuka"),IF(IFERROR(--(INDEX('Reguler Class Availability'!$G:$G,J22)&amp;""),0)&gt;IFERROR(--(INDEX('Reguler Class Availability'!$F:$F,J22)&amp;""),0),"Lebih",IF(IFERROR(--(INDEX('Reguler Class Availability'!$G:$G,J22)&amp;""),0)=IFERROR(--(INDEX('Reguler Class Availability'!$F:$F,J22)&amp;""),0),"Penuh",IF(IFERROR(--(INDEX('Reguler Class Availability'!$G:$G,J22)&amp;""),0)=0,IF(INDEX('Reguler Class Availability'!$B:$B,J22)&amp;""="","Kosong","Belum terisi"),IF(IFERROR(--(INDEX('Reguler Class Availability'!$G:$G,J22)&amp;""),0)/IFERROR(--(INDEX('Reguler Class Availability'!$F:$F,J22)&amp;""),0)&gt;=0.6,"Tinggi","Sebagian"))))))</f>
        <v>Kosong</v>
      </c>
      <c r="S22" s="0" t="str">
        <f aca="false">IF(K22="","",IF(AND(IFERROR(--(INDEX('Reguler Class Availability'!$F:$F,K22)&amp;""),0)=0,IFERROR(--(INDEX('Reguler Class Availability'!$G:$G,K22)&amp;""),0)=0),IF(OR(INDEX('Reguler Class Availability'!$B:$B,K22)&amp;""&lt;&gt;"",INDEX('Reguler Class Availability'!$I:$I,K22)&amp;""&lt;&gt;""),"Tutup","Tidak dibuka"),IF(IFERROR(--(INDEX('Reguler Class Availability'!$G:$G,K22)&amp;""),0)&gt;IFERROR(--(INDEX('Reguler Class Availability'!$F:$F,K22)&amp;""),0),"Lebih",IF(IFERROR(--(INDEX('Reguler Class Availability'!$G:$G,K22)&amp;""),0)=IFERROR(--(INDEX('Reguler Class Availability'!$F:$F,K22)&amp;""),0),"Penuh",IF(IFERROR(--(INDEX('Reguler Class Availability'!$G:$G,K22)&amp;""),0)=0,IF(INDEX('Reguler Class Availability'!$B:$B,K22)&amp;""="","Kosong","Belum terisi"),IF(IFERROR(--(INDEX('Reguler Class Availability'!$G:$G,K22)&amp;""),0)/IFERROR(--(INDEX('Reguler Class Availability'!$F:$F,K22)&amp;""),0)&gt;=0.6,"Tinggi","Sebagian"))))))</f>
        <v>Kosong</v>
      </c>
      <c r="T22" s="0" t="str">
        <f aca="false">IF(L22="","",IF(AND(IFERROR(--(INDEX('Reguler Class Availability'!$F:$F,L22)&amp;""),0)=0,IFERROR(--(INDEX('Reguler Class Availability'!$G:$G,L22)&amp;""),0)=0),IF(OR(INDEX('Reguler Class Availability'!$B:$B,L22)&amp;""&lt;&gt;"",INDEX('Reguler Class Availability'!$I:$I,L22)&amp;""&lt;&gt;""),"Tutup","Tidak dibuka"),IF(IFERROR(--(INDEX('Reguler Class Availability'!$G:$G,L22)&amp;""),0)&gt;IFERROR(--(INDEX('Reguler Class Availability'!$F:$F,L22)&amp;""),0),"Lebih",IF(IFERROR(--(INDEX('Reguler Class Availability'!$G:$G,L22)&amp;""),0)=IFERROR(--(INDEX('Reguler Class Availability'!$F:$F,L22)&amp;""),0),"Penuh",IF(IFERROR(--(INDEX('Reguler Class Availability'!$G:$G,L22)&amp;""),0)=0,IF(INDEX('Reguler Class Availability'!$B:$B,L22)&amp;""="","Kosong","Belum terisi"),IF(IFERROR(--(INDEX('Reguler Class Availability'!$G:$G,L22)&amp;""),0)/IFERROR(--(INDEX('Reguler Class Availability'!$F:$F,L22)&amp;""),0)&gt;=0.6,"Tinggi","Sebagian"))))))</f>
        <v>Kosong</v>
      </c>
      <c r="U22" s="0" t="str">
        <f aca="false">IF(M22="","",IF(AND(IFERROR(--(INDEX('Reguler Class Availability'!$F:$F,M22)&amp;""),0)=0,IFERROR(--(INDEX('Reguler Class Availability'!$G:$G,M22)&amp;""),0)=0),IF(OR(INDEX('Reguler Class Availability'!$B:$B,M22)&amp;""&lt;&gt;"",INDEX('Reguler Class Availability'!$I:$I,M22)&amp;""&lt;&gt;""),"Tutup","Tidak dibuka"),IF(IFERROR(--(INDEX('Reguler Class Availability'!$G:$G,M22)&amp;""),0)&gt;IFERROR(--(INDEX('Reguler Class Availability'!$F:$F,M22)&amp;""),0),"Lebih",IF(IFERROR(--(INDEX('Reguler Class Availability'!$G:$G,M22)&amp;""),0)=IFERROR(--(INDEX('Reguler Class Availability'!$F:$F,M22)&amp;""),0),"Penuh",IF(IFERROR(--(INDEX('Reguler Class Availability'!$G:$G,M22)&amp;""),0)=0,IF(INDEX('Reguler Class Availability'!$B:$B,M22)&amp;""="","Kosong","Belum terisi"),IF(IFERROR(--(INDEX('Reguler Class Availability'!$G:$G,M22)&amp;""),0)/IFERROR(--(INDEX('Reguler Class Availability'!$F:$F,M22)&amp;""),0)&gt;=0.6,"Tinggi","Sebagian"))))))</f>
        <v>Sebagian</v>
      </c>
      <c r="V22" s="0" t="str">
        <f aca="false">IF(N22="","",IF(AND(IFERROR(--(INDEX('Reguler Class Availability'!$F:$F,N22)&amp;""),0)=0,IFERROR(--(INDEX('Reguler Class Availability'!$G:$G,N22)&amp;""),0)=0),IF(OR(INDEX('Reguler Class Availability'!$B:$B,N22)&amp;""&lt;&gt;"",INDEX('Reguler Class Availability'!$I:$I,N22)&amp;""&lt;&gt;""),"Tutup","Tidak dibuka"),IF(IFERROR(--(INDEX('Reguler Class Availability'!$G:$G,N22)&amp;""),0)&gt;IFERROR(--(INDEX('Reguler Class Availability'!$F:$F,N22)&amp;""),0),"Lebih",IF(IFERROR(--(INDEX('Reguler Class Availability'!$G:$G,N22)&amp;""),0)=IFERROR(--(INDEX('Reguler Class Availability'!$F:$F,N22)&amp;""),0),"Penuh",IF(IFERROR(--(INDEX('Reguler Class Availability'!$G:$G,N22)&amp;""),0)=0,IF(INDEX('Reguler Class Availability'!$B:$B,N22)&amp;""="","Kosong","Belum terisi"),IF(IFERROR(--(INDEX('Reguler Class Availability'!$G:$G,N22)&amp;""),0)/IFERROR(--(INDEX('Reguler Class Availability'!$F:$F,N22)&amp;""),0)&gt;=0.6,"Tinggi","Sebagian"))))))</f>
        <v>Tinggi</v>
      </c>
      <c r="W22" s="0" t="str">
        <f aca="false">IF(O22="","",IF(AND(IFERROR(--(INDEX('Reguler Class Availability'!$F:$F,O22)&amp;""),0)=0,IFERROR(--(INDEX('Reguler Class Availability'!$G:$G,O22)&amp;""),0)=0),IF(OR(INDEX('Reguler Class Availability'!$B:$B,O22)&amp;""&lt;&gt;"",INDEX('Reguler Class Availability'!$I:$I,O22)&amp;""&lt;&gt;""),"Tutup","Tidak dibuka"),IF(IFERROR(--(INDEX('Reguler Class Availability'!$G:$G,O22)&amp;""),0)&gt;IFERROR(--(INDEX('Reguler Class Availability'!$F:$F,O22)&amp;""),0),"Lebih",IF(IFERROR(--(INDEX('Reguler Class Availability'!$G:$G,O22)&amp;""),0)=IFERROR(--(INDEX('Reguler Class Availability'!$F:$F,O22)&amp;""),0),"Penuh",IF(IFERROR(--(INDEX('Reguler Class Availability'!$G:$G,O22)&amp;""),0)=0,IF(INDEX('Reguler Class Availability'!$B:$B,O22)&amp;""="","Kosong","Belum terisi"),IF(IFERROR(--(INDEX('Reguler Class Availability'!$G:$G,O22)&amp;""),0)/IFERROR(--(INDEX('Reguler Class Availability'!$F:$F,O22)&amp;""),0)&gt;=0.6,"Tinggi","Sebagian"))))))</f>
        <v>Penuh</v>
      </c>
      <c r="X22" s="0" t="str">
        <f aca="false">IF(P22="","",IF(AND(IFERROR(--(INDEX('Reguler Class Availability'!$F:$F,P22)&amp;""),0)=0,IFERROR(--(INDEX('Reguler Class Availability'!$G:$G,P22)&amp;""),0)=0),IF(OR(INDEX('Reguler Class Availability'!$B:$B,P22)&amp;""&lt;&gt;"",INDEX('Reguler Class Availability'!$I:$I,P22)&amp;""&lt;&gt;""),"Tutup","Tidak dibuka"),IF(IFERROR(--(INDEX('Reguler Class Availability'!$G:$G,P22)&amp;""),0)&gt;IFERROR(--(INDEX('Reguler Class Availability'!$F:$F,P22)&amp;""),0),"Lebih",IF(IFERROR(--(INDEX('Reguler Class Availability'!$G:$G,P22)&amp;""),0)=IFERROR(--(INDEX('Reguler Class Availability'!$F:$F,P22)&amp;""),0),"Penuh",IF(IFERROR(--(INDEX('Reguler Class Availability'!$G:$G,P22)&amp;""),0)=0,IF(INDEX('Reguler Class Availability'!$B:$B,P22)&amp;""="","Kosong","Belum terisi"),IF(IFERROR(--(INDEX('Reguler Class Availability'!$G:$G,P22)&amp;""),0)/IFERROR(--(INDEX('Reguler Class Availability'!$F:$F,P22)&amp;""),0)&gt;=0.6,"Tinggi","Sebagian"))))))</f>
        <v>Penuh</v>
      </c>
      <c r="Z22" s="4" t="s">
        <v>55</v>
      </c>
      <c r="AA22" s="4" t="n">
        <f aca="false">IF(COUNTIFS('Reguler Class Availability'!$L:$L,$B$4&amp;"|- Lane 1 - *|"&amp;Z22)&gt;0,1,0)</f>
        <v>0</v>
      </c>
      <c r="AB22" s="4" t="n">
        <f aca="false">AA22+AB21</f>
        <v>5</v>
      </c>
    </row>
    <row r="23" customFormat="false" ht="39.75" hidden="false" customHeight="true" outlineLevel="0" collapsed="false">
      <c r="A23" s="39" t="str">
        <f aca="false">IFERROR(INDEX($Z$2:$Z$61,MATCH(10,$AB$2:$AB$61,0)),"")</f>
        <v>15:00</v>
      </c>
      <c r="B23" s="40" t="str">
        <f aca="false">IF(J23="","",IF(R23="Tidak dibuka","–",IF(INDEX('Reguler Class Availability'!$B:$B,J23)&amp;""="","Kosong",PROPER(INDEX('Reguler Class Availability'!$B:$B,J23)&amp;""))&amp;"  "&amp;IFERROR(--(INDEX('Reguler Class Availability'!$G:$G,J23)&amp;""),0)&amp;"/"&amp;IFERROR(--(INDEX('Reguler Class Availability'!$F:$F,J23)&amp;""),0)&amp;IF(IFERROR(--(INDEX('Reguler Class Availability'!$F:$F,J23)&amp;""),0)&gt;0,"  ("&amp;TEXT(IFERROR(--(INDEX('Reguler Class Availability'!$G:$G,J23)&amp;""),0)/IFERROR(--(INDEX('Reguler Class Availability'!$F:$F,J23)&amp;""),0),"0%")&amp;")","")&amp;CHAR(10)&amp;IF(INDEX('Reguler Class Availability'!$I:$I,J23)&amp;""="","coach: –",PROPER(INDEX('Reguler Class Availability'!$I:$I,J23)&amp;""))&amp;IF(INDEX('Reguler Class Availability'!$J:$J,J23)&amp;""="","",CHAR(10)&amp;"asst: "&amp;PROPER(INDEX('Reguler Class Availability'!$J:$J,J23)&amp;""))))</f>
        <v>Little  2/0
Gita</v>
      </c>
      <c r="C23" s="40" t="str">
        <f aca="false">IF(K23="","",IF(S23="Tidak dibuka","–",IF(INDEX('Reguler Class Availability'!$B:$B,K23)&amp;""="","Kosong",PROPER(INDEX('Reguler Class Availability'!$B:$B,K23)&amp;""))&amp;"  "&amp;IFERROR(--(INDEX('Reguler Class Availability'!$G:$G,K23)&amp;""),0)&amp;"/"&amp;IFERROR(--(INDEX('Reguler Class Availability'!$F:$F,K23)&amp;""),0)&amp;IF(IFERROR(--(INDEX('Reguler Class Availability'!$F:$F,K23)&amp;""),0)&gt;0,"  ("&amp;TEXT(IFERROR(--(INDEX('Reguler Class Availability'!$G:$G,K23)&amp;""),0)/IFERROR(--(INDEX('Reguler Class Availability'!$F:$F,K23)&amp;""),0),"0%")&amp;")","")&amp;CHAR(10)&amp;IF(INDEX('Reguler Class Availability'!$I:$I,K23)&amp;""="","coach: –",PROPER(INDEX('Reguler Class Availability'!$I:$I,K23)&amp;""))&amp;IF(INDEX('Reguler Class Availability'!$J:$J,K23)&amp;""="","",CHAR(10)&amp;"asst: "&amp;PROPER(INDEX('Reguler Class Availability'!$J:$J,K23)&amp;""))))</f>
        <v>Kids  4/0
Tessa</v>
      </c>
      <c r="D23" s="40" t="str">
        <f aca="false">IF(L23="","",IF(T23="Tidak dibuka","–",IF(INDEX('Reguler Class Availability'!$B:$B,L23)&amp;""="","Kosong",PROPER(INDEX('Reguler Class Availability'!$B:$B,L23)&amp;""))&amp;"  "&amp;IFERROR(--(INDEX('Reguler Class Availability'!$G:$G,L23)&amp;""),0)&amp;"/"&amp;IFERROR(--(INDEX('Reguler Class Availability'!$F:$F,L23)&amp;""),0)&amp;IF(IFERROR(--(INDEX('Reguler Class Availability'!$F:$F,L23)&amp;""),0)&gt;0,"  ("&amp;TEXT(IFERROR(--(INDEX('Reguler Class Availability'!$G:$G,L23)&amp;""),0)/IFERROR(--(INDEX('Reguler Class Availability'!$F:$F,L23)&amp;""),0),"0%")&amp;")","")&amp;CHAR(10)&amp;IF(INDEX('Reguler Class Availability'!$I:$I,L23)&amp;""="","coach: –",PROPER(INDEX('Reguler Class Availability'!$I:$I,L23)&amp;""))&amp;IF(INDEX('Reguler Class Availability'!$J:$J,L23)&amp;""="","",CHAR(10)&amp;"asst: "&amp;PROPER(INDEX('Reguler Class Availability'!$J:$J,L23)&amp;""))))</f>
        <v>Baby  1/0
Zidane</v>
      </c>
      <c r="E23" s="40" t="str">
        <f aca="false">IF(M23="","",IF(U23="Tidak dibuka","–",IF(INDEX('Reguler Class Availability'!$B:$B,M23)&amp;""="","Kosong",PROPER(INDEX('Reguler Class Availability'!$B:$B,M23)&amp;""))&amp;"  "&amp;IFERROR(--(INDEX('Reguler Class Availability'!$G:$G,M23)&amp;""),0)&amp;"/"&amp;IFERROR(--(INDEX('Reguler Class Availability'!$F:$F,M23)&amp;""),0)&amp;IF(IFERROR(--(INDEX('Reguler Class Availability'!$F:$F,M23)&amp;""),0)&gt;0,"  ("&amp;TEXT(IFERROR(--(INDEX('Reguler Class Availability'!$G:$G,M23)&amp;""),0)/IFERROR(--(INDEX('Reguler Class Availability'!$F:$F,M23)&amp;""),0),"0%")&amp;")","")&amp;CHAR(10)&amp;IF(INDEX('Reguler Class Availability'!$I:$I,M23)&amp;""="","coach: –",PROPER(INDEX('Reguler Class Availability'!$I:$I,M23)&amp;""))&amp;IF(INDEX('Reguler Class Availability'!$J:$J,M23)&amp;""="","",CHAR(10)&amp;"asst: "&amp;PROPER(INDEX('Reguler Class Availability'!$J:$J,M23)&amp;""))))</f>
        <v>Baby  1/0
Tessa</v>
      </c>
      <c r="F23" s="40" t="str">
        <f aca="false">IF(N23="","",IF(V23="Tidak dibuka","–",IF(INDEX('Reguler Class Availability'!$B:$B,N23)&amp;""="","Kosong",PROPER(INDEX('Reguler Class Availability'!$B:$B,N23)&amp;""))&amp;"  "&amp;IFERROR(--(INDEX('Reguler Class Availability'!$G:$G,N23)&amp;""),0)&amp;"/"&amp;IFERROR(--(INDEX('Reguler Class Availability'!$F:$F,N23)&amp;""),0)&amp;IF(IFERROR(--(INDEX('Reguler Class Availability'!$F:$F,N23)&amp;""),0)&gt;0,"  ("&amp;TEXT(IFERROR(--(INDEX('Reguler Class Availability'!$G:$G,N23)&amp;""),0)/IFERROR(--(INDEX('Reguler Class Availability'!$F:$F,N23)&amp;""),0),"0%")&amp;")","")&amp;CHAR(10)&amp;IF(INDEX('Reguler Class Availability'!$I:$I,N23)&amp;""="","coach: –",PROPER(INDEX('Reguler Class Availability'!$I:$I,N23)&amp;""))&amp;IF(INDEX('Reguler Class Availability'!$J:$J,N23)&amp;""="","",CHAR(10)&amp;"asst: "&amp;PROPER(INDEX('Reguler Class Availability'!$J:$J,N23)&amp;""))))</f>
        <v>Little  3/4  (75%)
Dian</v>
      </c>
      <c r="G23" s="40" t="str">
        <f aca="false">IF(O23="","",IF(W23="Tidak dibuka","–",IF(INDEX('Reguler Class Availability'!$B:$B,O23)&amp;""="","Kosong",PROPER(INDEX('Reguler Class Availability'!$B:$B,O23)&amp;""))&amp;"  "&amp;IFERROR(--(INDEX('Reguler Class Availability'!$G:$G,O23)&amp;""),0)&amp;"/"&amp;IFERROR(--(INDEX('Reguler Class Availability'!$F:$F,O23)&amp;""),0)&amp;IF(IFERROR(--(INDEX('Reguler Class Availability'!$F:$F,O23)&amp;""),0)&gt;0,"  ("&amp;TEXT(IFERROR(--(INDEX('Reguler Class Availability'!$G:$G,O23)&amp;""),0)/IFERROR(--(INDEX('Reguler Class Availability'!$F:$F,O23)&amp;""),0),"0%")&amp;")","")&amp;CHAR(10)&amp;IF(INDEX('Reguler Class Availability'!$I:$I,O23)&amp;""="","coach: –",PROPER(INDEX('Reguler Class Availability'!$I:$I,O23)&amp;""))&amp;IF(INDEX('Reguler Class Availability'!$J:$J,O23)&amp;""="","",CHAR(10)&amp;"asst: "&amp;PROPER(INDEX('Reguler Class Availability'!$J:$J,O23)&amp;""))))</f>
        <v>Baby  5/5  (100%)
Eka</v>
      </c>
      <c r="H23" s="40" t="str">
        <f aca="false">IF(P23="","",IF(X23="Tidak dibuka","–",IF(INDEX('Reguler Class Availability'!$B:$B,P23)&amp;""="","Kosong",PROPER(INDEX('Reguler Class Availability'!$B:$B,P23)&amp;""))&amp;"  "&amp;IFERROR(--(INDEX('Reguler Class Availability'!$G:$G,P23)&amp;""),0)&amp;"/"&amp;IFERROR(--(INDEX('Reguler Class Availability'!$F:$F,P23)&amp;""),0)&amp;IF(IFERROR(--(INDEX('Reguler Class Availability'!$F:$F,P23)&amp;""),0)&gt;0,"  ("&amp;TEXT(IFERROR(--(INDEX('Reguler Class Availability'!$G:$G,P23)&amp;""),0)/IFERROR(--(INDEX('Reguler Class Availability'!$F:$F,P23)&amp;""),0),"0%")&amp;")","")&amp;CHAR(10)&amp;IF(INDEX('Reguler Class Availability'!$I:$I,P23)&amp;""="","coach: –",PROPER(INDEX('Reguler Class Availability'!$I:$I,P23)&amp;""))&amp;IF(INDEX('Reguler Class Availability'!$J:$J,P23)&amp;""="","",CHAR(10)&amp;"asst: "&amp;PROPER(INDEX('Reguler Class Availability'!$J:$J,P23)&amp;""))))</f>
        <v>Baby  4/5  (80%)
Zidane</v>
      </c>
      <c r="J23" s="4" t="n">
        <f aca="false">IF($A23="","",IFERROR(MATCH($B$4&amp;"|- Lane 1 - "&amp;B$13&amp;"|"&amp;$A23,'Reguler Class Availability'!$L:$L,0),""))</f>
        <v>10</v>
      </c>
      <c r="K23" s="4" t="n">
        <f aca="false">IF($A23="","",IFERROR(MATCH($B$4&amp;"|- Lane 1 - "&amp;C$13&amp;"|"&amp;$A23,'Reguler Class Availability'!$L:$L,0),""))</f>
        <v>22</v>
      </c>
      <c r="L23" s="4" t="n">
        <f aca="false">IF($A23="","",IFERROR(MATCH($B$4&amp;"|- Lane 1 - "&amp;D$13&amp;"|"&amp;$A23,'Reguler Class Availability'!$L:$L,0),""))</f>
        <v>34</v>
      </c>
      <c r="M23" s="4" t="n">
        <f aca="false">IF($A23="","",IFERROR(MATCH($B$4&amp;"|- Lane 1 - "&amp;E$13&amp;"|"&amp;$A23,'Reguler Class Availability'!$L:$L,0),""))</f>
        <v>46</v>
      </c>
      <c r="N23" s="4" t="n">
        <f aca="false">IF($A23="","",IFERROR(MATCH($B$4&amp;"|- Lane 1 - "&amp;F$13&amp;"|"&amp;$A23,'Reguler Class Availability'!$L:$L,0),""))</f>
        <v>58</v>
      </c>
      <c r="O23" s="4" t="n">
        <f aca="false">IF($A23="","",IFERROR(MATCH($B$4&amp;"|- Lane 1 - "&amp;G$13&amp;"|"&amp;$A23,'Reguler Class Availability'!$L:$L,0),""))</f>
        <v>70</v>
      </c>
      <c r="P23" s="4" t="n">
        <f aca="false">IF($A23="","",IFERROR(MATCH($B$4&amp;"|- Lane 1 - "&amp;H$13&amp;"|"&amp;$A23,'Reguler Class Availability'!$L:$L,0),""))</f>
        <v>82</v>
      </c>
      <c r="R23" s="0" t="str">
        <f aca="false">IF(J23="","",IF(AND(IFERROR(--(INDEX('Reguler Class Availability'!$F:$F,J23)&amp;""),0)=0,IFERROR(--(INDEX('Reguler Class Availability'!$G:$G,J23)&amp;""),0)=0),IF(OR(INDEX('Reguler Class Availability'!$B:$B,J23)&amp;""&lt;&gt;"",INDEX('Reguler Class Availability'!$I:$I,J23)&amp;""&lt;&gt;""),"Tutup","Tidak dibuka"),IF(IFERROR(--(INDEX('Reguler Class Availability'!$G:$G,J23)&amp;""),0)&gt;IFERROR(--(INDEX('Reguler Class Availability'!$F:$F,J23)&amp;""),0),"Lebih",IF(IFERROR(--(INDEX('Reguler Class Availability'!$G:$G,J23)&amp;""),0)=IFERROR(--(INDEX('Reguler Class Availability'!$F:$F,J23)&amp;""),0),"Penuh",IF(IFERROR(--(INDEX('Reguler Class Availability'!$G:$G,J23)&amp;""),0)=0,IF(INDEX('Reguler Class Availability'!$B:$B,J23)&amp;""="","Kosong","Belum terisi"),IF(IFERROR(--(INDEX('Reguler Class Availability'!$G:$G,J23)&amp;""),0)/IFERROR(--(INDEX('Reguler Class Availability'!$F:$F,J23)&amp;""),0)&gt;=0.6,"Tinggi","Sebagian"))))))</f>
        <v>Lebih</v>
      </c>
      <c r="S23" s="0" t="str">
        <f aca="false">IF(K23="","",IF(AND(IFERROR(--(INDEX('Reguler Class Availability'!$F:$F,K23)&amp;""),0)=0,IFERROR(--(INDEX('Reguler Class Availability'!$G:$G,K23)&amp;""),0)=0),IF(OR(INDEX('Reguler Class Availability'!$B:$B,K23)&amp;""&lt;&gt;"",INDEX('Reguler Class Availability'!$I:$I,K23)&amp;""&lt;&gt;""),"Tutup","Tidak dibuka"),IF(IFERROR(--(INDEX('Reguler Class Availability'!$G:$G,K23)&amp;""),0)&gt;IFERROR(--(INDEX('Reguler Class Availability'!$F:$F,K23)&amp;""),0),"Lebih",IF(IFERROR(--(INDEX('Reguler Class Availability'!$G:$G,K23)&amp;""),0)=IFERROR(--(INDEX('Reguler Class Availability'!$F:$F,K23)&amp;""),0),"Penuh",IF(IFERROR(--(INDEX('Reguler Class Availability'!$G:$G,K23)&amp;""),0)=0,IF(INDEX('Reguler Class Availability'!$B:$B,K23)&amp;""="","Kosong","Belum terisi"),IF(IFERROR(--(INDEX('Reguler Class Availability'!$G:$G,K23)&amp;""),0)/IFERROR(--(INDEX('Reguler Class Availability'!$F:$F,K23)&amp;""),0)&gt;=0.6,"Tinggi","Sebagian"))))))</f>
        <v>Lebih</v>
      </c>
      <c r="T23" s="0" t="str">
        <f aca="false">IF(L23="","",IF(AND(IFERROR(--(INDEX('Reguler Class Availability'!$F:$F,L23)&amp;""),0)=0,IFERROR(--(INDEX('Reguler Class Availability'!$G:$G,L23)&amp;""),0)=0),IF(OR(INDEX('Reguler Class Availability'!$B:$B,L23)&amp;""&lt;&gt;"",INDEX('Reguler Class Availability'!$I:$I,L23)&amp;""&lt;&gt;""),"Tutup","Tidak dibuka"),IF(IFERROR(--(INDEX('Reguler Class Availability'!$G:$G,L23)&amp;""),0)&gt;IFERROR(--(INDEX('Reguler Class Availability'!$F:$F,L23)&amp;""),0),"Lebih",IF(IFERROR(--(INDEX('Reguler Class Availability'!$G:$G,L23)&amp;""),0)=IFERROR(--(INDEX('Reguler Class Availability'!$F:$F,L23)&amp;""),0),"Penuh",IF(IFERROR(--(INDEX('Reguler Class Availability'!$G:$G,L23)&amp;""),0)=0,IF(INDEX('Reguler Class Availability'!$B:$B,L23)&amp;""="","Kosong","Belum terisi"),IF(IFERROR(--(INDEX('Reguler Class Availability'!$G:$G,L23)&amp;""),0)/IFERROR(--(INDEX('Reguler Class Availability'!$F:$F,L23)&amp;""),0)&gt;=0.6,"Tinggi","Sebagian"))))))</f>
        <v>Lebih</v>
      </c>
      <c r="U23" s="0" t="str">
        <f aca="false">IF(M23="","",IF(AND(IFERROR(--(INDEX('Reguler Class Availability'!$F:$F,M23)&amp;""),0)=0,IFERROR(--(INDEX('Reguler Class Availability'!$G:$G,M23)&amp;""),0)=0),IF(OR(INDEX('Reguler Class Availability'!$B:$B,M23)&amp;""&lt;&gt;"",INDEX('Reguler Class Availability'!$I:$I,M23)&amp;""&lt;&gt;""),"Tutup","Tidak dibuka"),IF(IFERROR(--(INDEX('Reguler Class Availability'!$G:$G,M23)&amp;""),0)&gt;IFERROR(--(INDEX('Reguler Class Availability'!$F:$F,M23)&amp;""),0),"Lebih",IF(IFERROR(--(INDEX('Reguler Class Availability'!$G:$G,M23)&amp;""),0)=IFERROR(--(INDEX('Reguler Class Availability'!$F:$F,M23)&amp;""),0),"Penuh",IF(IFERROR(--(INDEX('Reguler Class Availability'!$G:$G,M23)&amp;""),0)=0,IF(INDEX('Reguler Class Availability'!$B:$B,M23)&amp;""="","Kosong","Belum terisi"),IF(IFERROR(--(INDEX('Reguler Class Availability'!$G:$G,M23)&amp;""),0)/IFERROR(--(INDEX('Reguler Class Availability'!$F:$F,M23)&amp;""),0)&gt;=0.6,"Tinggi","Sebagian"))))))</f>
        <v>Lebih</v>
      </c>
      <c r="V23" s="0" t="str">
        <f aca="false">IF(N23="","",IF(AND(IFERROR(--(INDEX('Reguler Class Availability'!$F:$F,N23)&amp;""),0)=0,IFERROR(--(INDEX('Reguler Class Availability'!$G:$G,N23)&amp;""),0)=0),IF(OR(INDEX('Reguler Class Availability'!$B:$B,N23)&amp;""&lt;&gt;"",INDEX('Reguler Class Availability'!$I:$I,N23)&amp;""&lt;&gt;""),"Tutup","Tidak dibuka"),IF(IFERROR(--(INDEX('Reguler Class Availability'!$G:$G,N23)&amp;""),0)&gt;IFERROR(--(INDEX('Reguler Class Availability'!$F:$F,N23)&amp;""),0),"Lebih",IF(IFERROR(--(INDEX('Reguler Class Availability'!$G:$G,N23)&amp;""),0)=IFERROR(--(INDEX('Reguler Class Availability'!$F:$F,N23)&amp;""),0),"Penuh",IF(IFERROR(--(INDEX('Reguler Class Availability'!$G:$G,N23)&amp;""),0)=0,IF(INDEX('Reguler Class Availability'!$B:$B,N23)&amp;""="","Kosong","Belum terisi"),IF(IFERROR(--(INDEX('Reguler Class Availability'!$G:$G,N23)&amp;""),0)/IFERROR(--(INDEX('Reguler Class Availability'!$F:$F,N23)&amp;""),0)&gt;=0.6,"Tinggi","Sebagian"))))))</f>
        <v>Tinggi</v>
      </c>
      <c r="W23" s="0" t="str">
        <f aca="false">IF(O23="","",IF(AND(IFERROR(--(INDEX('Reguler Class Availability'!$F:$F,O23)&amp;""),0)=0,IFERROR(--(INDEX('Reguler Class Availability'!$G:$G,O23)&amp;""),0)=0),IF(OR(INDEX('Reguler Class Availability'!$B:$B,O23)&amp;""&lt;&gt;"",INDEX('Reguler Class Availability'!$I:$I,O23)&amp;""&lt;&gt;""),"Tutup","Tidak dibuka"),IF(IFERROR(--(INDEX('Reguler Class Availability'!$G:$G,O23)&amp;""),0)&gt;IFERROR(--(INDEX('Reguler Class Availability'!$F:$F,O23)&amp;""),0),"Lebih",IF(IFERROR(--(INDEX('Reguler Class Availability'!$G:$G,O23)&amp;""),0)=IFERROR(--(INDEX('Reguler Class Availability'!$F:$F,O23)&amp;""),0),"Penuh",IF(IFERROR(--(INDEX('Reguler Class Availability'!$G:$G,O23)&amp;""),0)=0,IF(INDEX('Reguler Class Availability'!$B:$B,O23)&amp;""="","Kosong","Belum terisi"),IF(IFERROR(--(INDEX('Reguler Class Availability'!$G:$G,O23)&amp;""),0)/IFERROR(--(INDEX('Reguler Class Availability'!$F:$F,O23)&amp;""),0)&gt;=0.6,"Tinggi","Sebagian"))))))</f>
        <v>Penuh</v>
      </c>
      <c r="X23" s="0" t="str">
        <f aca="false">IF(P23="","",IF(AND(IFERROR(--(INDEX('Reguler Class Availability'!$F:$F,P23)&amp;""),0)=0,IFERROR(--(INDEX('Reguler Class Availability'!$G:$G,P23)&amp;""),0)=0),IF(OR(INDEX('Reguler Class Availability'!$B:$B,P23)&amp;""&lt;&gt;"",INDEX('Reguler Class Availability'!$I:$I,P23)&amp;""&lt;&gt;""),"Tutup","Tidak dibuka"),IF(IFERROR(--(INDEX('Reguler Class Availability'!$G:$G,P23)&amp;""),0)&gt;IFERROR(--(INDEX('Reguler Class Availability'!$F:$F,P23)&amp;""),0),"Lebih",IF(IFERROR(--(INDEX('Reguler Class Availability'!$G:$G,P23)&amp;""),0)=IFERROR(--(INDEX('Reguler Class Availability'!$F:$F,P23)&amp;""),0),"Penuh",IF(IFERROR(--(INDEX('Reguler Class Availability'!$G:$G,P23)&amp;""),0)=0,IF(INDEX('Reguler Class Availability'!$B:$B,P23)&amp;""="","Kosong","Belum terisi"),IF(IFERROR(--(INDEX('Reguler Class Availability'!$G:$G,P23)&amp;""),0)/IFERROR(--(INDEX('Reguler Class Availability'!$F:$F,P23)&amp;""),0)&gt;=0.6,"Tinggi","Sebagian"))))))</f>
        <v>Tinggi</v>
      </c>
      <c r="Z23" s="4" t="s">
        <v>56</v>
      </c>
      <c r="AA23" s="4" t="n">
        <f aca="false">IF(COUNTIFS('Reguler Class Availability'!$L:$L,$B$4&amp;"|- Lane 1 - *|"&amp;Z23)&gt;0,1,0)</f>
        <v>1</v>
      </c>
      <c r="AB23" s="4" t="n">
        <f aca="false">AA23+AB22</f>
        <v>6</v>
      </c>
    </row>
    <row r="24" customFormat="false" ht="39.75" hidden="false" customHeight="true" outlineLevel="0" collapsed="false">
      <c r="A24" s="39" t="str">
        <f aca="false">IFERROR(INDEX($Z$2:$Z$61,MATCH(11,$AB$2:$AB$61,0)),"")</f>
        <v>15:45</v>
      </c>
      <c r="B24" s="40" t="str">
        <f aca="false">IF(J24="","",IF(R24="Tidak dibuka","–",IF(INDEX('Reguler Class Availability'!$B:$B,J24)&amp;""="","Kosong",PROPER(INDEX('Reguler Class Availability'!$B:$B,J24)&amp;""))&amp;"  "&amp;IFERROR(--(INDEX('Reguler Class Availability'!$G:$G,J24)&amp;""),0)&amp;"/"&amp;IFERROR(--(INDEX('Reguler Class Availability'!$F:$F,J24)&amp;""),0)&amp;IF(IFERROR(--(INDEX('Reguler Class Availability'!$F:$F,J24)&amp;""),0)&gt;0,"  ("&amp;TEXT(IFERROR(--(INDEX('Reguler Class Availability'!$G:$G,J24)&amp;""),0)/IFERROR(--(INDEX('Reguler Class Availability'!$F:$F,J24)&amp;""),0),"0%")&amp;")","")&amp;CHAR(10)&amp;IF(INDEX('Reguler Class Availability'!$I:$I,J24)&amp;""="","coach: –",PROPER(INDEX('Reguler Class Availability'!$I:$I,J24)&amp;""))&amp;IF(INDEX('Reguler Class Availability'!$J:$J,J24)&amp;""="","",CHAR(10)&amp;"asst: "&amp;PROPER(INDEX('Reguler Class Availability'!$J:$J,J24)&amp;""))))</f>
        <v>–</v>
      </c>
      <c r="C24" s="40" t="str">
        <f aca="false">IF(K24="","",IF(S24="Tidak dibuka","–",IF(INDEX('Reguler Class Availability'!$B:$B,K24)&amp;""="","Kosong",PROPER(INDEX('Reguler Class Availability'!$B:$B,K24)&amp;""))&amp;"  "&amp;IFERROR(--(INDEX('Reguler Class Availability'!$G:$G,K24)&amp;""),0)&amp;"/"&amp;IFERROR(--(INDEX('Reguler Class Availability'!$F:$F,K24)&amp;""),0)&amp;IF(IFERROR(--(INDEX('Reguler Class Availability'!$F:$F,K24)&amp;""),0)&gt;0,"  ("&amp;TEXT(IFERROR(--(INDEX('Reguler Class Availability'!$G:$G,K24)&amp;""),0)/IFERROR(--(INDEX('Reguler Class Availability'!$F:$F,K24)&amp;""),0),"0%")&amp;")","")&amp;CHAR(10)&amp;IF(INDEX('Reguler Class Availability'!$I:$I,K24)&amp;""="","coach: –",PROPER(INDEX('Reguler Class Availability'!$I:$I,K24)&amp;""))&amp;IF(INDEX('Reguler Class Availability'!$J:$J,K24)&amp;""="","",CHAR(10)&amp;"asst: "&amp;PROPER(INDEX('Reguler Class Availability'!$J:$J,K24)&amp;""))))</f>
        <v>–</v>
      </c>
      <c r="D24" s="40" t="str">
        <f aca="false">IF(L24="","",IF(T24="Tidak dibuka","–",IF(INDEX('Reguler Class Availability'!$B:$B,L24)&amp;""="","Kosong",PROPER(INDEX('Reguler Class Availability'!$B:$B,L24)&amp;""))&amp;"  "&amp;IFERROR(--(INDEX('Reguler Class Availability'!$G:$G,L24)&amp;""),0)&amp;"/"&amp;IFERROR(--(INDEX('Reguler Class Availability'!$F:$F,L24)&amp;""),0)&amp;IF(IFERROR(--(INDEX('Reguler Class Availability'!$F:$F,L24)&amp;""),0)&gt;0,"  ("&amp;TEXT(IFERROR(--(INDEX('Reguler Class Availability'!$G:$G,L24)&amp;""),0)/IFERROR(--(INDEX('Reguler Class Availability'!$F:$F,L24)&amp;""),0),"0%")&amp;")","")&amp;CHAR(10)&amp;IF(INDEX('Reguler Class Availability'!$I:$I,L24)&amp;""="","coach: –",PROPER(INDEX('Reguler Class Availability'!$I:$I,L24)&amp;""))&amp;IF(INDEX('Reguler Class Availability'!$J:$J,L24)&amp;""="","",CHAR(10)&amp;"asst: "&amp;PROPER(INDEX('Reguler Class Availability'!$J:$J,L24)&amp;""))))</f>
        <v>Little  3/0
Gita</v>
      </c>
      <c r="E24" s="40" t="str">
        <f aca="false">IF(M24="","",IF(U24="Tidak dibuka","–",IF(INDEX('Reguler Class Availability'!$B:$B,M24)&amp;""="","Kosong",PROPER(INDEX('Reguler Class Availability'!$B:$B,M24)&amp;""))&amp;"  "&amp;IFERROR(--(INDEX('Reguler Class Availability'!$G:$G,M24)&amp;""),0)&amp;"/"&amp;IFERROR(--(INDEX('Reguler Class Availability'!$F:$F,M24)&amp;""),0)&amp;IF(IFERROR(--(INDEX('Reguler Class Availability'!$F:$F,M24)&amp;""),0)&gt;0,"  ("&amp;TEXT(IFERROR(--(INDEX('Reguler Class Availability'!$G:$G,M24)&amp;""),0)/IFERROR(--(INDEX('Reguler Class Availability'!$F:$F,M24)&amp;""),0),"0%")&amp;")","")&amp;CHAR(10)&amp;IF(INDEX('Reguler Class Availability'!$I:$I,M24)&amp;""="","coach: –",PROPER(INDEX('Reguler Class Availability'!$I:$I,M24)&amp;""))&amp;IF(INDEX('Reguler Class Availability'!$J:$J,M24)&amp;""="","",CHAR(10)&amp;"asst: "&amp;PROPER(INDEX('Reguler Class Availability'!$J:$J,M24)&amp;""))))</f>
        <v>Kids  1/0
Daffa</v>
      </c>
      <c r="F24" s="40" t="str">
        <f aca="false">IF(N24="","",IF(V24="Tidak dibuka","–",IF(INDEX('Reguler Class Availability'!$B:$B,N24)&amp;""="","Kosong",PROPER(INDEX('Reguler Class Availability'!$B:$B,N24)&amp;""))&amp;"  "&amp;IFERROR(--(INDEX('Reguler Class Availability'!$G:$G,N24)&amp;""),0)&amp;"/"&amp;IFERROR(--(INDEX('Reguler Class Availability'!$F:$F,N24)&amp;""),0)&amp;IF(IFERROR(--(INDEX('Reguler Class Availability'!$F:$F,N24)&amp;""),0)&gt;0,"  ("&amp;TEXT(IFERROR(--(INDEX('Reguler Class Availability'!$G:$G,N24)&amp;""),0)/IFERROR(--(INDEX('Reguler Class Availability'!$F:$F,N24)&amp;""),0),"0%")&amp;")","")&amp;CHAR(10)&amp;IF(INDEX('Reguler Class Availability'!$I:$I,N24)&amp;""="","coach: –",PROPER(INDEX('Reguler Class Availability'!$I:$I,N24)&amp;""))&amp;IF(INDEX('Reguler Class Availability'!$J:$J,N24)&amp;""="","",CHAR(10)&amp;"asst: "&amp;PROPER(INDEX('Reguler Class Availability'!$J:$J,N24)&amp;""))))</f>
        <v>Kids  4/4  (100%)
Surya</v>
      </c>
      <c r="G24" s="40" t="str">
        <f aca="false">IF(O24="","",IF(W24="Tidak dibuka","–",IF(INDEX('Reguler Class Availability'!$B:$B,O24)&amp;""="","Kosong",PROPER(INDEX('Reguler Class Availability'!$B:$B,O24)&amp;""))&amp;"  "&amp;IFERROR(--(INDEX('Reguler Class Availability'!$G:$G,O24)&amp;""),0)&amp;"/"&amp;IFERROR(--(INDEX('Reguler Class Availability'!$F:$F,O24)&amp;""),0)&amp;IF(IFERROR(--(INDEX('Reguler Class Availability'!$F:$F,O24)&amp;""),0)&gt;0,"  ("&amp;TEXT(IFERROR(--(INDEX('Reguler Class Availability'!$G:$G,O24)&amp;""),0)/IFERROR(--(INDEX('Reguler Class Availability'!$F:$F,O24)&amp;""),0),"0%")&amp;")","")&amp;CHAR(10)&amp;IF(INDEX('Reguler Class Availability'!$I:$I,O24)&amp;""="","coach: –",PROPER(INDEX('Reguler Class Availability'!$I:$I,O24)&amp;""))&amp;IF(INDEX('Reguler Class Availability'!$J:$J,O24)&amp;""="","",CHAR(10)&amp;"asst: "&amp;PROPER(INDEX('Reguler Class Availability'!$J:$J,O24)&amp;""))))</f>
        <v>Little  4/4  (100%)
Daffa</v>
      </c>
      <c r="H24" s="40" t="str">
        <f aca="false">IF(P24="","",IF(X24="Tidak dibuka","–",IF(INDEX('Reguler Class Availability'!$B:$B,P24)&amp;""="","Kosong",PROPER(INDEX('Reguler Class Availability'!$B:$B,P24)&amp;""))&amp;"  "&amp;IFERROR(--(INDEX('Reguler Class Availability'!$G:$G,P24)&amp;""),0)&amp;"/"&amp;IFERROR(--(INDEX('Reguler Class Availability'!$F:$F,P24)&amp;""),0)&amp;IF(IFERROR(--(INDEX('Reguler Class Availability'!$F:$F,P24)&amp;""),0)&gt;0,"  ("&amp;TEXT(IFERROR(--(INDEX('Reguler Class Availability'!$G:$G,P24)&amp;""),0)/IFERROR(--(INDEX('Reguler Class Availability'!$F:$F,P24)&amp;""),0),"0%")&amp;")","")&amp;CHAR(10)&amp;IF(INDEX('Reguler Class Availability'!$I:$I,P24)&amp;""="","coach: –",PROPER(INDEX('Reguler Class Availability'!$I:$I,P24)&amp;""))&amp;IF(INDEX('Reguler Class Availability'!$J:$J,P24)&amp;""="","",CHAR(10)&amp;"asst: "&amp;PROPER(INDEX('Reguler Class Availability'!$J:$J,P24)&amp;""))))</f>
        <v>Kids  2/4  (50%)
Zidane</v>
      </c>
      <c r="J24" s="4" t="n">
        <f aca="false">IF($A24="","",IFERROR(MATCH($B$4&amp;"|- Lane 1 - "&amp;B$13&amp;"|"&amp;$A24,'Reguler Class Availability'!$L:$L,0),""))</f>
        <v>11</v>
      </c>
      <c r="K24" s="4" t="n">
        <f aca="false">IF($A24="","",IFERROR(MATCH($B$4&amp;"|- Lane 1 - "&amp;C$13&amp;"|"&amp;$A24,'Reguler Class Availability'!$L:$L,0),""))</f>
        <v>23</v>
      </c>
      <c r="L24" s="4" t="n">
        <f aca="false">IF($A24="","",IFERROR(MATCH($B$4&amp;"|- Lane 1 - "&amp;D$13&amp;"|"&amp;$A24,'Reguler Class Availability'!$L:$L,0),""))</f>
        <v>35</v>
      </c>
      <c r="M24" s="4" t="n">
        <f aca="false">IF($A24="","",IFERROR(MATCH($B$4&amp;"|- Lane 1 - "&amp;E$13&amp;"|"&amp;$A24,'Reguler Class Availability'!$L:$L,0),""))</f>
        <v>47</v>
      </c>
      <c r="N24" s="4" t="n">
        <f aca="false">IF($A24="","",IFERROR(MATCH($B$4&amp;"|- Lane 1 - "&amp;F$13&amp;"|"&amp;$A24,'Reguler Class Availability'!$L:$L,0),""))</f>
        <v>59</v>
      </c>
      <c r="O24" s="4" t="n">
        <f aca="false">IF($A24="","",IFERROR(MATCH($B$4&amp;"|- Lane 1 - "&amp;G$13&amp;"|"&amp;$A24,'Reguler Class Availability'!$L:$L,0),""))</f>
        <v>71</v>
      </c>
      <c r="P24" s="4" t="n">
        <f aca="false">IF($A24="","",IFERROR(MATCH($B$4&amp;"|- Lane 1 - "&amp;H$13&amp;"|"&amp;$A24,'Reguler Class Availability'!$L:$L,0),""))</f>
        <v>83</v>
      </c>
      <c r="R24" s="0" t="str">
        <f aca="false">IF(J24="","",IF(AND(IFERROR(--(INDEX('Reguler Class Availability'!$F:$F,J24)&amp;""),0)=0,IFERROR(--(INDEX('Reguler Class Availability'!$G:$G,J24)&amp;""),0)=0),IF(OR(INDEX('Reguler Class Availability'!$B:$B,J24)&amp;""&lt;&gt;"",INDEX('Reguler Class Availability'!$I:$I,J24)&amp;""&lt;&gt;""),"Tutup","Tidak dibuka"),IF(IFERROR(--(INDEX('Reguler Class Availability'!$G:$G,J24)&amp;""),0)&gt;IFERROR(--(INDEX('Reguler Class Availability'!$F:$F,J24)&amp;""),0),"Lebih",IF(IFERROR(--(INDEX('Reguler Class Availability'!$G:$G,J24)&amp;""),0)=IFERROR(--(INDEX('Reguler Class Availability'!$F:$F,J24)&amp;""),0),"Penuh",IF(IFERROR(--(INDEX('Reguler Class Availability'!$G:$G,J24)&amp;""),0)=0,IF(INDEX('Reguler Class Availability'!$B:$B,J24)&amp;""="","Kosong","Belum terisi"),IF(IFERROR(--(INDEX('Reguler Class Availability'!$G:$G,J24)&amp;""),0)/IFERROR(--(INDEX('Reguler Class Availability'!$F:$F,J24)&amp;""),0)&gt;=0.6,"Tinggi","Sebagian"))))))</f>
        <v>Tidak dibuka</v>
      </c>
      <c r="S24" s="0" t="str">
        <f aca="false">IF(K24="","",IF(AND(IFERROR(--(INDEX('Reguler Class Availability'!$F:$F,K24)&amp;""),0)=0,IFERROR(--(INDEX('Reguler Class Availability'!$G:$G,K24)&amp;""),0)=0),IF(OR(INDEX('Reguler Class Availability'!$B:$B,K24)&amp;""&lt;&gt;"",INDEX('Reguler Class Availability'!$I:$I,K24)&amp;""&lt;&gt;""),"Tutup","Tidak dibuka"),IF(IFERROR(--(INDEX('Reguler Class Availability'!$G:$G,K24)&amp;""),0)&gt;IFERROR(--(INDEX('Reguler Class Availability'!$F:$F,K24)&amp;""),0),"Lebih",IF(IFERROR(--(INDEX('Reguler Class Availability'!$G:$G,K24)&amp;""),0)=IFERROR(--(INDEX('Reguler Class Availability'!$F:$F,K24)&amp;""),0),"Penuh",IF(IFERROR(--(INDEX('Reguler Class Availability'!$G:$G,K24)&amp;""),0)=0,IF(INDEX('Reguler Class Availability'!$B:$B,K24)&amp;""="","Kosong","Belum terisi"),IF(IFERROR(--(INDEX('Reguler Class Availability'!$G:$G,K24)&amp;""),0)/IFERROR(--(INDEX('Reguler Class Availability'!$F:$F,K24)&amp;""),0)&gt;=0.6,"Tinggi","Sebagian"))))))</f>
        <v>Tidak dibuka</v>
      </c>
      <c r="T24" s="0" t="str">
        <f aca="false">IF(L24="","",IF(AND(IFERROR(--(INDEX('Reguler Class Availability'!$F:$F,L24)&amp;""),0)=0,IFERROR(--(INDEX('Reguler Class Availability'!$G:$G,L24)&amp;""),0)=0),IF(OR(INDEX('Reguler Class Availability'!$B:$B,L24)&amp;""&lt;&gt;"",INDEX('Reguler Class Availability'!$I:$I,L24)&amp;""&lt;&gt;""),"Tutup","Tidak dibuka"),IF(IFERROR(--(INDEX('Reguler Class Availability'!$G:$G,L24)&amp;""),0)&gt;IFERROR(--(INDEX('Reguler Class Availability'!$F:$F,L24)&amp;""),0),"Lebih",IF(IFERROR(--(INDEX('Reguler Class Availability'!$G:$G,L24)&amp;""),0)=IFERROR(--(INDEX('Reguler Class Availability'!$F:$F,L24)&amp;""),0),"Penuh",IF(IFERROR(--(INDEX('Reguler Class Availability'!$G:$G,L24)&amp;""),0)=0,IF(INDEX('Reguler Class Availability'!$B:$B,L24)&amp;""="","Kosong","Belum terisi"),IF(IFERROR(--(INDEX('Reguler Class Availability'!$G:$G,L24)&amp;""),0)/IFERROR(--(INDEX('Reguler Class Availability'!$F:$F,L24)&amp;""),0)&gt;=0.6,"Tinggi","Sebagian"))))))</f>
        <v>Lebih</v>
      </c>
      <c r="U24" s="0" t="str">
        <f aca="false">IF(M24="","",IF(AND(IFERROR(--(INDEX('Reguler Class Availability'!$F:$F,M24)&amp;""),0)=0,IFERROR(--(INDEX('Reguler Class Availability'!$G:$G,M24)&amp;""),0)=0),IF(OR(INDEX('Reguler Class Availability'!$B:$B,M24)&amp;""&lt;&gt;"",INDEX('Reguler Class Availability'!$I:$I,M24)&amp;""&lt;&gt;""),"Tutup","Tidak dibuka"),IF(IFERROR(--(INDEX('Reguler Class Availability'!$G:$G,M24)&amp;""),0)&gt;IFERROR(--(INDEX('Reguler Class Availability'!$F:$F,M24)&amp;""),0),"Lebih",IF(IFERROR(--(INDEX('Reguler Class Availability'!$G:$G,M24)&amp;""),0)=IFERROR(--(INDEX('Reguler Class Availability'!$F:$F,M24)&amp;""),0),"Penuh",IF(IFERROR(--(INDEX('Reguler Class Availability'!$G:$G,M24)&amp;""),0)=0,IF(INDEX('Reguler Class Availability'!$B:$B,M24)&amp;""="","Kosong","Belum terisi"),IF(IFERROR(--(INDEX('Reguler Class Availability'!$G:$G,M24)&amp;""),0)/IFERROR(--(INDEX('Reguler Class Availability'!$F:$F,M24)&amp;""),0)&gt;=0.6,"Tinggi","Sebagian"))))))</f>
        <v>Lebih</v>
      </c>
      <c r="V24" s="0" t="str">
        <f aca="false">IF(N24="","",IF(AND(IFERROR(--(INDEX('Reguler Class Availability'!$F:$F,N24)&amp;""),0)=0,IFERROR(--(INDEX('Reguler Class Availability'!$G:$G,N24)&amp;""),0)=0),IF(OR(INDEX('Reguler Class Availability'!$B:$B,N24)&amp;""&lt;&gt;"",INDEX('Reguler Class Availability'!$I:$I,N24)&amp;""&lt;&gt;""),"Tutup","Tidak dibuka"),IF(IFERROR(--(INDEX('Reguler Class Availability'!$G:$G,N24)&amp;""),0)&gt;IFERROR(--(INDEX('Reguler Class Availability'!$F:$F,N24)&amp;""),0),"Lebih",IF(IFERROR(--(INDEX('Reguler Class Availability'!$G:$G,N24)&amp;""),0)=IFERROR(--(INDEX('Reguler Class Availability'!$F:$F,N24)&amp;""),0),"Penuh",IF(IFERROR(--(INDEX('Reguler Class Availability'!$G:$G,N24)&amp;""),0)=0,IF(INDEX('Reguler Class Availability'!$B:$B,N24)&amp;""="","Kosong","Belum terisi"),IF(IFERROR(--(INDEX('Reguler Class Availability'!$G:$G,N24)&amp;""),0)/IFERROR(--(INDEX('Reguler Class Availability'!$F:$F,N24)&amp;""),0)&gt;=0.6,"Tinggi","Sebagian"))))))</f>
        <v>Penuh</v>
      </c>
      <c r="W24" s="0" t="str">
        <f aca="false">IF(O24="","",IF(AND(IFERROR(--(INDEX('Reguler Class Availability'!$F:$F,O24)&amp;""),0)=0,IFERROR(--(INDEX('Reguler Class Availability'!$G:$G,O24)&amp;""),0)=0),IF(OR(INDEX('Reguler Class Availability'!$B:$B,O24)&amp;""&lt;&gt;"",INDEX('Reguler Class Availability'!$I:$I,O24)&amp;""&lt;&gt;""),"Tutup","Tidak dibuka"),IF(IFERROR(--(INDEX('Reguler Class Availability'!$G:$G,O24)&amp;""),0)&gt;IFERROR(--(INDEX('Reguler Class Availability'!$F:$F,O24)&amp;""),0),"Lebih",IF(IFERROR(--(INDEX('Reguler Class Availability'!$G:$G,O24)&amp;""),0)=IFERROR(--(INDEX('Reguler Class Availability'!$F:$F,O24)&amp;""),0),"Penuh",IF(IFERROR(--(INDEX('Reguler Class Availability'!$G:$G,O24)&amp;""),0)=0,IF(INDEX('Reguler Class Availability'!$B:$B,O24)&amp;""="","Kosong","Belum terisi"),IF(IFERROR(--(INDEX('Reguler Class Availability'!$G:$G,O24)&amp;""),0)/IFERROR(--(INDEX('Reguler Class Availability'!$F:$F,O24)&amp;""),0)&gt;=0.6,"Tinggi","Sebagian"))))))</f>
        <v>Penuh</v>
      </c>
      <c r="X24" s="0" t="str">
        <f aca="false">IF(P24="","",IF(AND(IFERROR(--(INDEX('Reguler Class Availability'!$F:$F,P24)&amp;""),0)=0,IFERROR(--(INDEX('Reguler Class Availability'!$G:$G,P24)&amp;""),0)=0),IF(OR(INDEX('Reguler Class Availability'!$B:$B,P24)&amp;""&lt;&gt;"",INDEX('Reguler Class Availability'!$I:$I,P24)&amp;""&lt;&gt;""),"Tutup","Tidak dibuka"),IF(IFERROR(--(INDEX('Reguler Class Availability'!$G:$G,P24)&amp;""),0)&gt;IFERROR(--(INDEX('Reguler Class Availability'!$F:$F,P24)&amp;""),0),"Lebih",IF(IFERROR(--(INDEX('Reguler Class Availability'!$G:$G,P24)&amp;""),0)=IFERROR(--(INDEX('Reguler Class Availability'!$F:$F,P24)&amp;""),0),"Penuh",IF(IFERROR(--(INDEX('Reguler Class Availability'!$G:$G,P24)&amp;""),0)=0,IF(INDEX('Reguler Class Availability'!$B:$B,P24)&amp;""="","Kosong","Belum terisi"),IF(IFERROR(--(INDEX('Reguler Class Availability'!$G:$G,P24)&amp;""),0)/IFERROR(--(INDEX('Reguler Class Availability'!$F:$F,P24)&amp;""),0)&gt;=0.6,"Tinggi","Sebagian"))))))</f>
        <v>Sebagian</v>
      </c>
      <c r="Z24" s="4" t="s">
        <v>57</v>
      </c>
      <c r="AA24" s="4" t="n">
        <f aca="false">IF(COUNTIFS('Reguler Class Availability'!$L:$L,$B$4&amp;"|- Lane 1 - *|"&amp;Z24)&gt;0,1,0)</f>
        <v>0</v>
      </c>
      <c r="AB24" s="4" t="n">
        <f aca="false">AA24+AB23</f>
        <v>6</v>
      </c>
    </row>
    <row r="25" customFormat="false" ht="39.75" hidden="false" customHeight="true" outlineLevel="0" collapsed="false">
      <c r="A25" s="39" t="str">
        <f aca="false">IFERROR(INDEX($Z$2:$Z$61,MATCH(12,$AB$2:$AB$61,0)),"")</f>
        <v>16:30</v>
      </c>
      <c r="B25" s="40" t="str">
        <f aca="false">IF(J25="","",IF(R25="Tidak dibuka","–",IF(INDEX('Reguler Class Availability'!$B:$B,J25)&amp;""="","Kosong",PROPER(INDEX('Reguler Class Availability'!$B:$B,J25)&amp;""))&amp;"  "&amp;IFERROR(--(INDEX('Reguler Class Availability'!$G:$G,J25)&amp;""),0)&amp;"/"&amp;IFERROR(--(INDEX('Reguler Class Availability'!$F:$F,J25)&amp;""),0)&amp;IF(IFERROR(--(INDEX('Reguler Class Availability'!$F:$F,J25)&amp;""),0)&gt;0,"  ("&amp;TEXT(IFERROR(--(INDEX('Reguler Class Availability'!$G:$G,J25)&amp;""),0)/IFERROR(--(INDEX('Reguler Class Availability'!$F:$F,J25)&amp;""),0),"0%")&amp;")","")&amp;CHAR(10)&amp;IF(INDEX('Reguler Class Availability'!$I:$I,J25)&amp;""="","coach: –",PROPER(INDEX('Reguler Class Availability'!$I:$I,J25)&amp;""))&amp;IF(INDEX('Reguler Class Availability'!$J:$J,J25)&amp;""="","",CHAR(10)&amp;"asst: "&amp;PROPER(INDEX('Reguler Class Availability'!$J:$J,J25)&amp;""))))</f>
        <v>Kids  3/5  (60%)
Gita</v>
      </c>
      <c r="C25" s="40" t="str">
        <f aca="false">IF(K25="","",IF(S25="Tidak dibuka","–",IF(INDEX('Reguler Class Availability'!$B:$B,K25)&amp;""="","Kosong",PROPER(INDEX('Reguler Class Availability'!$B:$B,K25)&amp;""))&amp;"  "&amp;IFERROR(--(INDEX('Reguler Class Availability'!$G:$G,K25)&amp;""),0)&amp;"/"&amp;IFERROR(--(INDEX('Reguler Class Availability'!$F:$F,K25)&amp;""),0)&amp;IF(IFERROR(--(INDEX('Reguler Class Availability'!$F:$F,K25)&amp;""),0)&gt;0,"  ("&amp;TEXT(IFERROR(--(INDEX('Reguler Class Availability'!$G:$G,K25)&amp;""),0)/IFERROR(--(INDEX('Reguler Class Availability'!$F:$F,K25)&amp;""),0),"0%")&amp;")","")&amp;CHAR(10)&amp;IF(INDEX('Reguler Class Availability'!$I:$I,K25)&amp;""="","coach: –",PROPER(INDEX('Reguler Class Availability'!$I:$I,K25)&amp;""))&amp;IF(INDEX('Reguler Class Availability'!$J:$J,K25)&amp;""="","",CHAR(10)&amp;"asst: "&amp;PROPER(INDEX('Reguler Class Availability'!$J:$J,K25)&amp;""))))</f>
        <v>Kosong  0/5  (0%)
coach: –</v>
      </c>
      <c r="D25" s="40" t="str">
        <f aca="false">IF(L25="","",IF(T25="Tidak dibuka","–",IF(INDEX('Reguler Class Availability'!$B:$B,L25)&amp;""="","Kosong",PROPER(INDEX('Reguler Class Availability'!$B:$B,L25)&amp;""))&amp;"  "&amp;IFERROR(--(INDEX('Reguler Class Availability'!$G:$G,L25)&amp;""),0)&amp;"/"&amp;IFERROR(--(INDEX('Reguler Class Availability'!$F:$F,L25)&amp;""),0)&amp;IF(IFERROR(--(INDEX('Reguler Class Availability'!$F:$F,L25)&amp;""),0)&gt;0,"  ("&amp;TEXT(IFERROR(--(INDEX('Reguler Class Availability'!$G:$G,L25)&amp;""),0)/IFERROR(--(INDEX('Reguler Class Availability'!$F:$F,L25)&amp;""),0),"0%")&amp;")","")&amp;CHAR(10)&amp;IF(INDEX('Reguler Class Availability'!$I:$I,L25)&amp;""="","coach: –",PROPER(INDEX('Reguler Class Availability'!$I:$I,L25)&amp;""))&amp;IF(INDEX('Reguler Class Availability'!$J:$J,L25)&amp;""="","",CHAR(10)&amp;"asst: "&amp;PROPER(INDEX('Reguler Class Availability'!$J:$J,L25)&amp;""))))</f>
        <v>Kosong  0/5  (0%)
coach: –</v>
      </c>
      <c r="E25" s="40" t="str">
        <f aca="false">IF(M25="","",IF(U25="Tidak dibuka","–",IF(INDEX('Reguler Class Availability'!$B:$B,M25)&amp;""="","Kosong",PROPER(INDEX('Reguler Class Availability'!$B:$B,M25)&amp;""))&amp;"  "&amp;IFERROR(--(INDEX('Reguler Class Availability'!$G:$G,M25)&amp;""),0)&amp;"/"&amp;IFERROR(--(INDEX('Reguler Class Availability'!$F:$F,M25)&amp;""),0)&amp;IF(IFERROR(--(INDEX('Reguler Class Availability'!$F:$F,M25)&amp;""),0)&gt;0,"  ("&amp;TEXT(IFERROR(--(INDEX('Reguler Class Availability'!$G:$G,M25)&amp;""),0)/IFERROR(--(INDEX('Reguler Class Availability'!$F:$F,M25)&amp;""),0),"0%")&amp;")","")&amp;CHAR(10)&amp;IF(INDEX('Reguler Class Availability'!$I:$I,M25)&amp;""="","coach: –",PROPER(INDEX('Reguler Class Availability'!$I:$I,M25)&amp;""))&amp;IF(INDEX('Reguler Class Availability'!$J:$J,M25)&amp;""="","",CHAR(10)&amp;"asst: "&amp;PROPER(INDEX('Reguler Class Availability'!$J:$J,M25)&amp;""))))</f>
        <v>Kids  4/4  (100%)
Tessa</v>
      </c>
      <c r="F25" s="40" t="str">
        <f aca="false">IF(N25="","",IF(V25="Tidak dibuka","–",IF(INDEX('Reguler Class Availability'!$B:$B,N25)&amp;""="","Kosong",PROPER(INDEX('Reguler Class Availability'!$B:$B,N25)&amp;""))&amp;"  "&amp;IFERROR(--(INDEX('Reguler Class Availability'!$G:$G,N25)&amp;""),0)&amp;"/"&amp;IFERROR(--(INDEX('Reguler Class Availability'!$F:$F,N25)&amp;""),0)&amp;IF(IFERROR(--(INDEX('Reguler Class Availability'!$F:$F,N25)&amp;""),0)&gt;0,"  ("&amp;TEXT(IFERROR(--(INDEX('Reguler Class Availability'!$G:$G,N25)&amp;""),0)/IFERROR(--(INDEX('Reguler Class Availability'!$F:$F,N25)&amp;""),0),"0%")&amp;")","")&amp;CHAR(10)&amp;IF(INDEX('Reguler Class Availability'!$I:$I,N25)&amp;""="","coach: –",PROPER(INDEX('Reguler Class Availability'!$I:$I,N25)&amp;""))&amp;IF(INDEX('Reguler Class Availability'!$J:$J,N25)&amp;""="","",CHAR(10)&amp;"asst: "&amp;PROPER(INDEX('Reguler Class Availability'!$J:$J,N25)&amp;""))))</f>
        <v>Little  3/4  (75%)
Tessa</v>
      </c>
      <c r="G25" s="40" t="str">
        <f aca="false">IF(O25="","",IF(W25="Tidak dibuka","–",IF(INDEX('Reguler Class Availability'!$B:$B,O25)&amp;""="","Kosong",PROPER(INDEX('Reguler Class Availability'!$B:$B,O25)&amp;""))&amp;"  "&amp;IFERROR(--(INDEX('Reguler Class Availability'!$G:$G,O25)&amp;""),0)&amp;"/"&amp;IFERROR(--(INDEX('Reguler Class Availability'!$F:$F,O25)&amp;""),0)&amp;IF(IFERROR(--(INDEX('Reguler Class Availability'!$F:$F,O25)&amp;""),0)&gt;0,"  ("&amp;TEXT(IFERROR(--(INDEX('Reguler Class Availability'!$G:$G,O25)&amp;""),0)/IFERROR(--(INDEX('Reguler Class Availability'!$F:$F,O25)&amp;""),0),"0%")&amp;")","")&amp;CHAR(10)&amp;IF(INDEX('Reguler Class Availability'!$I:$I,O25)&amp;""="","coach: –",PROPER(INDEX('Reguler Class Availability'!$I:$I,O25)&amp;""))&amp;IF(INDEX('Reguler Class Availability'!$J:$J,O25)&amp;""="","",CHAR(10)&amp;"asst: "&amp;PROPER(INDEX('Reguler Class Availability'!$J:$J,O25)&amp;""))))</f>
        <v>Baby  4/5  (80%)
Danti</v>
      </c>
      <c r="H25" s="40" t="str">
        <f aca="false">IF(P25="","",IF(X25="Tidak dibuka","–",IF(INDEX('Reguler Class Availability'!$B:$B,P25)&amp;""="","Kosong",PROPER(INDEX('Reguler Class Availability'!$B:$B,P25)&amp;""))&amp;"  "&amp;IFERROR(--(INDEX('Reguler Class Availability'!$G:$G,P25)&amp;""),0)&amp;"/"&amp;IFERROR(--(INDEX('Reguler Class Availability'!$F:$F,P25)&amp;""),0)&amp;IF(IFERROR(--(INDEX('Reguler Class Availability'!$F:$F,P25)&amp;""),0)&gt;0,"  ("&amp;TEXT(IFERROR(--(INDEX('Reguler Class Availability'!$G:$G,P25)&amp;""),0)/IFERROR(--(INDEX('Reguler Class Availability'!$F:$F,P25)&amp;""),0),"0%")&amp;")","")&amp;CHAR(10)&amp;IF(INDEX('Reguler Class Availability'!$I:$I,P25)&amp;""="","coach: –",PROPER(INDEX('Reguler Class Availability'!$I:$I,P25)&amp;""))&amp;IF(INDEX('Reguler Class Availability'!$J:$J,P25)&amp;""="","",CHAR(10)&amp;"asst: "&amp;PROPER(INDEX('Reguler Class Availability'!$J:$J,P25)&amp;""))))</f>
        <v>Little  1/4  (25%)
Dian</v>
      </c>
      <c r="J25" s="4" t="n">
        <f aca="false">IF($A25="","",IFERROR(MATCH($B$4&amp;"|- Lane 1 - "&amp;B$13&amp;"|"&amp;$A25,'Reguler Class Availability'!$L:$L,0),""))</f>
        <v>12</v>
      </c>
      <c r="K25" s="4" t="n">
        <f aca="false">IF($A25="","",IFERROR(MATCH($B$4&amp;"|- Lane 1 - "&amp;C$13&amp;"|"&amp;$A25,'Reguler Class Availability'!$L:$L,0),""))</f>
        <v>24</v>
      </c>
      <c r="L25" s="4" t="n">
        <f aca="false">IF($A25="","",IFERROR(MATCH($B$4&amp;"|- Lane 1 - "&amp;D$13&amp;"|"&amp;$A25,'Reguler Class Availability'!$L:$L,0),""))</f>
        <v>36</v>
      </c>
      <c r="M25" s="4" t="n">
        <f aca="false">IF($A25="","",IFERROR(MATCH($B$4&amp;"|- Lane 1 - "&amp;E$13&amp;"|"&amp;$A25,'Reguler Class Availability'!$L:$L,0),""))</f>
        <v>48</v>
      </c>
      <c r="N25" s="4" t="n">
        <f aca="false">IF($A25="","",IFERROR(MATCH($B$4&amp;"|- Lane 1 - "&amp;F$13&amp;"|"&amp;$A25,'Reguler Class Availability'!$L:$L,0),""))</f>
        <v>60</v>
      </c>
      <c r="O25" s="4" t="n">
        <f aca="false">IF($A25="","",IFERROR(MATCH($B$4&amp;"|- Lane 1 - "&amp;G$13&amp;"|"&amp;$A25,'Reguler Class Availability'!$L:$L,0),""))</f>
        <v>72</v>
      </c>
      <c r="P25" s="4" t="n">
        <f aca="false">IF($A25="","",IFERROR(MATCH($B$4&amp;"|- Lane 1 - "&amp;H$13&amp;"|"&amp;$A25,'Reguler Class Availability'!$L:$L,0),""))</f>
        <v>84</v>
      </c>
      <c r="R25" s="0" t="str">
        <f aca="false">IF(J25="","",IF(AND(IFERROR(--(INDEX('Reguler Class Availability'!$F:$F,J25)&amp;""),0)=0,IFERROR(--(INDEX('Reguler Class Availability'!$G:$G,J25)&amp;""),0)=0),IF(OR(INDEX('Reguler Class Availability'!$B:$B,J25)&amp;""&lt;&gt;"",INDEX('Reguler Class Availability'!$I:$I,J25)&amp;""&lt;&gt;""),"Tutup","Tidak dibuka"),IF(IFERROR(--(INDEX('Reguler Class Availability'!$G:$G,J25)&amp;""),0)&gt;IFERROR(--(INDEX('Reguler Class Availability'!$F:$F,J25)&amp;""),0),"Lebih",IF(IFERROR(--(INDEX('Reguler Class Availability'!$G:$G,J25)&amp;""),0)=IFERROR(--(INDEX('Reguler Class Availability'!$F:$F,J25)&amp;""),0),"Penuh",IF(IFERROR(--(INDEX('Reguler Class Availability'!$G:$G,J25)&amp;""),0)=0,IF(INDEX('Reguler Class Availability'!$B:$B,J25)&amp;""="","Kosong","Belum terisi"),IF(IFERROR(--(INDEX('Reguler Class Availability'!$G:$G,J25)&amp;""),0)/IFERROR(--(INDEX('Reguler Class Availability'!$F:$F,J25)&amp;""),0)&gt;=0.6,"Tinggi","Sebagian"))))))</f>
        <v>Tinggi</v>
      </c>
      <c r="S25" s="0" t="str">
        <f aca="false">IF(K25="","",IF(AND(IFERROR(--(INDEX('Reguler Class Availability'!$F:$F,K25)&amp;""),0)=0,IFERROR(--(INDEX('Reguler Class Availability'!$G:$G,K25)&amp;""),0)=0),IF(OR(INDEX('Reguler Class Availability'!$B:$B,K25)&amp;""&lt;&gt;"",INDEX('Reguler Class Availability'!$I:$I,K25)&amp;""&lt;&gt;""),"Tutup","Tidak dibuka"),IF(IFERROR(--(INDEX('Reguler Class Availability'!$G:$G,K25)&amp;""),0)&gt;IFERROR(--(INDEX('Reguler Class Availability'!$F:$F,K25)&amp;""),0),"Lebih",IF(IFERROR(--(INDEX('Reguler Class Availability'!$G:$G,K25)&amp;""),0)=IFERROR(--(INDEX('Reguler Class Availability'!$F:$F,K25)&amp;""),0),"Penuh",IF(IFERROR(--(INDEX('Reguler Class Availability'!$G:$G,K25)&amp;""),0)=0,IF(INDEX('Reguler Class Availability'!$B:$B,K25)&amp;""="","Kosong","Belum terisi"),IF(IFERROR(--(INDEX('Reguler Class Availability'!$G:$G,K25)&amp;""),0)/IFERROR(--(INDEX('Reguler Class Availability'!$F:$F,K25)&amp;""),0)&gt;=0.6,"Tinggi","Sebagian"))))))</f>
        <v>Kosong</v>
      </c>
      <c r="T25" s="0" t="str">
        <f aca="false">IF(L25="","",IF(AND(IFERROR(--(INDEX('Reguler Class Availability'!$F:$F,L25)&amp;""),0)=0,IFERROR(--(INDEX('Reguler Class Availability'!$G:$G,L25)&amp;""),0)=0),IF(OR(INDEX('Reguler Class Availability'!$B:$B,L25)&amp;""&lt;&gt;"",INDEX('Reguler Class Availability'!$I:$I,L25)&amp;""&lt;&gt;""),"Tutup","Tidak dibuka"),IF(IFERROR(--(INDEX('Reguler Class Availability'!$G:$G,L25)&amp;""),0)&gt;IFERROR(--(INDEX('Reguler Class Availability'!$F:$F,L25)&amp;""),0),"Lebih",IF(IFERROR(--(INDEX('Reguler Class Availability'!$G:$G,L25)&amp;""),0)=IFERROR(--(INDEX('Reguler Class Availability'!$F:$F,L25)&amp;""),0),"Penuh",IF(IFERROR(--(INDEX('Reguler Class Availability'!$G:$G,L25)&amp;""),0)=0,IF(INDEX('Reguler Class Availability'!$B:$B,L25)&amp;""="","Kosong","Belum terisi"),IF(IFERROR(--(INDEX('Reguler Class Availability'!$G:$G,L25)&amp;""),0)/IFERROR(--(INDEX('Reguler Class Availability'!$F:$F,L25)&amp;""),0)&gt;=0.6,"Tinggi","Sebagian"))))))</f>
        <v>Kosong</v>
      </c>
      <c r="U25" s="0" t="str">
        <f aca="false">IF(M25="","",IF(AND(IFERROR(--(INDEX('Reguler Class Availability'!$F:$F,M25)&amp;""),0)=0,IFERROR(--(INDEX('Reguler Class Availability'!$G:$G,M25)&amp;""),0)=0),IF(OR(INDEX('Reguler Class Availability'!$B:$B,M25)&amp;""&lt;&gt;"",INDEX('Reguler Class Availability'!$I:$I,M25)&amp;""&lt;&gt;""),"Tutup","Tidak dibuka"),IF(IFERROR(--(INDEX('Reguler Class Availability'!$G:$G,M25)&amp;""),0)&gt;IFERROR(--(INDEX('Reguler Class Availability'!$F:$F,M25)&amp;""),0),"Lebih",IF(IFERROR(--(INDEX('Reguler Class Availability'!$G:$G,M25)&amp;""),0)=IFERROR(--(INDEX('Reguler Class Availability'!$F:$F,M25)&amp;""),0),"Penuh",IF(IFERROR(--(INDEX('Reguler Class Availability'!$G:$G,M25)&amp;""),0)=0,IF(INDEX('Reguler Class Availability'!$B:$B,M25)&amp;""="","Kosong","Belum terisi"),IF(IFERROR(--(INDEX('Reguler Class Availability'!$G:$G,M25)&amp;""),0)/IFERROR(--(INDEX('Reguler Class Availability'!$F:$F,M25)&amp;""),0)&gt;=0.6,"Tinggi","Sebagian"))))))</f>
        <v>Penuh</v>
      </c>
      <c r="V25" s="0" t="str">
        <f aca="false">IF(N25="","",IF(AND(IFERROR(--(INDEX('Reguler Class Availability'!$F:$F,N25)&amp;""),0)=0,IFERROR(--(INDEX('Reguler Class Availability'!$G:$G,N25)&amp;""),0)=0),IF(OR(INDEX('Reguler Class Availability'!$B:$B,N25)&amp;""&lt;&gt;"",INDEX('Reguler Class Availability'!$I:$I,N25)&amp;""&lt;&gt;""),"Tutup","Tidak dibuka"),IF(IFERROR(--(INDEX('Reguler Class Availability'!$G:$G,N25)&amp;""),0)&gt;IFERROR(--(INDEX('Reguler Class Availability'!$F:$F,N25)&amp;""),0),"Lebih",IF(IFERROR(--(INDEX('Reguler Class Availability'!$G:$G,N25)&amp;""),0)=IFERROR(--(INDEX('Reguler Class Availability'!$F:$F,N25)&amp;""),0),"Penuh",IF(IFERROR(--(INDEX('Reguler Class Availability'!$G:$G,N25)&amp;""),0)=0,IF(INDEX('Reguler Class Availability'!$B:$B,N25)&amp;""="","Kosong","Belum terisi"),IF(IFERROR(--(INDEX('Reguler Class Availability'!$G:$G,N25)&amp;""),0)/IFERROR(--(INDEX('Reguler Class Availability'!$F:$F,N25)&amp;""),0)&gt;=0.6,"Tinggi","Sebagian"))))))</f>
        <v>Tinggi</v>
      </c>
      <c r="W25" s="0" t="str">
        <f aca="false">IF(O25="","",IF(AND(IFERROR(--(INDEX('Reguler Class Availability'!$F:$F,O25)&amp;""),0)=0,IFERROR(--(INDEX('Reguler Class Availability'!$G:$G,O25)&amp;""),0)=0),IF(OR(INDEX('Reguler Class Availability'!$B:$B,O25)&amp;""&lt;&gt;"",INDEX('Reguler Class Availability'!$I:$I,O25)&amp;""&lt;&gt;""),"Tutup","Tidak dibuka"),IF(IFERROR(--(INDEX('Reguler Class Availability'!$G:$G,O25)&amp;""),0)&gt;IFERROR(--(INDEX('Reguler Class Availability'!$F:$F,O25)&amp;""),0),"Lebih",IF(IFERROR(--(INDEX('Reguler Class Availability'!$G:$G,O25)&amp;""),0)=IFERROR(--(INDEX('Reguler Class Availability'!$F:$F,O25)&amp;""),0),"Penuh",IF(IFERROR(--(INDEX('Reguler Class Availability'!$G:$G,O25)&amp;""),0)=0,IF(INDEX('Reguler Class Availability'!$B:$B,O25)&amp;""="","Kosong","Belum terisi"),IF(IFERROR(--(INDEX('Reguler Class Availability'!$G:$G,O25)&amp;""),0)/IFERROR(--(INDEX('Reguler Class Availability'!$F:$F,O25)&amp;""),0)&gt;=0.6,"Tinggi","Sebagian"))))))</f>
        <v>Tinggi</v>
      </c>
      <c r="X25" s="0" t="str">
        <f aca="false">IF(P25="","",IF(AND(IFERROR(--(INDEX('Reguler Class Availability'!$F:$F,P25)&amp;""),0)=0,IFERROR(--(INDEX('Reguler Class Availability'!$G:$G,P25)&amp;""),0)=0),IF(OR(INDEX('Reguler Class Availability'!$B:$B,P25)&amp;""&lt;&gt;"",INDEX('Reguler Class Availability'!$I:$I,P25)&amp;""&lt;&gt;""),"Tutup","Tidak dibuka"),IF(IFERROR(--(INDEX('Reguler Class Availability'!$G:$G,P25)&amp;""),0)&gt;IFERROR(--(INDEX('Reguler Class Availability'!$F:$F,P25)&amp;""),0),"Lebih",IF(IFERROR(--(INDEX('Reguler Class Availability'!$G:$G,P25)&amp;""),0)=IFERROR(--(INDEX('Reguler Class Availability'!$F:$F,P25)&amp;""),0),"Penuh",IF(IFERROR(--(INDEX('Reguler Class Availability'!$G:$G,P25)&amp;""),0)=0,IF(INDEX('Reguler Class Availability'!$B:$B,P25)&amp;""="","Kosong","Belum terisi"),IF(IFERROR(--(INDEX('Reguler Class Availability'!$G:$G,P25)&amp;""),0)/IFERROR(--(INDEX('Reguler Class Availability'!$F:$F,P25)&amp;""),0)&gt;=0.6,"Tinggi","Sebagian"))))))</f>
        <v>Sebagian</v>
      </c>
      <c r="Z25" s="4" t="s">
        <v>58</v>
      </c>
      <c r="AA25" s="4" t="n">
        <f aca="false">IF(COUNTIFS('Reguler Class Availability'!$L:$L,$B$4&amp;"|- Lane 1 - *|"&amp;Z25)&gt;0,1,0)</f>
        <v>0</v>
      </c>
      <c r="AB25" s="4" t="n">
        <f aca="false">AA25+AB24</f>
        <v>6</v>
      </c>
    </row>
    <row r="26" customFormat="false" ht="39.75" hidden="false" customHeight="true" outlineLevel="0" collapsed="false">
      <c r="A26" s="39" t="str">
        <f aca="false">IFERROR(INDEX($Z$2:$Z$61,MATCH(13,$AB$2:$AB$61,0)),"")</f>
        <v>17:15</v>
      </c>
      <c r="B26" s="40" t="str">
        <f aca="false">IF(J26="","",IF(R26="Tidak dibuka","–",IF(INDEX('Reguler Class Availability'!$B:$B,J26)&amp;""="","Kosong",PROPER(INDEX('Reguler Class Availability'!$B:$B,J26)&amp;""))&amp;"  "&amp;IFERROR(--(INDEX('Reguler Class Availability'!$G:$G,J26)&amp;""),0)&amp;"/"&amp;IFERROR(--(INDEX('Reguler Class Availability'!$F:$F,J26)&amp;""),0)&amp;IF(IFERROR(--(INDEX('Reguler Class Availability'!$F:$F,J26)&amp;""),0)&gt;0,"  ("&amp;TEXT(IFERROR(--(INDEX('Reguler Class Availability'!$G:$G,J26)&amp;""),0)/IFERROR(--(INDEX('Reguler Class Availability'!$F:$F,J26)&amp;""),0),"0%")&amp;")","")&amp;CHAR(10)&amp;IF(INDEX('Reguler Class Availability'!$I:$I,J26)&amp;""="","coach: –",PROPER(INDEX('Reguler Class Availability'!$I:$I,J26)&amp;""))&amp;IF(INDEX('Reguler Class Availability'!$J:$J,J26)&amp;""="","",CHAR(10)&amp;"asst: "&amp;PROPER(INDEX('Reguler Class Availability'!$J:$J,J26)&amp;""))))</f>
        <v>Baby  2/5  (40%)
Rischa</v>
      </c>
      <c r="C26" s="40" t="str">
        <f aca="false">IF(K26="","",IF(S26="Tidak dibuka","–",IF(INDEX('Reguler Class Availability'!$B:$B,K26)&amp;""="","Kosong",PROPER(INDEX('Reguler Class Availability'!$B:$B,K26)&amp;""))&amp;"  "&amp;IFERROR(--(INDEX('Reguler Class Availability'!$G:$G,K26)&amp;""),0)&amp;"/"&amp;IFERROR(--(INDEX('Reguler Class Availability'!$F:$F,K26)&amp;""),0)&amp;IF(IFERROR(--(INDEX('Reguler Class Availability'!$F:$F,K26)&amp;""),0)&gt;0,"  ("&amp;TEXT(IFERROR(--(INDEX('Reguler Class Availability'!$G:$G,K26)&amp;""),0)/IFERROR(--(INDEX('Reguler Class Availability'!$F:$F,K26)&amp;""),0),"0%")&amp;")","")&amp;CHAR(10)&amp;IF(INDEX('Reguler Class Availability'!$I:$I,K26)&amp;""="","coach: –",PROPER(INDEX('Reguler Class Availability'!$I:$I,K26)&amp;""))&amp;IF(INDEX('Reguler Class Availability'!$J:$J,K26)&amp;""="","",CHAR(10)&amp;"asst: "&amp;PROPER(INDEX('Reguler Class Availability'!$J:$J,K26)&amp;""))))</f>
        <v>Baby  4/5  (80%)
Danti</v>
      </c>
      <c r="D26" s="40" t="str">
        <f aca="false">IF(L26="","",IF(T26="Tidak dibuka","–",IF(INDEX('Reguler Class Availability'!$B:$B,L26)&amp;""="","Kosong",PROPER(INDEX('Reguler Class Availability'!$B:$B,L26)&amp;""))&amp;"  "&amp;IFERROR(--(INDEX('Reguler Class Availability'!$G:$G,L26)&amp;""),0)&amp;"/"&amp;IFERROR(--(INDEX('Reguler Class Availability'!$F:$F,L26)&amp;""),0)&amp;IF(IFERROR(--(INDEX('Reguler Class Availability'!$F:$F,L26)&amp;""),0)&gt;0,"  ("&amp;TEXT(IFERROR(--(INDEX('Reguler Class Availability'!$G:$G,L26)&amp;""),0)/IFERROR(--(INDEX('Reguler Class Availability'!$F:$F,L26)&amp;""),0),"0%")&amp;")","")&amp;CHAR(10)&amp;IF(INDEX('Reguler Class Availability'!$I:$I,L26)&amp;""="","coach: –",PROPER(INDEX('Reguler Class Availability'!$I:$I,L26)&amp;""))&amp;IF(INDEX('Reguler Class Availability'!$J:$J,L26)&amp;""="","",CHAR(10)&amp;"asst: "&amp;PROPER(INDEX('Reguler Class Availability'!$J:$J,L26)&amp;""))))</f>
        <v>Kosong  0/5  (0%)
coach: –</v>
      </c>
      <c r="E26" s="40" t="str">
        <f aca="false">IF(M26="","",IF(U26="Tidak dibuka","–",IF(INDEX('Reguler Class Availability'!$B:$B,M26)&amp;""="","Kosong",PROPER(INDEX('Reguler Class Availability'!$B:$B,M26)&amp;""))&amp;"  "&amp;IFERROR(--(INDEX('Reguler Class Availability'!$G:$G,M26)&amp;""),0)&amp;"/"&amp;IFERROR(--(INDEX('Reguler Class Availability'!$F:$F,M26)&amp;""),0)&amp;IF(IFERROR(--(INDEX('Reguler Class Availability'!$F:$F,M26)&amp;""),0)&gt;0,"  ("&amp;TEXT(IFERROR(--(INDEX('Reguler Class Availability'!$G:$G,M26)&amp;""),0)/IFERROR(--(INDEX('Reguler Class Availability'!$F:$F,M26)&amp;""),0),"0%")&amp;")","")&amp;CHAR(10)&amp;IF(INDEX('Reguler Class Availability'!$I:$I,M26)&amp;""="","coach: –",PROPER(INDEX('Reguler Class Availability'!$I:$I,M26)&amp;""))&amp;IF(INDEX('Reguler Class Availability'!$J:$J,M26)&amp;""="","",CHAR(10)&amp;"asst: "&amp;PROPER(INDEX('Reguler Class Availability'!$J:$J,M26)&amp;""))))</f>
        <v>Kosong  0/5  (0%)
coach: –</v>
      </c>
      <c r="F26" s="40" t="str">
        <f aca="false">IF(N26="","",IF(V26="Tidak dibuka","–",IF(INDEX('Reguler Class Availability'!$B:$B,N26)&amp;""="","Kosong",PROPER(INDEX('Reguler Class Availability'!$B:$B,N26)&amp;""))&amp;"  "&amp;IFERROR(--(INDEX('Reguler Class Availability'!$G:$G,N26)&amp;""),0)&amp;"/"&amp;IFERROR(--(INDEX('Reguler Class Availability'!$F:$F,N26)&amp;""),0)&amp;IF(IFERROR(--(INDEX('Reguler Class Availability'!$F:$F,N26)&amp;""),0)&gt;0,"  ("&amp;TEXT(IFERROR(--(INDEX('Reguler Class Availability'!$G:$G,N26)&amp;""),0)/IFERROR(--(INDEX('Reguler Class Availability'!$F:$F,N26)&amp;""),0),"0%")&amp;")","")&amp;CHAR(10)&amp;IF(INDEX('Reguler Class Availability'!$I:$I,N26)&amp;""="","coach: –",PROPER(INDEX('Reguler Class Availability'!$I:$I,N26)&amp;""))&amp;IF(INDEX('Reguler Class Availability'!$J:$J,N26)&amp;""="","",CHAR(10)&amp;"asst: "&amp;PROPER(INDEX('Reguler Class Availability'!$J:$J,N26)&amp;""))))</f>
        <v>Baby  5/5  (100%)
Nuky</v>
      </c>
      <c r="G26" s="40" t="str">
        <f aca="false">IF(O26="","",IF(W26="Tidak dibuka","–",IF(INDEX('Reguler Class Availability'!$B:$B,O26)&amp;""="","Kosong",PROPER(INDEX('Reguler Class Availability'!$B:$B,O26)&amp;""))&amp;"  "&amp;IFERROR(--(INDEX('Reguler Class Availability'!$G:$G,O26)&amp;""),0)&amp;"/"&amp;IFERROR(--(INDEX('Reguler Class Availability'!$F:$F,O26)&amp;""),0)&amp;IF(IFERROR(--(INDEX('Reguler Class Availability'!$F:$F,O26)&amp;""),0)&gt;0,"  ("&amp;TEXT(IFERROR(--(INDEX('Reguler Class Availability'!$G:$G,O26)&amp;""),0)/IFERROR(--(INDEX('Reguler Class Availability'!$F:$F,O26)&amp;""),0),"0%")&amp;")","")&amp;CHAR(10)&amp;IF(INDEX('Reguler Class Availability'!$I:$I,O26)&amp;""="","coach: –",PROPER(INDEX('Reguler Class Availability'!$I:$I,O26)&amp;""))&amp;IF(INDEX('Reguler Class Availability'!$J:$J,O26)&amp;""="","",CHAR(10)&amp;"asst: "&amp;PROPER(INDEX('Reguler Class Availability'!$J:$J,O26)&amp;""))))</f>
        <v>Kosong  0/5  (0%)
coach: –</v>
      </c>
      <c r="H26" s="40" t="str">
        <f aca="false">IF(P26="","",IF(X26="Tidak dibuka","–",IF(INDEX('Reguler Class Availability'!$B:$B,P26)&amp;""="","Kosong",PROPER(INDEX('Reguler Class Availability'!$B:$B,P26)&amp;""))&amp;"  "&amp;IFERROR(--(INDEX('Reguler Class Availability'!$G:$G,P26)&amp;""),0)&amp;"/"&amp;IFERROR(--(INDEX('Reguler Class Availability'!$F:$F,P26)&amp;""),0)&amp;IF(IFERROR(--(INDEX('Reguler Class Availability'!$F:$F,P26)&amp;""),0)&gt;0,"  ("&amp;TEXT(IFERROR(--(INDEX('Reguler Class Availability'!$G:$G,P26)&amp;""),0)/IFERROR(--(INDEX('Reguler Class Availability'!$F:$F,P26)&amp;""),0),"0%")&amp;")","")&amp;CHAR(10)&amp;IF(INDEX('Reguler Class Availability'!$I:$I,P26)&amp;""="","coach: –",PROPER(INDEX('Reguler Class Availability'!$I:$I,P26)&amp;""))&amp;IF(INDEX('Reguler Class Availability'!$J:$J,P26)&amp;""="","",CHAR(10)&amp;"asst: "&amp;PROPER(INDEX('Reguler Class Availability'!$J:$J,P26)&amp;""))))</f>
        <v>Kosong  0/5  (0%)
coach: –</v>
      </c>
      <c r="J26" s="4" t="n">
        <f aca="false">IF($A26="","",IFERROR(MATCH($B$4&amp;"|- Lane 1 - "&amp;B$13&amp;"|"&amp;$A26,'Reguler Class Availability'!$L:$L,0),""))</f>
        <v>13</v>
      </c>
      <c r="K26" s="4" t="n">
        <f aca="false">IF($A26="","",IFERROR(MATCH($B$4&amp;"|- Lane 1 - "&amp;C$13&amp;"|"&amp;$A26,'Reguler Class Availability'!$L:$L,0),""))</f>
        <v>25</v>
      </c>
      <c r="L26" s="4" t="n">
        <f aca="false">IF($A26="","",IFERROR(MATCH($B$4&amp;"|- Lane 1 - "&amp;D$13&amp;"|"&amp;$A26,'Reguler Class Availability'!$L:$L,0),""))</f>
        <v>37</v>
      </c>
      <c r="M26" s="4" t="n">
        <f aca="false">IF($A26="","",IFERROR(MATCH($B$4&amp;"|- Lane 1 - "&amp;E$13&amp;"|"&amp;$A26,'Reguler Class Availability'!$L:$L,0),""))</f>
        <v>49</v>
      </c>
      <c r="N26" s="4" t="n">
        <f aca="false">IF($A26="","",IFERROR(MATCH($B$4&amp;"|- Lane 1 - "&amp;F$13&amp;"|"&amp;$A26,'Reguler Class Availability'!$L:$L,0),""))</f>
        <v>61</v>
      </c>
      <c r="O26" s="4" t="n">
        <f aca="false">IF($A26="","",IFERROR(MATCH($B$4&amp;"|- Lane 1 - "&amp;G$13&amp;"|"&amp;$A26,'Reguler Class Availability'!$L:$L,0),""))</f>
        <v>73</v>
      </c>
      <c r="P26" s="4" t="n">
        <f aca="false">IF($A26="","",IFERROR(MATCH($B$4&amp;"|- Lane 1 - "&amp;H$13&amp;"|"&amp;$A26,'Reguler Class Availability'!$L:$L,0),""))</f>
        <v>85</v>
      </c>
      <c r="R26" s="0" t="str">
        <f aca="false">IF(J26="","",IF(AND(IFERROR(--(INDEX('Reguler Class Availability'!$F:$F,J26)&amp;""),0)=0,IFERROR(--(INDEX('Reguler Class Availability'!$G:$G,J26)&amp;""),0)=0),IF(OR(INDEX('Reguler Class Availability'!$B:$B,J26)&amp;""&lt;&gt;"",INDEX('Reguler Class Availability'!$I:$I,J26)&amp;""&lt;&gt;""),"Tutup","Tidak dibuka"),IF(IFERROR(--(INDEX('Reguler Class Availability'!$G:$G,J26)&amp;""),0)&gt;IFERROR(--(INDEX('Reguler Class Availability'!$F:$F,J26)&amp;""),0),"Lebih",IF(IFERROR(--(INDEX('Reguler Class Availability'!$G:$G,J26)&amp;""),0)=IFERROR(--(INDEX('Reguler Class Availability'!$F:$F,J26)&amp;""),0),"Penuh",IF(IFERROR(--(INDEX('Reguler Class Availability'!$G:$G,J26)&amp;""),0)=0,IF(INDEX('Reguler Class Availability'!$B:$B,J26)&amp;""="","Kosong","Belum terisi"),IF(IFERROR(--(INDEX('Reguler Class Availability'!$G:$G,J26)&amp;""),0)/IFERROR(--(INDEX('Reguler Class Availability'!$F:$F,J26)&amp;""),0)&gt;=0.6,"Tinggi","Sebagian"))))))</f>
        <v>Sebagian</v>
      </c>
      <c r="S26" s="0" t="str">
        <f aca="false">IF(K26="","",IF(AND(IFERROR(--(INDEX('Reguler Class Availability'!$F:$F,K26)&amp;""),0)=0,IFERROR(--(INDEX('Reguler Class Availability'!$G:$G,K26)&amp;""),0)=0),IF(OR(INDEX('Reguler Class Availability'!$B:$B,K26)&amp;""&lt;&gt;"",INDEX('Reguler Class Availability'!$I:$I,K26)&amp;""&lt;&gt;""),"Tutup","Tidak dibuka"),IF(IFERROR(--(INDEX('Reguler Class Availability'!$G:$G,K26)&amp;""),0)&gt;IFERROR(--(INDEX('Reguler Class Availability'!$F:$F,K26)&amp;""),0),"Lebih",IF(IFERROR(--(INDEX('Reguler Class Availability'!$G:$G,K26)&amp;""),0)=IFERROR(--(INDEX('Reguler Class Availability'!$F:$F,K26)&amp;""),0),"Penuh",IF(IFERROR(--(INDEX('Reguler Class Availability'!$G:$G,K26)&amp;""),0)=0,IF(INDEX('Reguler Class Availability'!$B:$B,K26)&amp;""="","Kosong","Belum terisi"),IF(IFERROR(--(INDEX('Reguler Class Availability'!$G:$G,K26)&amp;""),0)/IFERROR(--(INDEX('Reguler Class Availability'!$F:$F,K26)&amp;""),0)&gt;=0.6,"Tinggi","Sebagian"))))))</f>
        <v>Tinggi</v>
      </c>
      <c r="T26" s="0" t="str">
        <f aca="false">IF(L26="","",IF(AND(IFERROR(--(INDEX('Reguler Class Availability'!$F:$F,L26)&amp;""),0)=0,IFERROR(--(INDEX('Reguler Class Availability'!$G:$G,L26)&amp;""),0)=0),IF(OR(INDEX('Reguler Class Availability'!$B:$B,L26)&amp;""&lt;&gt;"",INDEX('Reguler Class Availability'!$I:$I,L26)&amp;""&lt;&gt;""),"Tutup","Tidak dibuka"),IF(IFERROR(--(INDEX('Reguler Class Availability'!$G:$G,L26)&amp;""),0)&gt;IFERROR(--(INDEX('Reguler Class Availability'!$F:$F,L26)&amp;""),0),"Lebih",IF(IFERROR(--(INDEX('Reguler Class Availability'!$G:$G,L26)&amp;""),0)=IFERROR(--(INDEX('Reguler Class Availability'!$F:$F,L26)&amp;""),0),"Penuh",IF(IFERROR(--(INDEX('Reguler Class Availability'!$G:$G,L26)&amp;""),0)=0,IF(INDEX('Reguler Class Availability'!$B:$B,L26)&amp;""="","Kosong","Belum terisi"),IF(IFERROR(--(INDEX('Reguler Class Availability'!$G:$G,L26)&amp;""),0)/IFERROR(--(INDEX('Reguler Class Availability'!$F:$F,L26)&amp;""),0)&gt;=0.6,"Tinggi","Sebagian"))))))</f>
        <v>Kosong</v>
      </c>
      <c r="U26" s="0" t="str">
        <f aca="false">IF(M26="","",IF(AND(IFERROR(--(INDEX('Reguler Class Availability'!$F:$F,M26)&amp;""),0)=0,IFERROR(--(INDEX('Reguler Class Availability'!$G:$G,M26)&amp;""),0)=0),IF(OR(INDEX('Reguler Class Availability'!$B:$B,M26)&amp;""&lt;&gt;"",INDEX('Reguler Class Availability'!$I:$I,M26)&amp;""&lt;&gt;""),"Tutup","Tidak dibuka"),IF(IFERROR(--(INDEX('Reguler Class Availability'!$G:$G,M26)&amp;""),0)&gt;IFERROR(--(INDEX('Reguler Class Availability'!$F:$F,M26)&amp;""),0),"Lebih",IF(IFERROR(--(INDEX('Reguler Class Availability'!$G:$G,M26)&amp;""),0)=IFERROR(--(INDEX('Reguler Class Availability'!$F:$F,M26)&amp;""),0),"Penuh",IF(IFERROR(--(INDEX('Reguler Class Availability'!$G:$G,M26)&amp;""),0)=0,IF(INDEX('Reguler Class Availability'!$B:$B,M26)&amp;""="","Kosong","Belum terisi"),IF(IFERROR(--(INDEX('Reguler Class Availability'!$G:$G,M26)&amp;""),0)/IFERROR(--(INDEX('Reguler Class Availability'!$F:$F,M26)&amp;""),0)&gt;=0.6,"Tinggi","Sebagian"))))))</f>
        <v>Kosong</v>
      </c>
      <c r="V26" s="0" t="str">
        <f aca="false">IF(N26="","",IF(AND(IFERROR(--(INDEX('Reguler Class Availability'!$F:$F,N26)&amp;""),0)=0,IFERROR(--(INDEX('Reguler Class Availability'!$G:$G,N26)&amp;""),0)=0),IF(OR(INDEX('Reguler Class Availability'!$B:$B,N26)&amp;""&lt;&gt;"",INDEX('Reguler Class Availability'!$I:$I,N26)&amp;""&lt;&gt;""),"Tutup","Tidak dibuka"),IF(IFERROR(--(INDEX('Reguler Class Availability'!$G:$G,N26)&amp;""),0)&gt;IFERROR(--(INDEX('Reguler Class Availability'!$F:$F,N26)&amp;""),0),"Lebih",IF(IFERROR(--(INDEX('Reguler Class Availability'!$G:$G,N26)&amp;""),0)=IFERROR(--(INDEX('Reguler Class Availability'!$F:$F,N26)&amp;""),0),"Penuh",IF(IFERROR(--(INDEX('Reguler Class Availability'!$G:$G,N26)&amp;""),0)=0,IF(INDEX('Reguler Class Availability'!$B:$B,N26)&amp;""="","Kosong","Belum terisi"),IF(IFERROR(--(INDEX('Reguler Class Availability'!$G:$G,N26)&amp;""),0)/IFERROR(--(INDEX('Reguler Class Availability'!$F:$F,N26)&amp;""),0)&gt;=0.6,"Tinggi","Sebagian"))))))</f>
        <v>Penuh</v>
      </c>
      <c r="W26" s="0" t="str">
        <f aca="false">IF(O26="","",IF(AND(IFERROR(--(INDEX('Reguler Class Availability'!$F:$F,O26)&amp;""),0)=0,IFERROR(--(INDEX('Reguler Class Availability'!$G:$G,O26)&amp;""),0)=0),IF(OR(INDEX('Reguler Class Availability'!$B:$B,O26)&amp;""&lt;&gt;"",INDEX('Reguler Class Availability'!$I:$I,O26)&amp;""&lt;&gt;""),"Tutup","Tidak dibuka"),IF(IFERROR(--(INDEX('Reguler Class Availability'!$G:$G,O26)&amp;""),0)&gt;IFERROR(--(INDEX('Reguler Class Availability'!$F:$F,O26)&amp;""),0),"Lebih",IF(IFERROR(--(INDEX('Reguler Class Availability'!$G:$G,O26)&amp;""),0)=IFERROR(--(INDEX('Reguler Class Availability'!$F:$F,O26)&amp;""),0),"Penuh",IF(IFERROR(--(INDEX('Reguler Class Availability'!$G:$G,O26)&amp;""),0)=0,IF(INDEX('Reguler Class Availability'!$B:$B,O26)&amp;""="","Kosong","Belum terisi"),IF(IFERROR(--(INDEX('Reguler Class Availability'!$G:$G,O26)&amp;""),0)/IFERROR(--(INDEX('Reguler Class Availability'!$F:$F,O26)&amp;""),0)&gt;=0.6,"Tinggi","Sebagian"))))))</f>
        <v>Kosong</v>
      </c>
      <c r="X26" s="0" t="str">
        <f aca="false">IF(P26="","",IF(AND(IFERROR(--(INDEX('Reguler Class Availability'!$F:$F,P26)&amp;""),0)=0,IFERROR(--(INDEX('Reguler Class Availability'!$G:$G,P26)&amp;""),0)=0),IF(OR(INDEX('Reguler Class Availability'!$B:$B,P26)&amp;""&lt;&gt;"",INDEX('Reguler Class Availability'!$I:$I,P26)&amp;""&lt;&gt;""),"Tutup","Tidak dibuka"),IF(IFERROR(--(INDEX('Reguler Class Availability'!$G:$G,P26)&amp;""),0)&gt;IFERROR(--(INDEX('Reguler Class Availability'!$F:$F,P26)&amp;""),0),"Lebih",IF(IFERROR(--(INDEX('Reguler Class Availability'!$G:$G,P26)&amp;""),0)=IFERROR(--(INDEX('Reguler Class Availability'!$F:$F,P26)&amp;""),0),"Penuh",IF(IFERROR(--(INDEX('Reguler Class Availability'!$G:$G,P26)&amp;""),0)=0,IF(INDEX('Reguler Class Availability'!$B:$B,P26)&amp;""="","Kosong","Belum terisi"),IF(IFERROR(--(INDEX('Reguler Class Availability'!$G:$G,P26)&amp;""),0)/IFERROR(--(INDEX('Reguler Class Availability'!$F:$F,P26)&amp;""),0)&gt;=0.6,"Tinggi","Sebagian"))))))</f>
        <v>Kosong</v>
      </c>
      <c r="Z26" s="4" t="s">
        <v>59</v>
      </c>
      <c r="AA26" s="4" t="n">
        <f aca="false">IF(COUNTIFS('Reguler Class Availability'!$L:$L,$B$4&amp;"|- Lane 1 - *|"&amp;Z26)&gt;0,1,0)</f>
        <v>1</v>
      </c>
      <c r="AB26" s="4" t="n">
        <f aca="false">AA26+AB25</f>
        <v>7</v>
      </c>
    </row>
    <row r="27" customFormat="false" ht="39.75" hidden="false" customHeight="true" outlineLevel="0" collapsed="false">
      <c r="A27" s="39" t="str">
        <f aca="false">IFERROR(INDEX($Z$2:$Z$61,MATCH(14,$AB$2:$AB$61,0)),"")</f>
        <v>18:00</v>
      </c>
      <c r="B27" s="40" t="str">
        <f aca="false">IF(J27="","",IF(R27="Tidak dibuka","–",IF(INDEX('Reguler Class Availability'!$B:$B,J27)&amp;""="","Kosong",PROPER(INDEX('Reguler Class Availability'!$B:$B,J27)&amp;""))&amp;"  "&amp;IFERROR(--(INDEX('Reguler Class Availability'!$G:$G,J27)&amp;""),0)&amp;"/"&amp;IFERROR(--(INDEX('Reguler Class Availability'!$F:$F,J27)&amp;""),0)&amp;IF(IFERROR(--(INDEX('Reguler Class Availability'!$F:$F,J27)&amp;""),0)&gt;0,"  ("&amp;TEXT(IFERROR(--(INDEX('Reguler Class Availability'!$G:$G,J27)&amp;""),0)/IFERROR(--(INDEX('Reguler Class Availability'!$F:$F,J27)&amp;""),0),"0%")&amp;")","")&amp;CHAR(10)&amp;IF(INDEX('Reguler Class Availability'!$I:$I,J27)&amp;""="","coach: –",PROPER(INDEX('Reguler Class Availability'!$I:$I,J27)&amp;""))&amp;IF(INDEX('Reguler Class Availability'!$J:$J,J27)&amp;""="","",CHAR(10)&amp;"asst: "&amp;PROPER(INDEX('Reguler Class Availability'!$J:$J,J27)&amp;""))))</f>
        <v>Star  0/8  (0%)
coach: –</v>
      </c>
      <c r="C27" s="40" t="str">
        <f aca="false">IF(K27="","",IF(S27="Tidak dibuka","–",IF(INDEX('Reguler Class Availability'!$B:$B,K27)&amp;""="","Kosong",PROPER(INDEX('Reguler Class Availability'!$B:$B,K27)&amp;""))&amp;"  "&amp;IFERROR(--(INDEX('Reguler Class Availability'!$G:$G,K27)&amp;""),0)&amp;"/"&amp;IFERROR(--(INDEX('Reguler Class Availability'!$F:$F,K27)&amp;""),0)&amp;IF(IFERROR(--(INDEX('Reguler Class Availability'!$F:$F,K27)&amp;""),0)&gt;0,"  ("&amp;TEXT(IFERROR(--(INDEX('Reguler Class Availability'!$G:$G,K27)&amp;""),0)/IFERROR(--(INDEX('Reguler Class Availability'!$F:$F,K27)&amp;""),0),"0%")&amp;")","")&amp;CHAR(10)&amp;IF(INDEX('Reguler Class Availability'!$I:$I,K27)&amp;""="","coach: –",PROPER(INDEX('Reguler Class Availability'!$I:$I,K27)&amp;""))&amp;IF(INDEX('Reguler Class Availability'!$J:$J,K27)&amp;""="","",CHAR(10)&amp;"asst: "&amp;PROPER(INDEX('Reguler Class Availability'!$J:$J,K27)&amp;""))))</f>
        <v>Star  0/8  (0%)
coach: –</v>
      </c>
      <c r="D27" s="40" t="str">
        <f aca="false">IF(L27="","",IF(T27="Tidak dibuka","–",IF(INDEX('Reguler Class Availability'!$B:$B,L27)&amp;""="","Kosong",PROPER(INDEX('Reguler Class Availability'!$B:$B,L27)&amp;""))&amp;"  "&amp;IFERROR(--(INDEX('Reguler Class Availability'!$G:$G,L27)&amp;""),0)&amp;"/"&amp;IFERROR(--(INDEX('Reguler Class Availability'!$F:$F,L27)&amp;""),0)&amp;IF(IFERROR(--(INDEX('Reguler Class Availability'!$F:$F,L27)&amp;""),0)&gt;0,"  ("&amp;TEXT(IFERROR(--(INDEX('Reguler Class Availability'!$G:$G,L27)&amp;""),0)/IFERROR(--(INDEX('Reguler Class Availability'!$F:$F,L27)&amp;""),0),"0%")&amp;")","")&amp;CHAR(10)&amp;IF(INDEX('Reguler Class Availability'!$I:$I,L27)&amp;""="","coach: –",PROPER(INDEX('Reguler Class Availability'!$I:$I,L27)&amp;""))&amp;IF(INDEX('Reguler Class Availability'!$J:$J,L27)&amp;""="","",CHAR(10)&amp;"asst: "&amp;PROPER(INDEX('Reguler Class Availability'!$J:$J,L27)&amp;""))))</f>
        <v>Star  0/8  (0%)
coach: –</v>
      </c>
      <c r="E27" s="40" t="str">
        <f aca="false">IF(M27="","",IF(U27="Tidak dibuka","–",IF(INDEX('Reguler Class Availability'!$B:$B,M27)&amp;""="","Kosong",PROPER(INDEX('Reguler Class Availability'!$B:$B,M27)&amp;""))&amp;"  "&amp;IFERROR(--(INDEX('Reguler Class Availability'!$G:$G,M27)&amp;""),0)&amp;"/"&amp;IFERROR(--(INDEX('Reguler Class Availability'!$F:$F,M27)&amp;""),0)&amp;IF(IFERROR(--(INDEX('Reguler Class Availability'!$F:$F,M27)&amp;""),0)&gt;0,"  ("&amp;TEXT(IFERROR(--(INDEX('Reguler Class Availability'!$G:$G,M27)&amp;""),0)/IFERROR(--(INDEX('Reguler Class Availability'!$F:$F,M27)&amp;""),0),"0%")&amp;")","")&amp;CHAR(10)&amp;IF(INDEX('Reguler Class Availability'!$I:$I,M27)&amp;""="","coach: –",PROPER(INDEX('Reguler Class Availability'!$I:$I,M27)&amp;""))&amp;IF(INDEX('Reguler Class Availability'!$J:$J,M27)&amp;""="","",CHAR(10)&amp;"asst: "&amp;PROPER(INDEX('Reguler Class Availability'!$J:$J,M27)&amp;""))))</f>
        <v>Star  0/8  (0%)
coach: –</v>
      </c>
      <c r="F27" s="40" t="str">
        <f aca="false">IF(N27="","",IF(V27="Tidak dibuka","–",IF(INDEX('Reguler Class Availability'!$B:$B,N27)&amp;""="","Kosong",PROPER(INDEX('Reguler Class Availability'!$B:$B,N27)&amp;""))&amp;"  "&amp;IFERROR(--(INDEX('Reguler Class Availability'!$G:$G,N27)&amp;""),0)&amp;"/"&amp;IFERROR(--(INDEX('Reguler Class Availability'!$F:$F,N27)&amp;""),0)&amp;IF(IFERROR(--(INDEX('Reguler Class Availability'!$F:$F,N27)&amp;""),0)&gt;0,"  ("&amp;TEXT(IFERROR(--(INDEX('Reguler Class Availability'!$G:$G,N27)&amp;""),0)/IFERROR(--(INDEX('Reguler Class Availability'!$F:$F,N27)&amp;""),0),"0%")&amp;")","")&amp;CHAR(10)&amp;IF(INDEX('Reguler Class Availability'!$I:$I,N27)&amp;""="","coach: –",PROPER(INDEX('Reguler Class Availability'!$I:$I,N27)&amp;""))&amp;IF(INDEX('Reguler Class Availability'!$J:$J,N27)&amp;""="","",CHAR(10)&amp;"asst: "&amp;PROPER(INDEX('Reguler Class Availability'!$J:$J,N27)&amp;""))))</f>
        <v>Star  0/8  (0%)
coach: –</v>
      </c>
      <c r="G27" s="40" t="str">
        <f aca="false">IF(O27="","",IF(W27="Tidak dibuka","–",IF(INDEX('Reguler Class Availability'!$B:$B,O27)&amp;""="","Kosong",PROPER(INDEX('Reguler Class Availability'!$B:$B,O27)&amp;""))&amp;"  "&amp;IFERROR(--(INDEX('Reguler Class Availability'!$G:$G,O27)&amp;""),0)&amp;"/"&amp;IFERROR(--(INDEX('Reguler Class Availability'!$F:$F,O27)&amp;""),0)&amp;IF(IFERROR(--(INDEX('Reguler Class Availability'!$F:$F,O27)&amp;""),0)&gt;0,"  ("&amp;TEXT(IFERROR(--(INDEX('Reguler Class Availability'!$G:$G,O27)&amp;""),0)/IFERROR(--(INDEX('Reguler Class Availability'!$F:$F,O27)&amp;""),0),"0%")&amp;")","")&amp;CHAR(10)&amp;IF(INDEX('Reguler Class Availability'!$I:$I,O27)&amp;""="","coach: –",PROPER(INDEX('Reguler Class Availability'!$I:$I,O27)&amp;""))&amp;IF(INDEX('Reguler Class Availability'!$J:$J,O27)&amp;""="","",CHAR(10)&amp;"asst: "&amp;PROPER(INDEX('Reguler Class Availability'!$J:$J,O27)&amp;""))))</f>
        <v>Star  0/8  (0%)
coach: –</v>
      </c>
      <c r="H27" s="40" t="str">
        <f aca="false">IF(P27="","",IF(X27="Tidak dibuka","–",IF(INDEX('Reguler Class Availability'!$B:$B,P27)&amp;""="","Kosong",PROPER(INDEX('Reguler Class Availability'!$B:$B,P27)&amp;""))&amp;"  "&amp;IFERROR(--(INDEX('Reguler Class Availability'!$G:$G,P27)&amp;""),0)&amp;"/"&amp;IFERROR(--(INDEX('Reguler Class Availability'!$F:$F,P27)&amp;""),0)&amp;IF(IFERROR(--(INDEX('Reguler Class Availability'!$F:$F,P27)&amp;""),0)&gt;0,"  ("&amp;TEXT(IFERROR(--(INDEX('Reguler Class Availability'!$G:$G,P27)&amp;""),0)/IFERROR(--(INDEX('Reguler Class Availability'!$F:$F,P27)&amp;""),0),"0%")&amp;")","")&amp;CHAR(10)&amp;IF(INDEX('Reguler Class Availability'!$I:$I,P27)&amp;""="","coach: –",PROPER(INDEX('Reguler Class Availability'!$I:$I,P27)&amp;""))&amp;IF(INDEX('Reguler Class Availability'!$J:$J,P27)&amp;""="","",CHAR(10)&amp;"asst: "&amp;PROPER(INDEX('Reguler Class Availability'!$J:$J,P27)&amp;""))))</f>
        <v>Star  0/8  (0%)
coach: –</v>
      </c>
      <c r="J27" s="4" t="n">
        <f aca="false">IF($A27="","",IFERROR(MATCH($B$4&amp;"|- Lane 1 - "&amp;B$13&amp;"|"&amp;$A27,'Reguler Class Availability'!$L:$L,0),""))</f>
        <v>93</v>
      </c>
      <c r="K27" s="4" t="n">
        <f aca="false">IF($A27="","",IFERROR(MATCH($B$4&amp;"|- Lane 1 - "&amp;C$13&amp;"|"&amp;$A27,'Reguler Class Availability'!$L:$L,0),""))</f>
        <v>94</v>
      </c>
      <c r="L27" s="4" t="n">
        <f aca="false">IF($A27="","",IFERROR(MATCH($B$4&amp;"|- Lane 1 - "&amp;D$13&amp;"|"&amp;$A27,'Reguler Class Availability'!$L:$L,0),""))</f>
        <v>95</v>
      </c>
      <c r="M27" s="4" t="n">
        <f aca="false">IF($A27="","",IFERROR(MATCH($B$4&amp;"|- Lane 1 - "&amp;E$13&amp;"|"&amp;$A27,'Reguler Class Availability'!$L:$L,0),""))</f>
        <v>96</v>
      </c>
      <c r="N27" s="4" t="n">
        <f aca="false">IF($A27="","",IFERROR(MATCH($B$4&amp;"|- Lane 1 - "&amp;F$13&amp;"|"&amp;$A27,'Reguler Class Availability'!$L:$L,0),""))</f>
        <v>97</v>
      </c>
      <c r="O27" s="4" t="n">
        <f aca="false">IF($A27="","",IFERROR(MATCH($B$4&amp;"|- Lane 1 - "&amp;G$13&amp;"|"&amp;$A27,'Reguler Class Availability'!$L:$L,0),""))</f>
        <v>98</v>
      </c>
      <c r="P27" s="4" t="n">
        <f aca="false">IF($A27="","",IFERROR(MATCH($B$4&amp;"|- Lane 1 - "&amp;H$13&amp;"|"&amp;$A27,'Reguler Class Availability'!$L:$L,0),""))</f>
        <v>99</v>
      </c>
      <c r="R27" s="0" t="str">
        <f aca="false">IF(J27="","",IF(AND(IFERROR(--(INDEX('Reguler Class Availability'!$F:$F,J27)&amp;""),0)=0,IFERROR(--(INDEX('Reguler Class Availability'!$G:$G,J27)&amp;""),0)=0),IF(OR(INDEX('Reguler Class Availability'!$B:$B,J27)&amp;""&lt;&gt;"",INDEX('Reguler Class Availability'!$I:$I,J27)&amp;""&lt;&gt;""),"Tutup","Tidak dibuka"),IF(IFERROR(--(INDEX('Reguler Class Availability'!$G:$G,J27)&amp;""),0)&gt;IFERROR(--(INDEX('Reguler Class Availability'!$F:$F,J27)&amp;""),0),"Lebih",IF(IFERROR(--(INDEX('Reguler Class Availability'!$G:$G,J27)&amp;""),0)=IFERROR(--(INDEX('Reguler Class Availability'!$F:$F,J27)&amp;""),0),"Penuh",IF(IFERROR(--(INDEX('Reguler Class Availability'!$G:$G,J27)&amp;""),0)=0,IF(INDEX('Reguler Class Availability'!$B:$B,J27)&amp;""="","Kosong","Belum terisi"),IF(IFERROR(--(INDEX('Reguler Class Availability'!$G:$G,J27)&amp;""),0)/IFERROR(--(INDEX('Reguler Class Availability'!$F:$F,J27)&amp;""),0)&gt;=0.6,"Tinggi","Sebagian"))))))</f>
        <v>Belum terisi</v>
      </c>
      <c r="S27" s="0" t="str">
        <f aca="false">IF(K27="","",IF(AND(IFERROR(--(INDEX('Reguler Class Availability'!$F:$F,K27)&amp;""),0)=0,IFERROR(--(INDEX('Reguler Class Availability'!$G:$G,K27)&amp;""),0)=0),IF(OR(INDEX('Reguler Class Availability'!$B:$B,K27)&amp;""&lt;&gt;"",INDEX('Reguler Class Availability'!$I:$I,K27)&amp;""&lt;&gt;""),"Tutup","Tidak dibuka"),IF(IFERROR(--(INDEX('Reguler Class Availability'!$G:$G,K27)&amp;""),0)&gt;IFERROR(--(INDEX('Reguler Class Availability'!$F:$F,K27)&amp;""),0),"Lebih",IF(IFERROR(--(INDEX('Reguler Class Availability'!$G:$G,K27)&amp;""),0)=IFERROR(--(INDEX('Reguler Class Availability'!$F:$F,K27)&amp;""),0),"Penuh",IF(IFERROR(--(INDEX('Reguler Class Availability'!$G:$G,K27)&amp;""),0)=0,IF(INDEX('Reguler Class Availability'!$B:$B,K27)&amp;""="","Kosong","Belum terisi"),IF(IFERROR(--(INDEX('Reguler Class Availability'!$G:$G,K27)&amp;""),0)/IFERROR(--(INDEX('Reguler Class Availability'!$F:$F,K27)&amp;""),0)&gt;=0.6,"Tinggi","Sebagian"))))))</f>
        <v>Belum terisi</v>
      </c>
      <c r="T27" s="0" t="str">
        <f aca="false">IF(L27="","",IF(AND(IFERROR(--(INDEX('Reguler Class Availability'!$F:$F,L27)&amp;""),0)=0,IFERROR(--(INDEX('Reguler Class Availability'!$G:$G,L27)&amp;""),0)=0),IF(OR(INDEX('Reguler Class Availability'!$B:$B,L27)&amp;""&lt;&gt;"",INDEX('Reguler Class Availability'!$I:$I,L27)&amp;""&lt;&gt;""),"Tutup","Tidak dibuka"),IF(IFERROR(--(INDEX('Reguler Class Availability'!$G:$G,L27)&amp;""),0)&gt;IFERROR(--(INDEX('Reguler Class Availability'!$F:$F,L27)&amp;""),0),"Lebih",IF(IFERROR(--(INDEX('Reguler Class Availability'!$G:$G,L27)&amp;""),0)=IFERROR(--(INDEX('Reguler Class Availability'!$F:$F,L27)&amp;""),0),"Penuh",IF(IFERROR(--(INDEX('Reguler Class Availability'!$G:$G,L27)&amp;""),0)=0,IF(INDEX('Reguler Class Availability'!$B:$B,L27)&amp;""="","Kosong","Belum terisi"),IF(IFERROR(--(INDEX('Reguler Class Availability'!$G:$G,L27)&amp;""),0)/IFERROR(--(INDEX('Reguler Class Availability'!$F:$F,L27)&amp;""),0)&gt;=0.6,"Tinggi","Sebagian"))))))</f>
        <v>Belum terisi</v>
      </c>
      <c r="U27" s="0" t="str">
        <f aca="false">IF(M27="","",IF(AND(IFERROR(--(INDEX('Reguler Class Availability'!$F:$F,M27)&amp;""),0)=0,IFERROR(--(INDEX('Reguler Class Availability'!$G:$G,M27)&amp;""),0)=0),IF(OR(INDEX('Reguler Class Availability'!$B:$B,M27)&amp;""&lt;&gt;"",INDEX('Reguler Class Availability'!$I:$I,M27)&amp;""&lt;&gt;""),"Tutup","Tidak dibuka"),IF(IFERROR(--(INDEX('Reguler Class Availability'!$G:$G,M27)&amp;""),0)&gt;IFERROR(--(INDEX('Reguler Class Availability'!$F:$F,M27)&amp;""),0),"Lebih",IF(IFERROR(--(INDEX('Reguler Class Availability'!$G:$G,M27)&amp;""),0)=IFERROR(--(INDEX('Reguler Class Availability'!$F:$F,M27)&amp;""),0),"Penuh",IF(IFERROR(--(INDEX('Reguler Class Availability'!$G:$G,M27)&amp;""),0)=0,IF(INDEX('Reguler Class Availability'!$B:$B,M27)&amp;""="","Kosong","Belum terisi"),IF(IFERROR(--(INDEX('Reguler Class Availability'!$G:$G,M27)&amp;""),0)/IFERROR(--(INDEX('Reguler Class Availability'!$F:$F,M27)&amp;""),0)&gt;=0.6,"Tinggi","Sebagian"))))))</f>
        <v>Belum terisi</v>
      </c>
      <c r="V27" s="0" t="str">
        <f aca="false">IF(N27="","",IF(AND(IFERROR(--(INDEX('Reguler Class Availability'!$F:$F,N27)&amp;""),0)=0,IFERROR(--(INDEX('Reguler Class Availability'!$G:$G,N27)&amp;""),0)=0),IF(OR(INDEX('Reguler Class Availability'!$B:$B,N27)&amp;""&lt;&gt;"",INDEX('Reguler Class Availability'!$I:$I,N27)&amp;""&lt;&gt;""),"Tutup","Tidak dibuka"),IF(IFERROR(--(INDEX('Reguler Class Availability'!$G:$G,N27)&amp;""),0)&gt;IFERROR(--(INDEX('Reguler Class Availability'!$F:$F,N27)&amp;""),0),"Lebih",IF(IFERROR(--(INDEX('Reguler Class Availability'!$G:$G,N27)&amp;""),0)=IFERROR(--(INDEX('Reguler Class Availability'!$F:$F,N27)&amp;""),0),"Penuh",IF(IFERROR(--(INDEX('Reguler Class Availability'!$G:$G,N27)&amp;""),0)=0,IF(INDEX('Reguler Class Availability'!$B:$B,N27)&amp;""="","Kosong","Belum terisi"),IF(IFERROR(--(INDEX('Reguler Class Availability'!$G:$G,N27)&amp;""),0)/IFERROR(--(INDEX('Reguler Class Availability'!$F:$F,N27)&amp;""),0)&gt;=0.6,"Tinggi","Sebagian"))))))</f>
        <v>Belum terisi</v>
      </c>
      <c r="W27" s="0" t="str">
        <f aca="false">IF(O27="","",IF(AND(IFERROR(--(INDEX('Reguler Class Availability'!$F:$F,O27)&amp;""),0)=0,IFERROR(--(INDEX('Reguler Class Availability'!$G:$G,O27)&amp;""),0)=0),IF(OR(INDEX('Reguler Class Availability'!$B:$B,O27)&amp;""&lt;&gt;"",INDEX('Reguler Class Availability'!$I:$I,O27)&amp;""&lt;&gt;""),"Tutup","Tidak dibuka"),IF(IFERROR(--(INDEX('Reguler Class Availability'!$G:$G,O27)&amp;""),0)&gt;IFERROR(--(INDEX('Reguler Class Availability'!$F:$F,O27)&amp;""),0),"Lebih",IF(IFERROR(--(INDEX('Reguler Class Availability'!$G:$G,O27)&amp;""),0)=IFERROR(--(INDEX('Reguler Class Availability'!$F:$F,O27)&amp;""),0),"Penuh",IF(IFERROR(--(INDEX('Reguler Class Availability'!$G:$G,O27)&amp;""),0)=0,IF(INDEX('Reguler Class Availability'!$B:$B,O27)&amp;""="","Kosong","Belum terisi"),IF(IFERROR(--(INDEX('Reguler Class Availability'!$G:$G,O27)&amp;""),0)/IFERROR(--(INDEX('Reguler Class Availability'!$F:$F,O27)&amp;""),0)&gt;=0.6,"Tinggi","Sebagian"))))))</f>
        <v>Belum terisi</v>
      </c>
      <c r="X27" s="0" t="str">
        <f aca="false">IF(P27="","",IF(AND(IFERROR(--(INDEX('Reguler Class Availability'!$F:$F,P27)&amp;""),0)=0,IFERROR(--(INDEX('Reguler Class Availability'!$G:$G,P27)&amp;""),0)=0),IF(OR(INDEX('Reguler Class Availability'!$B:$B,P27)&amp;""&lt;&gt;"",INDEX('Reguler Class Availability'!$I:$I,P27)&amp;""&lt;&gt;""),"Tutup","Tidak dibuka"),IF(IFERROR(--(INDEX('Reguler Class Availability'!$G:$G,P27)&amp;""),0)&gt;IFERROR(--(INDEX('Reguler Class Availability'!$F:$F,P27)&amp;""),0),"Lebih",IF(IFERROR(--(INDEX('Reguler Class Availability'!$G:$G,P27)&amp;""),0)=IFERROR(--(INDEX('Reguler Class Availability'!$F:$F,P27)&amp;""),0),"Penuh",IF(IFERROR(--(INDEX('Reguler Class Availability'!$G:$G,P27)&amp;""),0)=0,IF(INDEX('Reguler Class Availability'!$B:$B,P27)&amp;""="","Kosong","Belum terisi"),IF(IFERROR(--(INDEX('Reguler Class Availability'!$G:$G,P27)&amp;""),0)/IFERROR(--(INDEX('Reguler Class Availability'!$F:$F,P27)&amp;""),0)&gt;=0.6,"Tinggi","Sebagian"))))))</f>
        <v>Belum terisi</v>
      </c>
      <c r="Z27" s="4" t="s">
        <v>60</v>
      </c>
      <c r="AA27" s="4" t="n">
        <f aca="false">IF(COUNTIFS('Reguler Class Availability'!$L:$L,$B$4&amp;"|- Lane 1 - *|"&amp;Z27)&gt;0,1,0)</f>
        <v>0</v>
      </c>
      <c r="AB27" s="4" t="n">
        <f aca="false">AA27+AB26</f>
        <v>7</v>
      </c>
    </row>
    <row r="28" customFormat="false" ht="39.75" hidden="false" customHeight="true" outlineLevel="0" collapsed="false">
      <c r="A28" s="39" t="str">
        <f aca="false">IFERROR(INDEX($Z$2:$Z$61,MATCH(15,$AB$2:$AB$61,0)),"")</f>
        <v/>
      </c>
      <c r="B28" s="40" t="str">
        <f aca="false">IF(J28="","",IF(R28="Tidak dibuka","–",IF(INDEX('Reguler Class Availability'!$B:$B,J28)&amp;""="","Kosong",PROPER(INDEX('Reguler Class Availability'!$B:$B,J28)&amp;""))&amp;"  "&amp;IFERROR(--(INDEX('Reguler Class Availability'!$G:$G,J28)&amp;""),0)&amp;"/"&amp;IFERROR(--(INDEX('Reguler Class Availability'!$F:$F,J28)&amp;""),0)&amp;IF(IFERROR(--(INDEX('Reguler Class Availability'!$F:$F,J28)&amp;""),0)&gt;0,"  ("&amp;TEXT(IFERROR(--(INDEX('Reguler Class Availability'!$G:$G,J28)&amp;""),0)/IFERROR(--(INDEX('Reguler Class Availability'!$F:$F,J28)&amp;""),0),"0%")&amp;")","")&amp;CHAR(10)&amp;IF(INDEX('Reguler Class Availability'!$I:$I,J28)&amp;""="","coach: –",PROPER(INDEX('Reguler Class Availability'!$I:$I,J28)&amp;""))&amp;IF(INDEX('Reguler Class Availability'!$J:$J,J28)&amp;""="","",CHAR(10)&amp;"asst: "&amp;PROPER(INDEX('Reguler Class Availability'!$J:$J,J28)&amp;""))))</f>
        <v/>
      </c>
      <c r="C28" s="40" t="str">
        <f aca="false">IF(K28="","",IF(S28="Tidak dibuka","–",IF(INDEX('Reguler Class Availability'!$B:$B,K28)&amp;""="","Kosong",PROPER(INDEX('Reguler Class Availability'!$B:$B,K28)&amp;""))&amp;"  "&amp;IFERROR(--(INDEX('Reguler Class Availability'!$G:$G,K28)&amp;""),0)&amp;"/"&amp;IFERROR(--(INDEX('Reguler Class Availability'!$F:$F,K28)&amp;""),0)&amp;IF(IFERROR(--(INDEX('Reguler Class Availability'!$F:$F,K28)&amp;""),0)&gt;0,"  ("&amp;TEXT(IFERROR(--(INDEX('Reguler Class Availability'!$G:$G,K28)&amp;""),0)/IFERROR(--(INDEX('Reguler Class Availability'!$F:$F,K28)&amp;""),0),"0%")&amp;")","")&amp;CHAR(10)&amp;IF(INDEX('Reguler Class Availability'!$I:$I,K28)&amp;""="","coach: –",PROPER(INDEX('Reguler Class Availability'!$I:$I,K28)&amp;""))&amp;IF(INDEX('Reguler Class Availability'!$J:$J,K28)&amp;""="","",CHAR(10)&amp;"asst: "&amp;PROPER(INDEX('Reguler Class Availability'!$J:$J,K28)&amp;""))))</f>
        <v/>
      </c>
      <c r="D28" s="40" t="str">
        <f aca="false">IF(L28="","",IF(T28="Tidak dibuka","–",IF(INDEX('Reguler Class Availability'!$B:$B,L28)&amp;""="","Kosong",PROPER(INDEX('Reguler Class Availability'!$B:$B,L28)&amp;""))&amp;"  "&amp;IFERROR(--(INDEX('Reguler Class Availability'!$G:$G,L28)&amp;""),0)&amp;"/"&amp;IFERROR(--(INDEX('Reguler Class Availability'!$F:$F,L28)&amp;""),0)&amp;IF(IFERROR(--(INDEX('Reguler Class Availability'!$F:$F,L28)&amp;""),0)&gt;0,"  ("&amp;TEXT(IFERROR(--(INDEX('Reguler Class Availability'!$G:$G,L28)&amp;""),0)/IFERROR(--(INDEX('Reguler Class Availability'!$F:$F,L28)&amp;""),0),"0%")&amp;")","")&amp;CHAR(10)&amp;IF(INDEX('Reguler Class Availability'!$I:$I,L28)&amp;""="","coach: –",PROPER(INDEX('Reguler Class Availability'!$I:$I,L28)&amp;""))&amp;IF(INDEX('Reguler Class Availability'!$J:$J,L28)&amp;""="","",CHAR(10)&amp;"asst: "&amp;PROPER(INDEX('Reguler Class Availability'!$J:$J,L28)&amp;""))))</f>
        <v/>
      </c>
      <c r="E28" s="40" t="str">
        <f aca="false">IF(M28="","",IF(U28="Tidak dibuka","–",IF(INDEX('Reguler Class Availability'!$B:$B,M28)&amp;""="","Kosong",PROPER(INDEX('Reguler Class Availability'!$B:$B,M28)&amp;""))&amp;"  "&amp;IFERROR(--(INDEX('Reguler Class Availability'!$G:$G,M28)&amp;""),0)&amp;"/"&amp;IFERROR(--(INDEX('Reguler Class Availability'!$F:$F,M28)&amp;""),0)&amp;IF(IFERROR(--(INDEX('Reguler Class Availability'!$F:$F,M28)&amp;""),0)&gt;0,"  ("&amp;TEXT(IFERROR(--(INDEX('Reguler Class Availability'!$G:$G,M28)&amp;""),0)/IFERROR(--(INDEX('Reguler Class Availability'!$F:$F,M28)&amp;""),0),"0%")&amp;")","")&amp;CHAR(10)&amp;IF(INDEX('Reguler Class Availability'!$I:$I,M28)&amp;""="","coach: –",PROPER(INDEX('Reguler Class Availability'!$I:$I,M28)&amp;""))&amp;IF(INDEX('Reguler Class Availability'!$J:$J,M28)&amp;""="","",CHAR(10)&amp;"asst: "&amp;PROPER(INDEX('Reguler Class Availability'!$J:$J,M28)&amp;""))))</f>
        <v/>
      </c>
      <c r="F28" s="40" t="str">
        <f aca="false">IF(N28="","",IF(V28="Tidak dibuka","–",IF(INDEX('Reguler Class Availability'!$B:$B,N28)&amp;""="","Kosong",PROPER(INDEX('Reguler Class Availability'!$B:$B,N28)&amp;""))&amp;"  "&amp;IFERROR(--(INDEX('Reguler Class Availability'!$G:$G,N28)&amp;""),0)&amp;"/"&amp;IFERROR(--(INDEX('Reguler Class Availability'!$F:$F,N28)&amp;""),0)&amp;IF(IFERROR(--(INDEX('Reguler Class Availability'!$F:$F,N28)&amp;""),0)&gt;0,"  ("&amp;TEXT(IFERROR(--(INDEX('Reguler Class Availability'!$G:$G,N28)&amp;""),0)/IFERROR(--(INDEX('Reguler Class Availability'!$F:$F,N28)&amp;""),0),"0%")&amp;")","")&amp;CHAR(10)&amp;IF(INDEX('Reguler Class Availability'!$I:$I,N28)&amp;""="","coach: –",PROPER(INDEX('Reguler Class Availability'!$I:$I,N28)&amp;""))&amp;IF(INDEX('Reguler Class Availability'!$J:$J,N28)&amp;""="","",CHAR(10)&amp;"asst: "&amp;PROPER(INDEX('Reguler Class Availability'!$J:$J,N28)&amp;""))))</f>
        <v/>
      </c>
      <c r="G28" s="40" t="str">
        <f aca="false">IF(O28="","",IF(W28="Tidak dibuka","–",IF(INDEX('Reguler Class Availability'!$B:$B,O28)&amp;""="","Kosong",PROPER(INDEX('Reguler Class Availability'!$B:$B,O28)&amp;""))&amp;"  "&amp;IFERROR(--(INDEX('Reguler Class Availability'!$G:$G,O28)&amp;""),0)&amp;"/"&amp;IFERROR(--(INDEX('Reguler Class Availability'!$F:$F,O28)&amp;""),0)&amp;IF(IFERROR(--(INDEX('Reguler Class Availability'!$F:$F,O28)&amp;""),0)&gt;0,"  ("&amp;TEXT(IFERROR(--(INDEX('Reguler Class Availability'!$G:$G,O28)&amp;""),0)/IFERROR(--(INDEX('Reguler Class Availability'!$F:$F,O28)&amp;""),0),"0%")&amp;")","")&amp;CHAR(10)&amp;IF(INDEX('Reguler Class Availability'!$I:$I,O28)&amp;""="","coach: –",PROPER(INDEX('Reguler Class Availability'!$I:$I,O28)&amp;""))&amp;IF(INDEX('Reguler Class Availability'!$J:$J,O28)&amp;""="","",CHAR(10)&amp;"asst: "&amp;PROPER(INDEX('Reguler Class Availability'!$J:$J,O28)&amp;""))))</f>
        <v/>
      </c>
      <c r="H28" s="40" t="str">
        <f aca="false">IF(P28="","",IF(X28="Tidak dibuka","–",IF(INDEX('Reguler Class Availability'!$B:$B,P28)&amp;""="","Kosong",PROPER(INDEX('Reguler Class Availability'!$B:$B,P28)&amp;""))&amp;"  "&amp;IFERROR(--(INDEX('Reguler Class Availability'!$G:$G,P28)&amp;""),0)&amp;"/"&amp;IFERROR(--(INDEX('Reguler Class Availability'!$F:$F,P28)&amp;""),0)&amp;IF(IFERROR(--(INDEX('Reguler Class Availability'!$F:$F,P28)&amp;""),0)&gt;0,"  ("&amp;TEXT(IFERROR(--(INDEX('Reguler Class Availability'!$G:$G,P28)&amp;""),0)/IFERROR(--(INDEX('Reguler Class Availability'!$F:$F,P28)&amp;""),0),"0%")&amp;")","")&amp;CHAR(10)&amp;IF(INDEX('Reguler Class Availability'!$I:$I,P28)&amp;""="","coach: –",PROPER(INDEX('Reguler Class Availability'!$I:$I,P28)&amp;""))&amp;IF(INDEX('Reguler Class Availability'!$J:$J,P28)&amp;""="","",CHAR(10)&amp;"asst: "&amp;PROPER(INDEX('Reguler Class Availability'!$J:$J,P28)&amp;""))))</f>
        <v/>
      </c>
      <c r="J28" s="0" t="str">
        <f aca="false">IF($A28="","",IFERROR(MATCH($B$4&amp;"|- Lane 1 - "&amp;B$13&amp;"|"&amp;$A28,'Reguler Class Availability'!$L:$L,0),""))</f>
        <v/>
      </c>
      <c r="K28" s="0" t="str">
        <f aca="false">IF($A28="","",IFERROR(MATCH($B$4&amp;"|- Lane 1 - "&amp;C$13&amp;"|"&amp;$A28,'Reguler Class Availability'!$L:$L,0),""))</f>
        <v/>
      </c>
      <c r="L28" s="0" t="str">
        <f aca="false">IF($A28="","",IFERROR(MATCH($B$4&amp;"|- Lane 1 - "&amp;D$13&amp;"|"&amp;$A28,'Reguler Class Availability'!$L:$L,0),""))</f>
        <v/>
      </c>
      <c r="M28" s="0" t="str">
        <f aca="false">IF($A28="","",IFERROR(MATCH($B$4&amp;"|- Lane 1 - "&amp;E$13&amp;"|"&amp;$A28,'Reguler Class Availability'!$L:$L,0),""))</f>
        <v/>
      </c>
      <c r="N28" s="0" t="str">
        <f aca="false">IF($A28="","",IFERROR(MATCH($B$4&amp;"|- Lane 1 - "&amp;F$13&amp;"|"&amp;$A28,'Reguler Class Availability'!$L:$L,0),""))</f>
        <v/>
      </c>
      <c r="O28" s="0" t="str">
        <f aca="false">IF($A28="","",IFERROR(MATCH($B$4&amp;"|- Lane 1 - "&amp;G$13&amp;"|"&amp;$A28,'Reguler Class Availability'!$L:$L,0),""))</f>
        <v/>
      </c>
      <c r="P28" s="0" t="str">
        <f aca="false">IF($A28="","",IFERROR(MATCH($B$4&amp;"|- Lane 1 - "&amp;H$13&amp;"|"&amp;$A28,'Reguler Class Availability'!$L:$L,0),""))</f>
        <v/>
      </c>
      <c r="R28" s="0" t="str">
        <f aca="false">IF(J28="","",IF(AND(IFERROR(--(INDEX('Reguler Class Availability'!$F:$F,J28)&amp;""),0)=0,IFERROR(--(INDEX('Reguler Class Availability'!$G:$G,J28)&amp;""),0)=0),IF(OR(INDEX('Reguler Class Availability'!$B:$B,J28)&amp;""&lt;&gt;"",INDEX('Reguler Class Availability'!$I:$I,J28)&amp;""&lt;&gt;""),"Tutup","Tidak dibuka"),IF(IFERROR(--(INDEX('Reguler Class Availability'!$G:$G,J28)&amp;""),0)&gt;IFERROR(--(INDEX('Reguler Class Availability'!$F:$F,J28)&amp;""),0),"Lebih",IF(IFERROR(--(INDEX('Reguler Class Availability'!$G:$G,J28)&amp;""),0)=IFERROR(--(INDEX('Reguler Class Availability'!$F:$F,J28)&amp;""),0),"Penuh",IF(IFERROR(--(INDEX('Reguler Class Availability'!$G:$G,J28)&amp;""),0)=0,IF(INDEX('Reguler Class Availability'!$B:$B,J28)&amp;""="","Kosong","Belum terisi"),IF(IFERROR(--(INDEX('Reguler Class Availability'!$G:$G,J28)&amp;""),0)/IFERROR(--(INDEX('Reguler Class Availability'!$F:$F,J28)&amp;""),0)&gt;=0.6,"Tinggi","Sebagian"))))))</f>
        <v/>
      </c>
      <c r="S28" s="0" t="str">
        <f aca="false">IF(K28="","",IF(AND(IFERROR(--(INDEX('Reguler Class Availability'!$F:$F,K28)&amp;""),0)=0,IFERROR(--(INDEX('Reguler Class Availability'!$G:$G,K28)&amp;""),0)=0),IF(OR(INDEX('Reguler Class Availability'!$B:$B,K28)&amp;""&lt;&gt;"",INDEX('Reguler Class Availability'!$I:$I,K28)&amp;""&lt;&gt;""),"Tutup","Tidak dibuka"),IF(IFERROR(--(INDEX('Reguler Class Availability'!$G:$G,K28)&amp;""),0)&gt;IFERROR(--(INDEX('Reguler Class Availability'!$F:$F,K28)&amp;""),0),"Lebih",IF(IFERROR(--(INDEX('Reguler Class Availability'!$G:$G,K28)&amp;""),0)=IFERROR(--(INDEX('Reguler Class Availability'!$F:$F,K28)&amp;""),0),"Penuh",IF(IFERROR(--(INDEX('Reguler Class Availability'!$G:$G,K28)&amp;""),0)=0,IF(INDEX('Reguler Class Availability'!$B:$B,K28)&amp;""="","Kosong","Belum terisi"),IF(IFERROR(--(INDEX('Reguler Class Availability'!$G:$G,K28)&amp;""),0)/IFERROR(--(INDEX('Reguler Class Availability'!$F:$F,K28)&amp;""),0)&gt;=0.6,"Tinggi","Sebagian"))))))</f>
        <v/>
      </c>
      <c r="T28" s="0" t="str">
        <f aca="false">IF(L28="","",IF(AND(IFERROR(--(INDEX('Reguler Class Availability'!$F:$F,L28)&amp;""),0)=0,IFERROR(--(INDEX('Reguler Class Availability'!$G:$G,L28)&amp;""),0)=0),IF(OR(INDEX('Reguler Class Availability'!$B:$B,L28)&amp;""&lt;&gt;"",INDEX('Reguler Class Availability'!$I:$I,L28)&amp;""&lt;&gt;""),"Tutup","Tidak dibuka"),IF(IFERROR(--(INDEX('Reguler Class Availability'!$G:$G,L28)&amp;""),0)&gt;IFERROR(--(INDEX('Reguler Class Availability'!$F:$F,L28)&amp;""),0),"Lebih",IF(IFERROR(--(INDEX('Reguler Class Availability'!$G:$G,L28)&amp;""),0)=IFERROR(--(INDEX('Reguler Class Availability'!$F:$F,L28)&amp;""),0),"Penuh",IF(IFERROR(--(INDEX('Reguler Class Availability'!$G:$G,L28)&amp;""),0)=0,IF(INDEX('Reguler Class Availability'!$B:$B,L28)&amp;""="","Kosong","Belum terisi"),IF(IFERROR(--(INDEX('Reguler Class Availability'!$G:$G,L28)&amp;""),0)/IFERROR(--(INDEX('Reguler Class Availability'!$F:$F,L28)&amp;""),0)&gt;=0.6,"Tinggi","Sebagian"))))))</f>
        <v/>
      </c>
      <c r="U28" s="0" t="str">
        <f aca="false">IF(M28="","",IF(AND(IFERROR(--(INDEX('Reguler Class Availability'!$F:$F,M28)&amp;""),0)=0,IFERROR(--(INDEX('Reguler Class Availability'!$G:$G,M28)&amp;""),0)=0),IF(OR(INDEX('Reguler Class Availability'!$B:$B,M28)&amp;""&lt;&gt;"",INDEX('Reguler Class Availability'!$I:$I,M28)&amp;""&lt;&gt;""),"Tutup","Tidak dibuka"),IF(IFERROR(--(INDEX('Reguler Class Availability'!$G:$G,M28)&amp;""),0)&gt;IFERROR(--(INDEX('Reguler Class Availability'!$F:$F,M28)&amp;""),0),"Lebih",IF(IFERROR(--(INDEX('Reguler Class Availability'!$G:$G,M28)&amp;""),0)=IFERROR(--(INDEX('Reguler Class Availability'!$F:$F,M28)&amp;""),0),"Penuh",IF(IFERROR(--(INDEX('Reguler Class Availability'!$G:$G,M28)&amp;""),0)=0,IF(INDEX('Reguler Class Availability'!$B:$B,M28)&amp;""="","Kosong","Belum terisi"),IF(IFERROR(--(INDEX('Reguler Class Availability'!$G:$G,M28)&amp;""),0)/IFERROR(--(INDEX('Reguler Class Availability'!$F:$F,M28)&amp;""),0)&gt;=0.6,"Tinggi","Sebagian"))))))</f>
        <v/>
      </c>
      <c r="V28" s="0" t="str">
        <f aca="false">IF(N28="","",IF(AND(IFERROR(--(INDEX('Reguler Class Availability'!$F:$F,N28)&amp;""),0)=0,IFERROR(--(INDEX('Reguler Class Availability'!$G:$G,N28)&amp;""),0)=0),IF(OR(INDEX('Reguler Class Availability'!$B:$B,N28)&amp;""&lt;&gt;"",INDEX('Reguler Class Availability'!$I:$I,N28)&amp;""&lt;&gt;""),"Tutup","Tidak dibuka"),IF(IFERROR(--(INDEX('Reguler Class Availability'!$G:$G,N28)&amp;""),0)&gt;IFERROR(--(INDEX('Reguler Class Availability'!$F:$F,N28)&amp;""),0),"Lebih",IF(IFERROR(--(INDEX('Reguler Class Availability'!$G:$G,N28)&amp;""),0)=IFERROR(--(INDEX('Reguler Class Availability'!$F:$F,N28)&amp;""),0),"Penuh",IF(IFERROR(--(INDEX('Reguler Class Availability'!$G:$G,N28)&amp;""),0)=0,IF(INDEX('Reguler Class Availability'!$B:$B,N28)&amp;""="","Kosong","Belum terisi"),IF(IFERROR(--(INDEX('Reguler Class Availability'!$G:$G,N28)&amp;""),0)/IFERROR(--(INDEX('Reguler Class Availability'!$F:$F,N28)&amp;""),0)&gt;=0.6,"Tinggi","Sebagian"))))))</f>
        <v/>
      </c>
      <c r="W28" s="0" t="str">
        <f aca="false">IF(O28="","",IF(AND(IFERROR(--(INDEX('Reguler Class Availability'!$F:$F,O28)&amp;""),0)=0,IFERROR(--(INDEX('Reguler Class Availability'!$G:$G,O28)&amp;""),0)=0),IF(OR(INDEX('Reguler Class Availability'!$B:$B,O28)&amp;""&lt;&gt;"",INDEX('Reguler Class Availability'!$I:$I,O28)&amp;""&lt;&gt;""),"Tutup","Tidak dibuka"),IF(IFERROR(--(INDEX('Reguler Class Availability'!$G:$G,O28)&amp;""),0)&gt;IFERROR(--(INDEX('Reguler Class Availability'!$F:$F,O28)&amp;""),0),"Lebih",IF(IFERROR(--(INDEX('Reguler Class Availability'!$G:$G,O28)&amp;""),0)=IFERROR(--(INDEX('Reguler Class Availability'!$F:$F,O28)&amp;""),0),"Penuh",IF(IFERROR(--(INDEX('Reguler Class Availability'!$G:$G,O28)&amp;""),0)=0,IF(INDEX('Reguler Class Availability'!$B:$B,O28)&amp;""="","Kosong","Belum terisi"),IF(IFERROR(--(INDEX('Reguler Class Availability'!$G:$G,O28)&amp;""),0)/IFERROR(--(INDEX('Reguler Class Availability'!$F:$F,O28)&amp;""),0)&gt;=0.6,"Tinggi","Sebagian"))))))</f>
        <v/>
      </c>
      <c r="X28" s="0" t="str">
        <f aca="false">IF(P28="","",IF(AND(IFERROR(--(INDEX('Reguler Class Availability'!$F:$F,P28)&amp;""),0)=0,IFERROR(--(INDEX('Reguler Class Availability'!$G:$G,P28)&amp;""),0)=0),IF(OR(INDEX('Reguler Class Availability'!$B:$B,P28)&amp;""&lt;&gt;"",INDEX('Reguler Class Availability'!$I:$I,P28)&amp;""&lt;&gt;""),"Tutup","Tidak dibuka"),IF(IFERROR(--(INDEX('Reguler Class Availability'!$G:$G,P28)&amp;""),0)&gt;IFERROR(--(INDEX('Reguler Class Availability'!$F:$F,P28)&amp;""),0),"Lebih",IF(IFERROR(--(INDEX('Reguler Class Availability'!$G:$G,P28)&amp;""),0)=IFERROR(--(INDEX('Reguler Class Availability'!$F:$F,P28)&amp;""),0),"Penuh",IF(IFERROR(--(INDEX('Reguler Class Availability'!$G:$G,P28)&amp;""),0)=0,IF(INDEX('Reguler Class Availability'!$B:$B,P28)&amp;""="","Kosong","Belum terisi"),IF(IFERROR(--(INDEX('Reguler Class Availability'!$G:$G,P28)&amp;""),0)/IFERROR(--(INDEX('Reguler Class Availability'!$F:$F,P28)&amp;""),0)&gt;=0.6,"Tinggi","Sebagian"))))))</f>
        <v/>
      </c>
      <c r="Z28" s="4" t="s">
        <v>61</v>
      </c>
      <c r="AA28" s="4" t="n">
        <f aca="false">IF(COUNTIFS('Reguler Class Availability'!$L:$L,$B$4&amp;"|- Lane 1 - *|"&amp;Z28)&gt;0,1,0)</f>
        <v>0</v>
      </c>
      <c r="AB28" s="4" t="n">
        <f aca="false">AA28+AB27</f>
        <v>7</v>
      </c>
    </row>
    <row r="29" customFormat="false" ht="39.75" hidden="false" customHeight="true" outlineLevel="0" collapsed="false">
      <c r="A29" s="39" t="str">
        <f aca="false">IFERROR(INDEX($Z$2:$Z$61,MATCH(16,$AB$2:$AB$61,0)),"")</f>
        <v/>
      </c>
      <c r="B29" s="40" t="str">
        <f aca="false">IF(J29="","",IF(R29="Tidak dibuka","–",IF(INDEX('Reguler Class Availability'!$B:$B,J29)&amp;""="","Kosong",PROPER(INDEX('Reguler Class Availability'!$B:$B,J29)&amp;""))&amp;"  "&amp;IFERROR(--(INDEX('Reguler Class Availability'!$G:$G,J29)&amp;""),0)&amp;"/"&amp;IFERROR(--(INDEX('Reguler Class Availability'!$F:$F,J29)&amp;""),0)&amp;IF(IFERROR(--(INDEX('Reguler Class Availability'!$F:$F,J29)&amp;""),0)&gt;0,"  ("&amp;TEXT(IFERROR(--(INDEX('Reguler Class Availability'!$G:$G,J29)&amp;""),0)/IFERROR(--(INDEX('Reguler Class Availability'!$F:$F,J29)&amp;""),0),"0%")&amp;")","")&amp;CHAR(10)&amp;IF(INDEX('Reguler Class Availability'!$I:$I,J29)&amp;""="","coach: –",PROPER(INDEX('Reguler Class Availability'!$I:$I,J29)&amp;""))&amp;IF(INDEX('Reguler Class Availability'!$J:$J,J29)&amp;""="","",CHAR(10)&amp;"asst: "&amp;PROPER(INDEX('Reguler Class Availability'!$J:$J,J29)&amp;""))))</f>
        <v/>
      </c>
      <c r="C29" s="40" t="str">
        <f aca="false">IF(K29="","",IF(S29="Tidak dibuka","–",IF(INDEX('Reguler Class Availability'!$B:$B,K29)&amp;""="","Kosong",PROPER(INDEX('Reguler Class Availability'!$B:$B,K29)&amp;""))&amp;"  "&amp;IFERROR(--(INDEX('Reguler Class Availability'!$G:$G,K29)&amp;""),0)&amp;"/"&amp;IFERROR(--(INDEX('Reguler Class Availability'!$F:$F,K29)&amp;""),0)&amp;IF(IFERROR(--(INDEX('Reguler Class Availability'!$F:$F,K29)&amp;""),0)&gt;0,"  ("&amp;TEXT(IFERROR(--(INDEX('Reguler Class Availability'!$G:$G,K29)&amp;""),0)/IFERROR(--(INDEX('Reguler Class Availability'!$F:$F,K29)&amp;""),0),"0%")&amp;")","")&amp;CHAR(10)&amp;IF(INDEX('Reguler Class Availability'!$I:$I,K29)&amp;""="","coach: –",PROPER(INDEX('Reguler Class Availability'!$I:$I,K29)&amp;""))&amp;IF(INDEX('Reguler Class Availability'!$J:$J,K29)&amp;""="","",CHAR(10)&amp;"asst: "&amp;PROPER(INDEX('Reguler Class Availability'!$J:$J,K29)&amp;""))))</f>
        <v/>
      </c>
      <c r="D29" s="40" t="str">
        <f aca="false">IF(L29="","",IF(T29="Tidak dibuka","–",IF(INDEX('Reguler Class Availability'!$B:$B,L29)&amp;""="","Kosong",PROPER(INDEX('Reguler Class Availability'!$B:$B,L29)&amp;""))&amp;"  "&amp;IFERROR(--(INDEX('Reguler Class Availability'!$G:$G,L29)&amp;""),0)&amp;"/"&amp;IFERROR(--(INDEX('Reguler Class Availability'!$F:$F,L29)&amp;""),0)&amp;IF(IFERROR(--(INDEX('Reguler Class Availability'!$F:$F,L29)&amp;""),0)&gt;0,"  ("&amp;TEXT(IFERROR(--(INDEX('Reguler Class Availability'!$G:$G,L29)&amp;""),0)/IFERROR(--(INDEX('Reguler Class Availability'!$F:$F,L29)&amp;""),0),"0%")&amp;")","")&amp;CHAR(10)&amp;IF(INDEX('Reguler Class Availability'!$I:$I,L29)&amp;""="","coach: –",PROPER(INDEX('Reguler Class Availability'!$I:$I,L29)&amp;""))&amp;IF(INDEX('Reguler Class Availability'!$J:$J,L29)&amp;""="","",CHAR(10)&amp;"asst: "&amp;PROPER(INDEX('Reguler Class Availability'!$J:$J,L29)&amp;""))))</f>
        <v/>
      </c>
      <c r="E29" s="40" t="str">
        <f aca="false">IF(M29="","",IF(U29="Tidak dibuka","–",IF(INDEX('Reguler Class Availability'!$B:$B,M29)&amp;""="","Kosong",PROPER(INDEX('Reguler Class Availability'!$B:$B,M29)&amp;""))&amp;"  "&amp;IFERROR(--(INDEX('Reguler Class Availability'!$G:$G,M29)&amp;""),0)&amp;"/"&amp;IFERROR(--(INDEX('Reguler Class Availability'!$F:$F,M29)&amp;""),0)&amp;IF(IFERROR(--(INDEX('Reguler Class Availability'!$F:$F,M29)&amp;""),0)&gt;0,"  ("&amp;TEXT(IFERROR(--(INDEX('Reguler Class Availability'!$G:$G,M29)&amp;""),0)/IFERROR(--(INDEX('Reguler Class Availability'!$F:$F,M29)&amp;""),0),"0%")&amp;")","")&amp;CHAR(10)&amp;IF(INDEX('Reguler Class Availability'!$I:$I,M29)&amp;""="","coach: –",PROPER(INDEX('Reguler Class Availability'!$I:$I,M29)&amp;""))&amp;IF(INDEX('Reguler Class Availability'!$J:$J,M29)&amp;""="","",CHAR(10)&amp;"asst: "&amp;PROPER(INDEX('Reguler Class Availability'!$J:$J,M29)&amp;""))))</f>
        <v/>
      </c>
      <c r="F29" s="40" t="str">
        <f aca="false">IF(N29="","",IF(V29="Tidak dibuka","–",IF(INDEX('Reguler Class Availability'!$B:$B,N29)&amp;""="","Kosong",PROPER(INDEX('Reguler Class Availability'!$B:$B,N29)&amp;""))&amp;"  "&amp;IFERROR(--(INDEX('Reguler Class Availability'!$G:$G,N29)&amp;""),0)&amp;"/"&amp;IFERROR(--(INDEX('Reguler Class Availability'!$F:$F,N29)&amp;""),0)&amp;IF(IFERROR(--(INDEX('Reguler Class Availability'!$F:$F,N29)&amp;""),0)&gt;0,"  ("&amp;TEXT(IFERROR(--(INDEX('Reguler Class Availability'!$G:$G,N29)&amp;""),0)/IFERROR(--(INDEX('Reguler Class Availability'!$F:$F,N29)&amp;""),0),"0%")&amp;")","")&amp;CHAR(10)&amp;IF(INDEX('Reguler Class Availability'!$I:$I,N29)&amp;""="","coach: –",PROPER(INDEX('Reguler Class Availability'!$I:$I,N29)&amp;""))&amp;IF(INDEX('Reguler Class Availability'!$J:$J,N29)&amp;""="","",CHAR(10)&amp;"asst: "&amp;PROPER(INDEX('Reguler Class Availability'!$J:$J,N29)&amp;""))))</f>
        <v/>
      </c>
      <c r="G29" s="40" t="str">
        <f aca="false">IF(O29="","",IF(W29="Tidak dibuka","–",IF(INDEX('Reguler Class Availability'!$B:$B,O29)&amp;""="","Kosong",PROPER(INDEX('Reguler Class Availability'!$B:$B,O29)&amp;""))&amp;"  "&amp;IFERROR(--(INDEX('Reguler Class Availability'!$G:$G,O29)&amp;""),0)&amp;"/"&amp;IFERROR(--(INDEX('Reguler Class Availability'!$F:$F,O29)&amp;""),0)&amp;IF(IFERROR(--(INDEX('Reguler Class Availability'!$F:$F,O29)&amp;""),0)&gt;0,"  ("&amp;TEXT(IFERROR(--(INDEX('Reguler Class Availability'!$G:$G,O29)&amp;""),0)/IFERROR(--(INDEX('Reguler Class Availability'!$F:$F,O29)&amp;""),0),"0%")&amp;")","")&amp;CHAR(10)&amp;IF(INDEX('Reguler Class Availability'!$I:$I,O29)&amp;""="","coach: –",PROPER(INDEX('Reguler Class Availability'!$I:$I,O29)&amp;""))&amp;IF(INDEX('Reguler Class Availability'!$J:$J,O29)&amp;""="","",CHAR(10)&amp;"asst: "&amp;PROPER(INDEX('Reguler Class Availability'!$J:$J,O29)&amp;""))))</f>
        <v/>
      </c>
      <c r="H29" s="40" t="str">
        <f aca="false">IF(P29="","",IF(X29="Tidak dibuka","–",IF(INDEX('Reguler Class Availability'!$B:$B,P29)&amp;""="","Kosong",PROPER(INDEX('Reguler Class Availability'!$B:$B,P29)&amp;""))&amp;"  "&amp;IFERROR(--(INDEX('Reguler Class Availability'!$G:$G,P29)&amp;""),0)&amp;"/"&amp;IFERROR(--(INDEX('Reguler Class Availability'!$F:$F,P29)&amp;""),0)&amp;IF(IFERROR(--(INDEX('Reguler Class Availability'!$F:$F,P29)&amp;""),0)&gt;0,"  ("&amp;TEXT(IFERROR(--(INDEX('Reguler Class Availability'!$G:$G,P29)&amp;""),0)/IFERROR(--(INDEX('Reguler Class Availability'!$F:$F,P29)&amp;""),0),"0%")&amp;")","")&amp;CHAR(10)&amp;IF(INDEX('Reguler Class Availability'!$I:$I,P29)&amp;""="","coach: –",PROPER(INDEX('Reguler Class Availability'!$I:$I,P29)&amp;""))&amp;IF(INDEX('Reguler Class Availability'!$J:$J,P29)&amp;""="","",CHAR(10)&amp;"asst: "&amp;PROPER(INDEX('Reguler Class Availability'!$J:$J,P29)&amp;""))))</f>
        <v/>
      </c>
      <c r="J29" s="0" t="str">
        <f aca="false">IF($A29="","",IFERROR(MATCH($B$4&amp;"|- Lane 1 - "&amp;B$13&amp;"|"&amp;$A29,'Reguler Class Availability'!$L:$L,0),""))</f>
        <v/>
      </c>
      <c r="K29" s="0" t="str">
        <f aca="false">IF($A29="","",IFERROR(MATCH($B$4&amp;"|- Lane 1 - "&amp;C$13&amp;"|"&amp;$A29,'Reguler Class Availability'!$L:$L,0),""))</f>
        <v/>
      </c>
      <c r="L29" s="0" t="str">
        <f aca="false">IF($A29="","",IFERROR(MATCH($B$4&amp;"|- Lane 1 - "&amp;D$13&amp;"|"&amp;$A29,'Reguler Class Availability'!$L:$L,0),""))</f>
        <v/>
      </c>
      <c r="M29" s="0" t="str">
        <f aca="false">IF($A29="","",IFERROR(MATCH($B$4&amp;"|- Lane 1 - "&amp;E$13&amp;"|"&amp;$A29,'Reguler Class Availability'!$L:$L,0),""))</f>
        <v/>
      </c>
      <c r="N29" s="0" t="str">
        <f aca="false">IF($A29="","",IFERROR(MATCH($B$4&amp;"|- Lane 1 - "&amp;F$13&amp;"|"&amp;$A29,'Reguler Class Availability'!$L:$L,0),""))</f>
        <v/>
      </c>
      <c r="O29" s="0" t="str">
        <f aca="false">IF($A29="","",IFERROR(MATCH($B$4&amp;"|- Lane 1 - "&amp;G$13&amp;"|"&amp;$A29,'Reguler Class Availability'!$L:$L,0),""))</f>
        <v/>
      </c>
      <c r="P29" s="0" t="str">
        <f aca="false">IF($A29="","",IFERROR(MATCH($B$4&amp;"|- Lane 1 - "&amp;H$13&amp;"|"&amp;$A29,'Reguler Class Availability'!$L:$L,0),""))</f>
        <v/>
      </c>
      <c r="R29" s="0" t="str">
        <f aca="false">IF(J29="","",IF(AND(IFERROR(--(INDEX('Reguler Class Availability'!$F:$F,J29)&amp;""),0)=0,IFERROR(--(INDEX('Reguler Class Availability'!$G:$G,J29)&amp;""),0)=0),IF(OR(INDEX('Reguler Class Availability'!$B:$B,J29)&amp;""&lt;&gt;"",INDEX('Reguler Class Availability'!$I:$I,J29)&amp;""&lt;&gt;""),"Tutup","Tidak dibuka"),IF(IFERROR(--(INDEX('Reguler Class Availability'!$G:$G,J29)&amp;""),0)&gt;IFERROR(--(INDEX('Reguler Class Availability'!$F:$F,J29)&amp;""),0),"Lebih",IF(IFERROR(--(INDEX('Reguler Class Availability'!$G:$G,J29)&amp;""),0)=IFERROR(--(INDEX('Reguler Class Availability'!$F:$F,J29)&amp;""),0),"Penuh",IF(IFERROR(--(INDEX('Reguler Class Availability'!$G:$G,J29)&amp;""),0)=0,IF(INDEX('Reguler Class Availability'!$B:$B,J29)&amp;""="","Kosong","Belum terisi"),IF(IFERROR(--(INDEX('Reguler Class Availability'!$G:$G,J29)&amp;""),0)/IFERROR(--(INDEX('Reguler Class Availability'!$F:$F,J29)&amp;""),0)&gt;=0.6,"Tinggi","Sebagian"))))))</f>
        <v/>
      </c>
      <c r="S29" s="0" t="str">
        <f aca="false">IF(K29="","",IF(AND(IFERROR(--(INDEX('Reguler Class Availability'!$F:$F,K29)&amp;""),0)=0,IFERROR(--(INDEX('Reguler Class Availability'!$G:$G,K29)&amp;""),0)=0),IF(OR(INDEX('Reguler Class Availability'!$B:$B,K29)&amp;""&lt;&gt;"",INDEX('Reguler Class Availability'!$I:$I,K29)&amp;""&lt;&gt;""),"Tutup","Tidak dibuka"),IF(IFERROR(--(INDEX('Reguler Class Availability'!$G:$G,K29)&amp;""),0)&gt;IFERROR(--(INDEX('Reguler Class Availability'!$F:$F,K29)&amp;""),0),"Lebih",IF(IFERROR(--(INDEX('Reguler Class Availability'!$G:$G,K29)&amp;""),0)=IFERROR(--(INDEX('Reguler Class Availability'!$F:$F,K29)&amp;""),0),"Penuh",IF(IFERROR(--(INDEX('Reguler Class Availability'!$G:$G,K29)&amp;""),0)=0,IF(INDEX('Reguler Class Availability'!$B:$B,K29)&amp;""="","Kosong","Belum terisi"),IF(IFERROR(--(INDEX('Reguler Class Availability'!$G:$G,K29)&amp;""),0)/IFERROR(--(INDEX('Reguler Class Availability'!$F:$F,K29)&amp;""),0)&gt;=0.6,"Tinggi","Sebagian"))))))</f>
        <v/>
      </c>
      <c r="T29" s="0" t="str">
        <f aca="false">IF(L29="","",IF(AND(IFERROR(--(INDEX('Reguler Class Availability'!$F:$F,L29)&amp;""),0)=0,IFERROR(--(INDEX('Reguler Class Availability'!$G:$G,L29)&amp;""),0)=0),IF(OR(INDEX('Reguler Class Availability'!$B:$B,L29)&amp;""&lt;&gt;"",INDEX('Reguler Class Availability'!$I:$I,L29)&amp;""&lt;&gt;""),"Tutup","Tidak dibuka"),IF(IFERROR(--(INDEX('Reguler Class Availability'!$G:$G,L29)&amp;""),0)&gt;IFERROR(--(INDEX('Reguler Class Availability'!$F:$F,L29)&amp;""),0),"Lebih",IF(IFERROR(--(INDEX('Reguler Class Availability'!$G:$G,L29)&amp;""),0)=IFERROR(--(INDEX('Reguler Class Availability'!$F:$F,L29)&amp;""),0),"Penuh",IF(IFERROR(--(INDEX('Reguler Class Availability'!$G:$G,L29)&amp;""),0)=0,IF(INDEX('Reguler Class Availability'!$B:$B,L29)&amp;""="","Kosong","Belum terisi"),IF(IFERROR(--(INDEX('Reguler Class Availability'!$G:$G,L29)&amp;""),0)/IFERROR(--(INDEX('Reguler Class Availability'!$F:$F,L29)&amp;""),0)&gt;=0.6,"Tinggi","Sebagian"))))))</f>
        <v/>
      </c>
      <c r="U29" s="0" t="str">
        <f aca="false">IF(M29="","",IF(AND(IFERROR(--(INDEX('Reguler Class Availability'!$F:$F,M29)&amp;""),0)=0,IFERROR(--(INDEX('Reguler Class Availability'!$G:$G,M29)&amp;""),0)=0),IF(OR(INDEX('Reguler Class Availability'!$B:$B,M29)&amp;""&lt;&gt;"",INDEX('Reguler Class Availability'!$I:$I,M29)&amp;""&lt;&gt;""),"Tutup","Tidak dibuka"),IF(IFERROR(--(INDEX('Reguler Class Availability'!$G:$G,M29)&amp;""),0)&gt;IFERROR(--(INDEX('Reguler Class Availability'!$F:$F,M29)&amp;""),0),"Lebih",IF(IFERROR(--(INDEX('Reguler Class Availability'!$G:$G,M29)&amp;""),0)=IFERROR(--(INDEX('Reguler Class Availability'!$F:$F,M29)&amp;""),0),"Penuh",IF(IFERROR(--(INDEX('Reguler Class Availability'!$G:$G,M29)&amp;""),0)=0,IF(INDEX('Reguler Class Availability'!$B:$B,M29)&amp;""="","Kosong","Belum terisi"),IF(IFERROR(--(INDEX('Reguler Class Availability'!$G:$G,M29)&amp;""),0)/IFERROR(--(INDEX('Reguler Class Availability'!$F:$F,M29)&amp;""),0)&gt;=0.6,"Tinggi","Sebagian"))))))</f>
        <v/>
      </c>
      <c r="V29" s="0" t="str">
        <f aca="false">IF(N29="","",IF(AND(IFERROR(--(INDEX('Reguler Class Availability'!$F:$F,N29)&amp;""),0)=0,IFERROR(--(INDEX('Reguler Class Availability'!$G:$G,N29)&amp;""),0)=0),IF(OR(INDEX('Reguler Class Availability'!$B:$B,N29)&amp;""&lt;&gt;"",INDEX('Reguler Class Availability'!$I:$I,N29)&amp;""&lt;&gt;""),"Tutup","Tidak dibuka"),IF(IFERROR(--(INDEX('Reguler Class Availability'!$G:$G,N29)&amp;""),0)&gt;IFERROR(--(INDEX('Reguler Class Availability'!$F:$F,N29)&amp;""),0),"Lebih",IF(IFERROR(--(INDEX('Reguler Class Availability'!$G:$G,N29)&amp;""),0)=IFERROR(--(INDEX('Reguler Class Availability'!$F:$F,N29)&amp;""),0),"Penuh",IF(IFERROR(--(INDEX('Reguler Class Availability'!$G:$G,N29)&amp;""),0)=0,IF(INDEX('Reguler Class Availability'!$B:$B,N29)&amp;""="","Kosong","Belum terisi"),IF(IFERROR(--(INDEX('Reguler Class Availability'!$G:$G,N29)&amp;""),0)/IFERROR(--(INDEX('Reguler Class Availability'!$F:$F,N29)&amp;""),0)&gt;=0.6,"Tinggi","Sebagian"))))))</f>
        <v/>
      </c>
      <c r="W29" s="0" t="str">
        <f aca="false">IF(O29="","",IF(AND(IFERROR(--(INDEX('Reguler Class Availability'!$F:$F,O29)&amp;""),0)=0,IFERROR(--(INDEX('Reguler Class Availability'!$G:$G,O29)&amp;""),0)=0),IF(OR(INDEX('Reguler Class Availability'!$B:$B,O29)&amp;""&lt;&gt;"",INDEX('Reguler Class Availability'!$I:$I,O29)&amp;""&lt;&gt;""),"Tutup","Tidak dibuka"),IF(IFERROR(--(INDEX('Reguler Class Availability'!$G:$G,O29)&amp;""),0)&gt;IFERROR(--(INDEX('Reguler Class Availability'!$F:$F,O29)&amp;""),0),"Lebih",IF(IFERROR(--(INDEX('Reguler Class Availability'!$G:$G,O29)&amp;""),0)=IFERROR(--(INDEX('Reguler Class Availability'!$F:$F,O29)&amp;""),0),"Penuh",IF(IFERROR(--(INDEX('Reguler Class Availability'!$G:$G,O29)&amp;""),0)=0,IF(INDEX('Reguler Class Availability'!$B:$B,O29)&amp;""="","Kosong","Belum terisi"),IF(IFERROR(--(INDEX('Reguler Class Availability'!$G:$G,O29)&amp;""),0)/IFERROR(--(INDEX('Reguler Class Availability'!$F:$F,O29)&amp;""),0)&gt;=0.6,"Tinggi","Sebagian"))))))</f>
        <v/>
      </c>
      <c r="X29" s="0" t="str">
        <f aca="false">IF(P29="","",IF(AND(IFERROR(--(INDEX('Reguler Class Availability'!$F:$F,P29)&amp;""),0)=0,IFERROR(--(INDEX('Reguler Class Availability'!$G:$G,P29)&amp;""),0)=0),IF(OR(INDEX('Reguler Class Availability'!$B:$B,P29)&amp;""&lt;&gt;"",INDEX('Reguler Class Availability'!$I:$I,P29)&amp;""&lt;&gt;""),"Tutup","Tidak dibuka"),IF(IFERROR(--(INDEX('Reguler Class Availability'!$G:$G,P29)&amp;""),0)&gt;IFERROR(--(INDEX('Reguler Class Availability'!$F:$F,P29)&amp;""),0),"Lebih",IF(IFERROR(--(INDEX('Reguler Class Availability'!$G:$G,P29)&amp;""),0)=IFERROR(--(INDEX('Reguler Class Availability'!$F:$F,P29)&amp;""),0),"Penuh",IF(IFERROR(--(INDEX('Reguler Class Availability'!$G:$G,P29)&amp;""),0)=0,IF(INDEX('Reguler Class Availability'!$B:$B,P29)&amp;""="","Kosong","Belum terisi"),IF(IFERROR(--(INDEX('Reguler Class Availability'!$G:$G,P29)&amp;""),0)/IFERROR(--(INDEX('Reguler Class Availability'!$F:$F,P29)&amp;""),0)&gt;=0.6,"Tinggi","Sebagian"))))))</f>
        <v/>
      </c>
      <c r="Z29" s="4" t="s">
        <v>62</v>
      </c>
      <c r="AA29" s="4" t="n">
        <f aca="false">IF(COUNTIFS('Reguler Class Availability'!$L:$L,$B$4&amp;"|- Lane 1 - *|"&amp;Z29)&gt;0,1,0)</f>
        <v>0</v>
      </c>
      <c r="AB29" s="4" t="n">
        <f aca="false">AA29+AB28</f>
        <v>7</v>
      </c>
    </row>
    <row r="30" customFormat="false" ht="15" hidden="false" customHeight="false" outlineLevel="0" collapsed="false">
      <c r="A30" s="41" t="s">
        <v>63</v>
      </c>
      <c r="B30" s="42" t="str">
        <f aca="false">IFERROR(TEXT(SUMIFS('Reguler Class Availability'!$G:$G,'Reguler Class Availability'!$A:$A,$B$4,'Reguler Class Availability'!$C:$C,"- Lane 1 - "&amp;B$13,'Reguler Class Availability'!$F:$F,"&gt;0")/SUMIFS('Reguler Class Availability'!$F:$F,'Reguler Class Availability'!$A:$A,$B$4,'Reguler Class Availability'!$C:$C,"- Lane 1 - "&amp;B$13,'Reguler Class Availability'!$F:$F,"&gt;0"),"0%"),"–")</f>
        <v>17%</v>
      </c>
      <c r="C30" s="42" t="str">
        <f aca="false">IFERROR(TEXT(SUMIFS('Reguler Class Availability'!$G:$G,'Reguler Class Availability'!$A:$A,$B$4,'Reguler Class Availability'!$C:$C,"- Lane 1 - "&amp;C$13,'Reguler Class Availability'!$F:$F,"&gt;0")/SUMIFS('Reguler Class Availability'!$F:$F,'Reguler Class Availability'!$A:$A,$B$4,'Reguler Class Availability'!$C:$C,"- Lane 1 - "&amp;C$13,'Reguler Class Availability'!$F:$F,"&gt;0"),"0%"),"–")</f>
        <v>13%</v>
      </c>
      <c r="D30" s="42" t="str">
        <f aca="false">IFERROR(TEXT(SUMIFS('Reguler Class Availability'!$G:$G,'Reguler Class Availability'!$A:$A,$B$4,'Reguler Class Availability'!$C:$C,"- Lane 1 - "&amp;D$13,'Reguler Class Availability'!$F:$F,"&gt;0")/SUMIFS('Reguler Class Availability'!$F:$F,'Reguler Class Availability'!$A:$A,$B$4,'Reguler Class Availability'!$C:$C,"- Lane 1 - "&amp;D$13,'Reguler Class Availability'!$F:$F,"&gt;0"),"0%"),"–")</f>
        <v>13%</v>
      </c>
      <c r="E30" s="42" t="str">
        <f aca="false">IFERROR(TEXT(SUMIFS('Reguler Class Availability'!$G:$G,'Reguler Class Availability'!$A:$A,$B$4,'Reguler Class Availability'!$C:$C,"- Lane 1 - "&amp;E$13,'Reguler Class Availability'!$F:$F,"&gt;0")/SUMIFS('Reguler Class Availability'!$F:$F,'Reguler Class Availability'!$A:$A,$B$4,'Reguler Class Availability'!$C:$C,"- Lane 1 - "&amp;E$13,'Reguler Class Availability'!$F:$F,"&gt;0"),"0%"),"–")</f>
        <v>9%</v>
      </c>
      <c r="F30" s="42" t="str">
        <f aca="false">IFERROR(TEXT(SUMIFS('Reguler Class Availability'!$G:$G,'Reguler Class Availability'!$A:$A,$B$4,'Reguler Class Availability'!$C:$C,"- Lane 1 - "&amp;F$13,'Reguler Class Availability'!$F:$F,"&gt;0")/SUMIFS('Reguler Class Availability'!$F:$F,'Reguler Class Availability'!$A:$A,$B$4,'Reguler Class Availability'!$C:$C,"- Lane 1 - "&amp;F$13,'Reguler Class Availability'!$F:$F,"&gt;0"),"0%"),"–")</f>
        <v>37%</v>
      </c>
      <c r="G30" s="42" t="str">
        <f aca="false">IFERROR(TEXT(SUMIFS('Reguler Class Availability'!$G:$G,'Reguler Class Availability'!$A:$A,$B$4,'Reguler Class Availability'!$C:$C,"- Lane 1 - "&amp;G$13,'Reguler Class Availability'!$F:$F,"&gt;0")/SUMIFS('Reguler Class Availability'!$F:$F,'Reguler Class Availability'!$A:$A,$B$4,'Reguler Class Availability'!$C:$C,"- Lane 1 - "&amp;G$13,'Reguler Class Availability'!$F:$F,"&gt;0"),"0%"),"–")</f>
        <v>64%</v>
      </c>
      <c r="H30" s="42" t="str">
        <f aca="false">IFERROR(TEXT(SUMIFS('Reguler Class Availability'!$G:$G,'Reguler Class Availability'!$A:$A,$B$4,'Reguler Class Availability'!$C:$C,"- Lane 1 - "&amp;H$13,'Reguler Class Availability'!$F:$F,"&gt;0")/SUMIFS('Reguler Class Availability'!$F:$F,'Reguler Class Availability'!$A:$A,$B$4,'Reguler Class Availability'!$C:$C,"- Lane 1 - "&amp;H$13,'Reguler Class Availability'!$F:$F,"&gt;0"),"0%"),"–")</f>
        <v>48%</v>
      </c>
      <c r="Z30" s="4" t="s">
        <v>64</v>
      </c>
      <c r="AA30" s="4" t="n">
        <f aca="false">IF(COUNTIFS('Reguler Class Availability'!$L:$L,$B$4&amp;"|- Lane 1 - *|"&amp;Z30)&gt;0,1,0)</f>
        <v>0</v>
      </c>
      <c r="AB30" s="4" t="n">
        <f aca="false">AA30+AB29</f>
        <v>7</v>
      </c>
    </row>
    <row r="31" customFormat="false" ht="15" hidden="false" customHeight="false" outlineLevel="0" collapsed="false">
      <c r="Z31" s="0" t="s">
        <v>65</v>
      </c>
      <c r="AA31" s="0" t="n">
        <f aca="false">IF(COUNTIFS('Reguler Class Availability'!$L:$L,$B$4&amp;"|- Lane 1 - *|"&amp;Z31)&gt;0,1,0)</f>
        <v>0</v>
      </c>
      <c r="AB31" s="0" t="n">
        <f aca="false">AA31+AB30</f>
        <v>7</v>
      </c>
    </row>
    <row r="32" customFormat="false" ht="15" hidden="false" customHeight="false" outlineLevel="0" collapsed="false">
      <c r="A32" s="34" t="s">
        <v>66</v>
      </c>
      <c r="B32" s="35"/>
      <c r="C32" s="36" t="str">
        <f aca="false">"Utilisasi lane: "&amp;IFERROR(TEXT(SUMIFS('Reguler Class Availability'!$G:$G,'Reguler Class Availability'!$A:$A,$B$4,'Reguler Class Availability'!$C:$C,"- Lane 2 - *",'Reguler Class Availability'!$F:$F,"&gt;0")/SUMIFS('Reguler Class Availability'!$F:$F,'Reguler Class Availability'!$A:$A,$B$4,'Reguler Class Availability'!$C:$C,"- Lane 2 - *",'Reguler Class Availability'!$F:$F,"&gt;0"),"0%"),"–")&amp;"   ·   Belum terisi: "&amp;COUNTIF($R$34:$X$47,"Belum terisi")&amp;"   ·   Slot kosong: "&amp;COUNTIF($R$34:$X$47,"Kosong")</f>
        <v>Utilisasi lane: 48%   ·   Belum terisi: 24   ·   Slot kosong: 0</v>
      </c>
      <c r="D32" s="35"/>
      <c r="E32" s="35"/>
      <c r="F32" s="35"/>
      <c r="G32" s="35"/>
      <c r="H32" s="35"/>
      <c r="Z32" s="4" t="s">
        <v>67</v>
      </c>
      <c r="AA32" s="4" t="n">
        <f aca="false">IF(COUNTIFS('Reguler Class Availability'!$L:$L,$B$4&amp;"|- Lane 1 - *|"&amp;Z32)&gt;0,1,0)</f>
        <v>1</v>
      </c>
      <c r="AB32" s="4" t="n">
        <f aca="false">AA32+AB31</f>
        <v>8</v>
      </c>
    </row>
    <row r="33" customFormat="false" ht="15" hidden="false" customHeight="false" outlineLevel="0" collapsed="false">
      <c r="A33" s="37" t="s">
        <v>38</v>
      </c>
      <c r="B33" s="38" t="s">
        <v>39</v>
      </c>
      <c r="C33" s="38" t="s">
        <v>40</v>
      </c>
      <c r="D33" s="38" t="s">
        <v>41</v>
      </c>
      <c r="E33" s="38" t="s">
        <v>42</v>
      </c>
      <c r="F33" s="38" t="s">
        <v>43</v>
      </c>
      <c r="G33" s="38" t="s">
        <v>44</v>
      </c>
      <c r="H33" s="38" t="s">
        <v>45</v>
      </c>
      <c r="Z33" s="4" t="s">
        <v>68</v>
      </c>
      <c r="AA33" s="4" t="n">
        <f aca="false">IF(COUNTIFS('Reguler Class Availability'!$L:$L,$B$4&amp;"|- Lane 1 - *|"&amp;Z33)&gt;0,1,0)</f>
        <v>0</v>
      </c>
      <c r="AB33" s="4" t="n">
        <f aca="false">AA33+AB32</f>
        <v>8</v>
      </c>
    </row>
    <row r="34" customFormat="false" ht="39.75" hidden="false" customHeight="true" outlineLevel="0" collapsed="false">
      <c r="A34" s="39" t="str">
        <f aca="false">IFERROR(INDEX($Z$62:$Z$121,MATCH(1,$AB$62:$AB$121,0)),"")</f>
        <v>08:15</v>
      </c>
      <c r="B34" s="40" t="str">
        <f aca="false">IF(J34="","",IF(R34="Tidak dibuka","–",IF(INDEX('Reguler Class Availability'!$B:$B,J34)&amp;""="","Kosong",PROPER(INDEX('Reguler Class Availability'!$B:$B,J34)&amp;""))&amp;"  "&amp;IFERROR(--(INDEX('Reguler Class Availability'!$G:$G,J34)&amp;""),0)&amp;"/"&amp;IFERROR(--(INDEX('Reguler Class Availability'!$F:$F,J34)&amp;""),0)&amp;IF(IFERROR(--(INDEX('Reguler Class Availability'!$F:$F,J34)&amp;""),0)&gt;0,"  ("&amp;TEXT(IFERROR(--(INDEX('Reguler Class Availability'!$G:$G,J34)&amp;""),0)/IFERROR(--(INDEX('Reguler Class Availability'!$F:$F,J34)&amp;""),0),"0%")&amp;")","")&amp;CHAR(10)&amp;IF(INDEX('Reguler Class Availability'!$I:$I,J34)&amp;""="","coach: –",PROPER(INDEX('Reguler Class Availability'!$I:$I,J34)&amp;""))&amp;IF(INDEX('Reguler Class Availability'!$J:$J,J34)&amp;""="","",CHAR(10)&amp;"asst: "&amp;PROPER(INDEX('Reguler Class Availability'!$J:$J,J34)&amp;""))))</f>
        <v>Tiny  0/0
coach: –</v>
      </c>
      <c r="C34" s="40" t="str">
        <f aca="false">IF(K34="","",IF(S34="Tidak dibuka","–",IF(INDEX('Reguler Class Availability'!$B:$B,K34)&amp;""="","Kosong",PROPER(INDEX('Reguler Class Availability'!$B:$B,K34)&amp;""))&amp;"  "&amp;IFERROR(--(INDEX('Reguler Class Availability'!$G:$G,K34)&amp;""),0)&amp;"/"&amp;IFERROR(--(INDEX('Reguler Class Availability'!$F:$F,K34)&amp;""),0)&amp;IF(IFERROR(--(INDEX('Reguler Class Availability'!$F:$F,K34)&amp;""),0)&gt;0,"  ("&amp;TEXT(IFERROR(--(INDEX('Reguler Class Availability'!$G:$G,K34)&amp;""),0)/IFERROR(--(INDEX('Reguler Class Availability'!$F:$F,K34)&amp;""),0),"0%")&amp;")","")&amp;CHAR(10)&amp;IF(INDEX('Reguler Class Availability'!$I:$I,K34)&amp;""="","coach: –",PROPER(INDEX('Reguler Class Availability'!$I:$I,K34)&amp;""))&amp;IF(INDEX('Reguler Class Availability'!$J:$J,K34)&amp;""="","",CHAR(10)&amp;"asst: "&amp;PROPER(INDEX('Reguler Class Availability'!$J:$J,K34)&amp;""))))</f>
        <v>Tiny  0/0
coach: –</v>
      </c>
      <c r="D34" s="40" t="str">
        <f aca="false">IF(L34="","",IF(T34="Tidak dibuka","–",IF(INDEX('Reguler Class Availability'!$B:$B,L34)&amp;""="","Kosong",PROPER(INDEX('Reguler Class Availability'!$B:$B,L34)&amp;""))&amp;"  "&amp;IFERROR(--(INDEX('Reguler Class Availability'!$G:$G,L34)&amp;""),0)&amp;"/"&amp;IFERROR(--(INDEX('Reguler Class Availability'!$F:$F,L34)&amp;""),0)&amp;IF(IFERROR(--(INDEX('Reguler Class Availability'!$F:$F,L34)&amp;""),0)&gt;0,"  ("&amp;TEXT(IFERROR(--(INDEX('Reguler Class Availability'!$G:$G,L34)&amp;""),0)/IFERROR(--(INDEX('Reguler Class Availability'!$F:$F,L34)&amp;""),0),"0%")&amp;")","")&amp;CHAR(10)&amp;IF(INDEX('Reguler Class Availability'!$I:$I,L34)&amp;""="","coach: –",PROPER(INDEX('Reguler Class Availability'!$I:$I,L34)&amp;""))&amp;IF(INDEX('Reguler Class Availability'!$J:$J,L34)&amp;""="","",CHAR(10)&amp;"asst: "&amp;PROPER(INDEX('Reguler Class Availability'!$J:$J,L34)&amp;""))))</f>
        <v>Tiny  0/0
coach: –</v>
      </c>
      <c r="E34" s="40" t="str">
        <f aca="false">IF(M34="","",IF(U34="Tidak dibuka","–",IF(INDEX('Reguler Class Availability'!$B:$B,M34)&amp;""="","Kosong",PROPER(INDEX('Reguler Class Availability'!$B:$B,M34)&amp;""))&amp;"  "&amp;IFERROR(--(INDEX('Reguler Class Availability'!$G:$G,M34)&amp;""),0)&amp;"/"&amp;IFERROR(--(INDEX('Reguler Class Availability'!$F:$F,M34)&amp;""),0)&amp;IF(IFERROR(--(INDEX('Reguler Class Availability'!$F:$F,M34)&amp;""),0)&gt;0,"  ("&amp;TEXT(IFERROR(--(INDEX('Reguler Class Availability'!$G:$G,M34)&amp;""),0)/IFERROR(--(INDEX('Reguler Class Availability'!$F:$F,M34)&amp;""),0),"0%")&amp;")","")&amp;CHAR(10)&amp;IF(INDEX('Reguler Class Availability'!$I:$I,M34)&amp;""="","coach: –",PROPER(INDEX('Reguler Class Availability'!$I:$I,M34)&amp;""))&amp;IF(INDEX('Reguler Class Availability'!$J:$J,M34)&amp;""="","",CHAR(10)&amp;"asst: "&amp;PROPER(INDEX('Reguler Class Availability'!$J:$J,M34)&amp;""))))</f>
        <v>Tiny  0/0
coach: –</v>
      </c>
      <c r="F34" s="40" t="str">
        <f aca="false">IF(N34="","",IF(V34="Tidak dibuka","–",IF(INDEX('Reguler Class Availability'!$B:$B,N34)&amp;""="","Kosong",PROPER(INDEX('Reguler Class Availability'!$B:$B,N34)&amp;""))&amp;"  "&amp;IFERROR(--(INDEX('Reguler Class Availability'!$G:$G,N34)&amp;""),0)&amp;"/"&amp;IFERROR(--(INDEX('Reguler Class Availability'!$F:$F,N34)&amp;""),0)&amp;IF(IFERROR(--(INDEX('Reguler Class Availability'!$F:$F,N34)&amp;""),0)&gt;0,"  ("&amp;TEXT(IFERROR(--(INDEX('Reguler Class Availability'!$G:$G,N34)&amp;""),0)/IFERROR(--(INDEX('Reguler Class Availability'!$F:$F,N34)&amp;""),0),"0%")&amp;")","")&amp;CHAR(10)&amp;IF(INDEX('Reguler Class Availability'!$I:$I,N34)&amp;""="","coach: –",PROPER(INDEX('Reguler Class Availability'!$I:$I,N34)&amp;""))&amp;IF(INDEX('Reguler Class Availability'!$J:$J,N34)&amp;""="","",CHAR(10)&amp;"asst: "&amp;PROPER(INDEX('Reguler Class Availability'!$J:$J,N34)&amp;""))))</f>
        <v>Tiny  0/0
coach: –</v>
      </c>
      <c r="G34" s="40" t="str">
        <f aca="false">IF(O34="","",IF(W34="Tidak dibuka","–",IF(INDEX('Reguler Class Availability'!$B:$B,O34)&amp;""="","Kosong",PROPER(INDEX('Reguler Class Availability'!$B:$B,O34)&amp;""))&amp;"  "&amp;IFERROR(--(INDEX('Reguler Class Availability'!$G:$G,O34)&amp;""),0)&amp;"/"&amp;IFERROR(--(INDEX('Reguler Class Availability'!$F:$F,O34)&amp;""),0)&amp;IF(IFERROR(--(INDEX('Reguler Class Availability'!$F:$F,O34)&amp;""),0)&gt;0,"  ("&amp;TEXT(IFERROR(--(INDEX('Reguler Class Availability'!$G:$G,O34)&amp;""),0)/IFERROR(--(INDEX('Reguler Class Availability'!$F:$F,O34)&amp;""),0),"0%")&amp;")","")&amp;CHAR(10)&amp;IF(INDEX('Reguler Class Availability'!$I:$I,O34)&amp;""="","coach: –",PROPER(INDEX('Reguler Class Availability'!$I:$I,O34)&amp;""))&amp;IF(INDEX('Reguler Class Availability'!$J:$J,O34)&amp;""="","",CHAR(10)&amp;"asst: "&amp;PROPER(INDEX('Reguler Class Availability'!$J:$J,O34)&amp;""))))</f>
        <v>Tiny  0/0
coach: –</v>
      </c>
      <c r="H34" s="40" t="str">
        <f aca="false">IF(P34="","",IF(X34="Tidak dibuka","–",IF(INDEX('Reguler Class Availability'!$B:$B,P34)&amp;""="","Kosong",PROPER(INDEX('Reguler Class Availability'!$B:$B,P34)&amp;""))&amp;"  "&amp;IFERROR(--(INDEX('Reguler Class Availability'!$G:$G,P34)&amp;""),0)&amp;"/"&amp;IFERROR(--(INDEX('Reguler Class Availability'!$F:$F,P34)&amp;""),0)&amp;IF(IFERROR(--(INDEX('Reguler Class Availability'!$F:$F,P34)&amp;""),0)&gt;0,"  ("&amp;TEXT(IFERROR(--(INDEX('Reguler Class Availability'!$G:$G,P34)&amp;""),0)/IFERROR(--(INDEX('Reguler Class Availability'!$F:$F,P34)&amp;""),0),"0%")&amp;")","")&amp;CHAR(10)&amp;IF(INDEX('Reguler Class Availability'!$I:$I,P34)&amp;""="","coach: –",PROPER(INDEX('Reguler Class Availability'!$I:$I,P34)&amp;""))&amp;IF(INDEX('Reguler Class Availability'!$J:$J,P34)&amp;""="","",CHAR(10)&amp;"asst: "&amp;PROPER(INDEX('Reguler Class Availability'!$J:$J,P34)&amp;""))))</f>
        <v>Tiny  0/0
coach: –</v>
      </c>
      <c r="J34" s="4" t="n">
        <f aca="false">IF($A34="","",IFERROR(MATCH($B$4&amp;"|- Lane 2 - "&amp;B$33&amp;"|"&amp;$A34,'Reguler Class Availability'!$L:$L,0),""))</f>
        <v>100</v>
      </c>
      <c r="K34" s="4" t="n">
        <f aca="false">IF($A34="","",IFERROR(MATCH($B$4&amp;"|- Lane 2 - "&amp;C$33&amp;"|"&amp;$A34,'Reguler Class Availability'!$L:$L,0),""))</f>
        <v>112</v>
      </c>
      <c r="L34" s="4" t="n">
        <f aca="false">IF($A34="","",IFERROR(MATCH($B$4&amp;"|- Lane 2 - "&amp;D$33&amp;"|"&amp;$A34,'Reguler Class Availability'!$L:$L,0),""))</f>
        <v>124</v>
      </c>
      <c r="M34" s="4" t="n">
        <f aca="false">IF($A34="","",IFERROR(MATCH($B$4&amp;"|- Lane 2 - "&amp;E$33&amp;"|"&amp;$A34,'Reguler Class Availability'!$L:$L,0),""))</f>
        <v>136</v>
      </c>
      <c r="N34" s="4" t="n">
        <f aca="false">IF($A34="","",IFERROR(MATCH($B$4&amp;"|- Lane 2 - "&amp;F$33&amp;"|"&amp;$A34,'Reguler Class Availability'!$L:$L,0),""))</f>
        <v>148</v>
      </c>
      <c r="O34" s="4" t="n">
        <f aca="false">IF($A34="","",IFERROR(MATCH($B$4&amp;"|- Lane 2 - "&amp;G$33&amp;"|"&amp;$A34,'Reguler Class Availability'!$L:$L,0),""))</f>
        <v>160</v>
      </c>
      <c r="P34" s="4" t="n">
        <f aca="false">IF($A34="","",IFERROR(MATCH($B$4&amp;"|- Lane 2 - "&amp;H$33&amp;"|"&amp;$A34,'Reguler Class Availability'!$L:$L,0),""))</f>
        <v>172</v>
      </c>
      <c r="R34" s="0" t="str">
        <f aca="false">IF(J34="","",IF(AND(IFERROR(--(INDEX('Reguler Class Availability'!$F:$F,J34)&amp;""),0)=0,IFERROR(--(INDEX('Reguler Class Availability'!$G:$G,J34)&amp;""),0)=0),IF(OR(INDEX('Reguler Class Availability'!$B:$B,J34)&amp;""&lt;&gt;"",INDEX('Reguler Class Availability'!$I:$I,J34)&amp;""&lt;&gt;""),"Tutup","Tidak dibuka"),IF(IFERROR(--(INDEX('Reguler Class Availability'!$G:$G,J34)&amp;""),0)&gt;IFERROR(--(INDEX('Reguler Class Availability'!$F:$F,J34)&amp;""),0),"Lebih",IF(IFERROR(--(INDEX('Reguler Class Availability'!$G:$G,J34)&amp;""),0)=IFERROR(--(INDEX('Reguler Class Availability'!$F:$F,J34)&amp;""),0),"Penuh",IF(IFERROR(--(INDEX('Reguler Class Availability'!$G:$G,J34)&amp;""),0)=0,IF(INDEX('Reguler Class Availability'!$B:$B,J34)&amp;""="","Kosong","Belum terisi"),IF(IFERROR(--(INDEX('Reguler Class Availability'!$G:$G,J34)&amp;""),0)/IFERROR(--(INDEX('Reguler Class Availability'!$F:$F,J34)&amp;""),0)&gt;=0.6,"Tinggi","Sebagian"))))))</f>
        <v>Tutup</v>
      </c>
      <c r="S34" s="0" t="str">
        <f aca="false">IF(K34="","",IF(AND(IFERROR(--(INDEX('Reguler Class Availability'!$F:$F,K34)&amp;""),0)=0,IFERROR(--(INDEX('Reguler Class Availability'!$G:$G,K34)&amp;""),0)=0),IF(OR(INDEX('Reguler Class Availability'!$B:$B,K34)&amp;""&lt;&gt;"",INDEX('Reguler Class Availability'!$I:$I,K34)&amp;""&lt;&gt;""),"Tutup","Tidak dibuka"),IF(IFERROR(--(INDEX('Reguler Class Availability'!$G:$G,K34)&amp;""),0)&gt;IFERROR(--(INDEX('Reguler Class Availability'!$F:$F,K34)&amp;""),0),"Lebih",IF(IFERROR(--(INDEX('Reguler Class Availability'!$G:$G,K34)&amp;""),0)=IFERROR(--(INDEX('Reguler Class Availability'!$F:$F,K34)&amp;""),0),"Penuh",IF(IFERROR(--(INDEX('Reguler Class Availability'!$G:$G,K34)&amp;""),0)=0,IF(INDEX('Reguler Class Availability'!$B:$B,K34)&amp;""="","Kosong","Belum terisi"),IF(IFERROR(--(INDEX('Reguler Class Availability'!$G:$G,K34)&amp;""),0)/IFERROR(--(INDEX('Reguler Class Availability'!$F:$F,K34)&amp;""),0)&gt;=0.6,"Tinggi","Sebagian"))))))</f>
        <v>Tutup</v>
      </c>
      <c r="T34" s="0" t="str">
        <f aca="false">IF(L34="","",IF(AND(IFERROR(--(INDEX('Reguler Class Availability'!$F:$F,L34)&amp;""),0)=0,IFERROR(--(INDEX('Reguler Class Availability'!$G:$G,L34)&amp;""),0)=0),IF(OR(INDEX('Reguler Class Availability'!$B:$B,L34)&amp;""&lt;&gt;"",INDEX('Reguler Class Availability'!$I:$I,L34)&amp;""&lt;&gt;""),"Tutup","Tidak dibuka"),IF(IFERROR(--(INDEX('Reguler Class Availability'!$G:$G,L34)&amp;""),0)&gt;IFERROR(--(INDEX('Reguler Class Availability'!$F:$F,L34)&amp;""),0),"Lebih",IF(IFERROR(--(INDEX('Reguler Class Availability'!$G:$G,L34)&amp;""),0)=IFERROR(--(INDEX('Reguler Class Availability'!$F:$F,L34)&amp;""),0),"Penuh",IF(IFERROR(--(INDEX('Reguler Class Availability'!$G:$G,L34)&amp;""),0)=0,IF(INDEX('Reguler Class Availability'!$B:$B,L34)&amp;""="","Kosong","Belum terisi"),IF(IFERROR(--(INDEX('Reguler Class Availability'!$G:$G,L34)&amp;""),0)/IFERROR(--(INDEX('Reguler Class Availability'!$F:$F,L34)&amp;""),0)&gt;=0.6,"Tinggi","Sebagian"))))))</f>
        <v>Tutup</v>
      </c>
      <c r="U34" s="0" t="str">
        <f aca="false">IF(M34="","",IF(AND(IFERROR(--(INDEX('Reguler Class Availability'!$F:$F,M34)&amp;""),0)=0,IFERROR(--(INDEX('Reguler Class Availability'!$G:$G,M34)&amp;""),0)=0),IF(OR(INDEX('Reguler Class Availability'!$B:$B,M34)&amp;""&lt;&gt;"",INDEX('Reguler Class Availability'!$I:$I,M34)&amp;""&lt;&gt;""),"Tutup","Tidak dibuka"),IF(IFERROR(--(INDEX('Reguler Class Availability'!$G:$G,M34)&amp;""),0)&gt;IFERROR(--(INDEX('Reguler Class Availability'!$F:$F,M34)&amp;""),0),"Lebih",IF(IFERROR(--(INDEX('Reguler Class Availability'!$G:$G,M34)&amp;""),0)=IFERROR(--(INDEX('Reguler Class Availability'!$F:$F,M34)&amp;""),0),"Penuh",IF(IFERROR(--(INDEX('Reguler Class Availability'!$G:$G,M34)&amp;""),0)=0,IF(INDEX('Reguler Class Availability'!$B:$B,M34)&amp;""="","Kosong","Belum terisi"),IF(IFERROR(--(INDEX('Reguler Class Availability'!$G:$G,M34)&amp;""),0)/IFERROR(--(INDEX('Reguler Class Availability'!$F:$F,M34)&amp;""),0)&gt;=0.6,"Tinggi","Sebagian"))))))</f>
        <v>Tutup</v>
      </c>
      <c r="V34" s="0" t="str">
        <f aca="false">IF(N34="","",IF(AND(IFERROR(--(INDEX('Reguler Class Availability'!$F:$F,N34)&amp;""),0)=0,IFERROR(--(INDEX('Reguler Class Availability'!$G:$G,N34)&amp;""),0)=0),IF(OR(INDEX('Reguler Class Availability'!$B:$B,N34)&amp;""&lt;&gt;"",INDEX('Reguler Class Availability'!$I:$I,N34)&amp;""&lt;&gt;""),"Tutup","Tidak dibuka"),IF(IFERROR(--(INDEX('Reguler Class Availability'!$G:$G,N34)&amp;""),0)&gt;IFERROR(--(INDEX('Reguler Class Availability'!$F:$F,N34)&amp;""),0),"Lebih",IF(IFERROR(--(INDEX('Reguler Class Availability'!$G:$G,N34)&amp;""),0)=IFERROR(--(INDEX('Reguler Class Availability'!$F:$F,N34)&amp;""),0),"Penuh",IF(IFERROR(--(INDEX('Reguler Class Availability'!$G:$G,N34)&amp;""),0)=0,IF(INDEX('Reguler Class Availability'!$B:$B,N34)&amp;""="","Kosong","Belum terisi"),IF(IFERROR(--(INDEX('Reguler Class Availability'!$G:$G,N34)&amp;""),0)/IFERROR(--(INDEX('Reguler Class Availability'!$F:$F,N34)&amp;""),0)&gt;=0.6,"Tinggi","Sebagian"))))))</f>
        <v>Tutup</v>
      </c>
      <c r="W34" s="0" t="str">
        <f aca="false">IF(O34="","",IF(AND(IFERROR(--(INDEX('Reguler Class Availability'!$F:$F,O34)&amp;""),0)=0,IFERROR(--(INDEX('Reguler Class Availability'!$G:$G,O34)&amp;""),0)=0),IF(OR(INDEX('Reguler Class Availability'!$B:$B,O34)&amp;""&lt;&gt;"",INDEX('Reguler Class Availability'!$I:$I,O34)&amp;""&lt;&gt;""),"Tutup","Tidak dibuka"),IF(IFERROR(--(INDEX('Reguler Class Availability'!$G:$G,O34)&amp;""),0)&gt;IFERROR(--(INDEX('Reguler Class Availability'!$F:$F,O34)&amp;""),0),"Lebih",IF(IFERROR(--(INDEX('Reguler Class Availability'!$G:$G,O34)&amp;""),0)=IFERROR(--(INDEX('Reguler Class Availability'!$F:$F,O34)&amp;""),0),"Penuh",IF(IFERROR(--(INDEX('Reguler Class Availability'!$G:$G,O34)&amp;""),0)=0,IF(INDEX('Reguler Class Availability'!$B:$B,O34)&amp;""="","Kosong","Belum terisi"),IF(IFERROR(--(INDEX('Reguler Class Availability'!$G:$G,O34)&amp;""),0)/IFERROR(--(INDEX('Reguler Class Availability'!$F:$F,O34)&amp;""),0)&gt;=0.6,"Tinggi","Sebagian"))))))</f>
        <v>Tutup</v>
      </c>
      <c r="X34" s="0" t="str">
        <f aca="false">IF(P34="","",IF(AND(IFERROR(--(INDEX('Reguler Class Availability'!$F:$F,P34)&amp;""),0)=0,IFERROR(--(INDEX('Reguler Class Availability'!$G:$G,P34)&amp;""),0)=0),IF(OR(INDEX('Reguler Class Availability'!$B:$B,P34)&amp;""&lt;&gt;"",INDEX('Reguler Class Availability'!$I:$I,P34)&amp;""&lt;&gt;""),"Tutup","Tidak dibuka"),IF(IFERROR(--(INDEX('Reguler Class Availability'!$G:$G,P34)&amp;""),0)&gt;IFERROR(--(INDEX('Reguler Class Availability'!$F:$F,P34)&amp;""),0),"Lebih",IF(IFERROR(--(INDEX('Reguler Class Availability'!$G:$G,P34)&amp;""),0)=IFERROR(--(INDEX('Reguler Class Availability'!$F:$F,P34)&amp;""),0),"Penuh",IF(IFERROR(--(INDEX('Reguler Class Availability'!$G:$G,P34)&amp;""),0)=0,IF(INDEX('Reguler Class Availability'!$B:$B,P34)&amp;""="","Kosong","Belum terisi"),IF(IFERROR(--(INDEX('Reguler Class Availability'!$G:$G,P34)&amp;""),0)/IFERROR(--(INDEX('Reguler Class Availability'!$F:$F,P34)&amp;""),0)&gt;=0.6,"Tinggi","Sebagian"))))))</f>
        <v>Tutup</v>
      </c>
      <c r="Z34" s="4" t="s">
        <v>69</v>
      </c>
      <c r="AA34" s="4" t="n">
        <f aca="false">IF(COUNTIFS('Reguler Class Availability'!$L:$L,$B$4&amp;"|- Lane 1 - *|"&amp;Z34)&gt;0,1,0)</f>
        <v>0</v>
      </c>
      <c r="AB34" s="4" t="n">
        <f aca="false">AA34+AB33</f>
        <v>8</v>
      </c>
    </row>
    <row r="35" customFormat="false" ht="39.75" hidden="false" customHeight="true" outlineLevel="0" collapsed="false">
      <c r="A35" s="39" t="str">
        <f aca="false">IFERROR(INDEX($Z$62:$Z$121,MATCH(2,$AB$62:$AB$121,0)),"")</f>
        <v>09:00</v>
      </c>
      <c r="B35" s="40" t="str">
        <f aca="false">IF(J35="","",IF(R35="Tidak dibuka","–",IF(INDEX('Reguler Class Availability'!$B:$B,J35)&amp;""="","Kosong",PROPER(INDEX('Reguler Class Availability'!$B:$B,J35)&amp;""))&amp;"  "&amp;IFERROR(--(INDEX('Reguler Class Availability'!$G:$G,J35)&amp;""),0)&amp;"/"&amp;IFERROR(--(INDEX('Reguler Class Availability'!$F:$F,J35)&amp;""),0)&amp;IF(IFERROR(--(INDEX('Reguler Class Availability'!$F:$F,J35)&amp;""),0)&gt;0,"  ("&amp;TEXT(IFERROR(--(INDEX('Reguler Class Availability'!$G:$G,J35)&amp;""),0)/IFERROR(--(INDEX('Reguler Class Availability'!$F:$F,J35)&amp;""),0),"0%")&amp;")","")&amp;CHAR(10)&amp;IF(INDEX('Reguler Class Availability'!$I:$I,J35)&amp;""="","coach: –",PROPER(INDEX('Reguler Class Availability'!$I:$I,J35)&amp;""))&amp;IF(INDEX('Reguler Class Availability'!$J:$J,J35)&amp;""="","",CHAR(10)&amp;"asst: "&amp;PROPER(INDEX('Reguler Class Availability'!$J:$J,J35)&amp;""))))</f>
        <v>Tiny  3/5  (60%)
Zidane</v>
      </c>
      <c r="C35" s="40" t="str">
        <f aca="false">IF(K35="","",IF(S35="Tidak dibuka","–",IF(INDEX('Reguler Class Availability'!$B:$B,K35)&amp;""="","Kosong",PROPER(INDEX('Reguler Class Availability'!$B:$B,K35)&amp;""))&amp;"  "&amp;IFERROR(--(INDEX('Reguler Class Availability'!$G:$G,K35)&amp;""),0)&amp;"/"&amp;IFERROR(--(INDEX('Reguler Class Availability'!$F:$F,K35)&amp;""),0)&amp;IF(IFERROR(--(INDEX('Reguler Class Availability'!$F:$F,K35)&amp;""),0)&gt;0,"  ("&amp;TEXT(IFERROR(--(INDEX('Reguler Class Availability'!$G:$G,K35)&amp;""),0)/IFERROR(--(INDEX('Reguler Class Availability'!$F:$F,K35)&amp;""),0),"0%")&amp;")","")&amp;CHAR(10)&amp;IF(INDEX('Reguler Class Availability'!$I:$I,K35)&amp;""="","coach: –",PROPER(INDEX('Reguler Class Availability'!$I:$I,K35)&amp;""))&amp;IF(INDEX('Reguler Class Availability'!$J:$J,K35)&amp;""="","",CHAR(10)&amp;"asst: "&amp;PROPER(INDEX('Reguler Class Availability'!$J:$J,K35)&amp;""))))</f>
        <v>Tiny  5/5  (100%)
Zidane</v>
      </c>
      <c r="D35" s="40" t="str">
        <f aca="false">IF(L35="","",IF(T35="Tidak dibuka","–",IF(INDEX('Reguler Class Availability'!$B:$B,L35)&amp;""="","Kosong",PROPER(INDEX('Reguler Class Availability'!$B:$B,L35)&amp;""))&amp;"  "&amp;IFERROR(--(INDEX('Reguler Class Availability'!$G:$G,L35)&amp;""),0)&amp;"/"&amp;IFERROR(--(INDEX('Reguler Class Availability'!$F:$F,L35)&amp;""),0)&amp;IF(IFERROR(--(INDEX('Reguler Class Availability'!$F:$F,L35)&amp;""),0)&gt;0,"  ("&amp;TEXT(IFERROR(--(INDEX('Reguler Class Availability'!$G:$G,L35)&amp;""),0)/IFERROR(--(INDEX('Reguler Class Availability'!$F:$F,L35)&amp;""),0),"0%")&amp;")","")&amp;CHAR(10)&amp;IF(INDEX('Reguler Class Availability'!$I:$I,L35)&amp;""="","coach: –",PROPER(INDEX('Reguler Class Availability'!$I:$I,L35)&amp;""))&amp;IF(INDEX('Reguler Class Availability'!$J:$J,L35)&amp;""="","",CHAR(10)&amp;"asst: "&amp;PROPER(INDEX('Reguler Class Availability'!$J:$J,L35)&amp;""))))</f>
        <v>Tiny  4/5  (80%)
Eka</v>
      </c>
      <c r="E35" s="40" t="str">
        <f aca="false">IF(M35="","",IF(U35="Tidak dibuka","–",IF(INDEX('Reguler Class Availability'!$B:$B,M35)&amp;""="","Kosong",PROPER(INDEX('Reguler Class Availability'!$B:$B,M35)&amp;""))&amp;"  "&amp;IFERROR(--(INDEX('Reguler Class Availability'!$G:$G,M35)&amp;""),0)&amp;"/"&amp;IFERROR(--(INDEX('Reguler Class Availability'!$F:$F,M35)&amp;""),0)&amp;IF(IFERROR(--(INDEX('Reguler Class Availability'!$F:$F,M35)&amp;""),0)&gt;0,"  ("&amp;TEXT(IFERROR(--(INDEX('Reguler Class Availability'!$G:$G,M35)&amp;""),0)/IFERROR(--(INDEX('Reguler Class Availability'!$F:$F,M35)&amp;""),0),"0%")&amp;")","")&amp;CHAR(10)&amp;IF(INDEX('Reguler Class Availability'!$I:$I,M35)&amp;""="","coach: –",PROPER(INDEX('Reguler Class Availability'!$I:$I,M35)&amp;""))&amp;IF(INDEX('Reguler Class Availability'!$J:$J,M35)&amp;""="","",CHAR(10)&amp;"asst: "&amp;PROPER(INDEX('Reguler Class Availability'!$J:$J,M35)&amp;""))))</f>
        <v>Tiny  0/5  (0%)
coach: –</v>
      </c>
      <c r="F35" s="40" t="str">
        <f aca="false">IF(N35="","",IF(V35="Tidak dibuka","–",IF(INDEX('Reguler Class Availability'!$B:$B,N35)&amp;""="","Kosong",PROPER(INDEX('Reguler Class Availability'!$B:$B,N35)&amp;""))&amp;"  "&amp;IFERROR(--(INDEX('Reguler Class Availability'!$G:$G,N35)&amp;""),0)&amp;"/"&amp;IFERROR(--(INDEX('Reguler Class Availability'!$F:$F,N35)&amp;""),0)&amp;IF(IFERROR(--(INDEX('Reguler Class Availability'!$F:$F,N35)&amp;""),0)&gt;0,"  ("&amp;TEXT(IFERROR(--(INDEX('Reguler Class Availability'!$G:$G,N35)&amp;""),0)/IFERROR(--(INDEX('Reguler Class Availability'!$F:$F,N35)&amp;""),0),"0%")&amp;")","")&amp;CHAR(10)&amp;IF(INDEX('Reguler Class Availability'!$I:$I,N35)&amp;""="","coach: –",PROPER(INDEX('Reguler Class Availability'!$I:$I,N35)&amp;""))&amp;IF(INDEX('Reguler Class Availability'!$J:$J,N35)&amp;""="","",CHAR(10)&amp;"asst: "&amp;PROPER(INDEX('Reguler Class Availability'!$J:$J,N35)&amp;""))))</f>
        <v>Tiny  2/5  (40%)
Gita</v>
      </c>
      <c r="G35" s="40" t="str">
        <f aca="false">IF(O35="","",IF(W35="Tidak dibuka","–",IF(INDEX('Reguler Class Availability'!$B:$B,O35)&amp;""="","Kosong",PROPER(INDEX('Reguler Class Availability'!$B:$B,O35)&amp;""))&amp;"  "&amp;IFERROR(--(INDEX('Reguler Class Availability'!$G:$G,O35)&amp;""),0)&amp;"/"&amp;IFERROR(--(INDEX('Reguler Class Availability'!$F:$F,O35)&amp;""),0)&amp;IF(IFERROR(--(INDEX('Reguler Class Availability'!$F:$F,O35)&amp;""),0)&gt;0,"  ("&amp;TEXT(IFERROR(--(INDEX('Reguler Class Availability'!$G:$G,O35)&amp;""),0)/IFERROR(--(INDEX('Reguler Class Availability'!$F:$F,O35)&amp;""),0),"0%")&amp;")","")&amp;CHAR(10)&amp;IF(INDEX('Reguler Class Availability'!$I:$I,O35)&amp;""="","coach: –",PROPER(INDEX('Reguler Class Availability'!$I:$I,O35)&amp;""))&amp;IF(INDEX('Reguler Class Availability'!$J:$J,O35)&amp;""="","",CHAR(10)&amp;"asst: "&amp;PROPER(INDEX('Reguler Class Availability'!$J:$J,O35)&amp;""))))</f>
        <v>Tiny  5/5  (100%)
Rischa</v>
      </c>
      <c r="H35" s="40" t="str">
        <f aca="false">IF(P35="","",IF(X35="Tidak dibuka","–",IF(INDEX('Reguler Class Availability'!$B:$B,P35)&amp;""="","Kosong",PROPER(INDEX('Reguler Class Availability'!$B:$B,P35)&amp;""))&amp;"  "&amp;IFERROR(--(INDEX('Reguler Class Availability'!$G:$G,P35)&amp;""),0)&amp;"/"&amp;IFERROR(--(INDEX('Reguler Class Availability'!$F:$F,P35)&amp;""),0)&amp;IF(IFERROR(--(INDEX('Reguler Class Availability'!$F:$F,P35)&amp;""),0)&gt;0,"  ("&amp;TEXT(IFERROR(--(INDEX('Reguler Class Availability'!$G:$G,P35)&amp;""),0)/IFERROR(--(INDEX('Reguler Class Availability'!$F:$F,P35)&amp;""),0),"0%")&amp;")","")&amp;CHAR(10)&amp;IF(INDEX('Reguler Class Availability'!$I:$I,P35)&amp;""="","coach: –",PROPER(INDEX('Reguler Class Availability'!$I:$I,P35)&amp;""))&amp;IF(INDEX('Reguler Class Availability'!$J:$J,P35)&amp;""="","",CHAR(10)&amp;"asst: "&amp;PROPER(INDEX('Reguler Class Availability'!$J:$J,P35)&amp;""))))</f>
        <v>Tiny  5/5  (100%)
Danti</v>
      </c>
      <c r="J35" s="4" t="n">
        <f aca="false">IF($A35="","",IFERROR(MATCH($B$4&amp;"|- Lane 2 - "&amp;B$33&amp;"|"&amp;$A35,'Reguler Class Availability'!$L:$L,0),""))</f>
        <v>101</v>
      </c>
      <c r="K35" s="4" t="n">
        <f aca="false">IF($A35="","",IFERROR(MATCH($B$4&amp;"|- Lane 2 - "&amp;C$33&amp;"|"&amp;$A35,'Reguler Class Availability'!$L:$L,0),""))</f>
        <v>113</v>
      </c>
      <c r="L35" s="4" t="n">
        <f aca="false">IF($A35="","",IFERROR(MATCH($B$4&amp;"|- Lane 2 - "&amp;D$33&amp;"|"&amp;$A35,'Reguler Class Availability'!$L:$L,0),""))</f>
        <v>125</v>
      </c>
      <c r="M35" s="4" t="n">
        <f aca="false">IF($A35="","",IFERROR(MATCH($B$4&amp;"|- Lane 2 - "&amp;E$33&amp;"|"&amp;$A35,'Reguler Class Availability'!$L:$L,0),""))</f>
        <v>137</v>
      </c>
      <c r="N35" s="4" t="n">
        <f aca="false">IF($A35="","",IFERROR(MATCH($B$4&amp;"|- Lane 2 - "&amp;F$33&amp;"|"&amp;$A35,'Reguler Class Availability'!$L:$L,0),""))</f>
        <v>149</v>
      </c>
      <c r="O35" s="4" t="n">
        <f aca="false">IF($A35="","",IFERROR(MATCH($B$4&amp;"|- Lane 2 - "&amp;G$33&amp;"|"&amp;$A35,'Reguler Class Availability'!$L:$L,0),""))</f>
        <v>161</v>
      </c>
      <c r="P35" s="4" t="n">
        <f aca="false">IF($A35="","",IFERROR(MATCH($B$4&amp;"|- Lane 2 - "&amp;H$33&amp;"|"&amp;$A35,'Reguler Class Availability'!$L:$L,0),""))</f>
        <v>173</v>
      </c>
      <c r="R35" s="0" t="str">
        <f aca="false">IF(J35="","",IF(AND(IFERROR(--(INDEX('Reguler Class Availability'!$F:$F,J35)&amp;""),0)=0,IFERROR(--(INDEX('Reguler Class Availability'!$G:$G,J35)&amp;""),0)=0),IF(OR(INDEX('Reguler Class Availability'!$B:$B,J35)&amp;""&lt;&gt;"",INDEX('Reguler Class Availability'!$I:$I,J35)&amp;""&lt;&gt;""),"Tutup","Tidak dibuka"),IF(IFERROR(--(INDEX('Reguler Class Availability'!$G:$G,J35)&amp;""),0)&gt;IFERROR(--(INDEX('Reguler Class Availability'!$F:$F,J35)&amp;""),0),"Lebih",IF(IFERROR(--(INDEX('Reguler Class Availability'!$G:$G,J35)&amp;""),0)=IFERROR(--(INDEX('Reguler Class Availability'!$F:$F,J35)&amp;""),0),"Penuh",IF(IFERROR(--(INDEX('Reguler Class Availability'!$G:$G,J35)&amp;""),0)=0,IF(INDEX('Reguler Class Availability'!$B:$B,J35)&amp;""="","Kosong","Belum terisi"),IF(IFERROR(--(INDEX('Reguler Class Availability'!$G:$G,J35)&amp;""),0)/IFERROR(--(INDEX('Reguler Class Availability'!$F:$F,J35)&amp;""),0)&gt;=0.6,"Tinggi","Sebagian"))))))</f>
        <v>Tinggi</v>
      </c>
      <c r="S35" s="0" t="str">
        <f aca="false">IF(K35="","",IF(AND(IFERROR(--(INDEX('Reguler Class Availability'!$F:$F,K35)&amp;""),0)=0,IFERROR(--(INDEX('Reguler Class Availability'!$G:$G,K35)&amp;""),0)=0),IF(OR(INDEX('Reguler Class Availability'!$B:$B,K35)&amp;""&lt;&gt;"",INDEX('Reguler Class Availability'!$I:$I,K35)&amp;""&lt;&gt;""),"Tutup","Tidak dibuka"),IF(IFERROR(--(INDEX('Reguler Class Availability'!$G:$G,K35)&amp;""),0)&gt;IFERROR(--(INDEX('Reguler Class Availability'!$F:$F,K35)&amp;""),0),"Lebih",IF(IFERROR(--(INDEX('Reguler Class Availability'!$G:$G,K35)&amp;""),0)=IFERROR(--(INDEX('Reguler Class Availability'!$F:$F,K35)&amp;""),0),"Penuh",IF(IFERROR(--(INDEX('Reguler Class Availability'!$G:$G,K35)&amp;""),0)=0,IF(INDEX('Reguler Class Availability'!$B:$B,K35)&amp;""="","Kosong","Belum terisi"),IF(IFERROR(--(INDEX('Reguler Class Availability'!$G:$G,K35)&amp;""),0)/IFERROR(--(INDEX('Reguler Class Availability'!$F:$F,K35)&amp;""),0)&gt;=0.6,"Tinggi","Sebagian"))))))</f>
        <v>Penuh</v>
      </c>
      <c r="T35" s="0" t="str">
        <f aca="false">IF(L35="","",IF(AND(IFERROR(--(INDEX('Reguler Class Availability'!$F:$F,L35)&amp;""),0)=0,IFERROR(--(INDEX('Reguler Class Availability'!$G:$G,L35)&amp;""),0)=0),IF(OR(INDEX('Reguler Class Availability'!$B:$B,L35)&amp;""&lt;&gt;"",INDEX('Reguler Class Availability'!$I:$I,L35)&amp;""&lt;&gt;""),"Tutup","Tidak dibuka"),IF(IFERROR(--(INDEX('Reguler Class Availability'!$G:$G,L35)&amp;""),0)&gt;IFERROR(--(INDEX('Reguler Class Availability'!$F:$F,L35)&amp;""),0),"Lebih",IF(IFERROR(--(INDEX('Reguler Class Availability'!$G:$G,L35)&amp;""),0)=IFERROR(--(INDEX('Reguler Class Availability'!$F:$F,L35)&amp;""),0),"Penuh",IF(IFERROR(--(INDEX('Reguler Class Availability'!$G:$G,L35)&amp;""),0)=0,IF(INDEX('Reguler Class Availability'!$B:$B,L35)&amp;""="","Kosong","Belum terisi"),IF(IFERROR(--(INDEX('Reguler Class Availability'!$G:$G,L35)&amp;""),0)/IFERROR(--(INDEX('Reguler Class Availability'!$F:$F,L35)&amp;""),0)&gt;=0.6,"Tinggi","Sebagian"))))))</f>
        <v>Tinggi</v>
      </c>
      <c r="U35" s="0" t="str">
        <f aca="false">IF(M35="","",IF(AND(IFERROR(--(INDEX('Reguler Class Availability'!$F:$F,M35)&amp;""),0)=0,IFERROR(--(INDEX('Reguler Class Availability'!$G:$G,M35)&amp;""),0)=0),IF(OR(INDEX('Reguler Class Availability'!$B:$B,M35)&amp;""&lt;&gt;"",INDEX('Reguler Class Availability'!$I:$I,M35)&amp;""&lt;&gt;""),"Tutup","Tidak dibuka"),IF(IFERROR(--(INDEX('Reguler Class Availability'!$G:$G,M35)&amp;""),0)&gt;IFERROR(--(INDEX('Reguler Class Availability'!$F:$F,M35)&amp;""),0),"Lebih",IF(IFERROR(--(INDEX('Reguler Class Availability'!$G:$G,M35)&amp;""),0)=IFERROR(--(INDEX('Reguler Class Availability'!$F:$F,M35)&amp;""),0),"Penuh",IF(IFERROR(--(INDEX('Reguler Class Availability'!$G:$G,M35)&amp;""),0)=0,IF(INDEX('Reguler Class Availability'!$B:$B,M35)&amp;""="","Kosong","Belum terisi"),IF(IFERROR(--(INDEX('Reguler Class Availability'!$G:$G,M35)&amp;""),0)/IFERROR(--(INDEX('Reguler Class Availability'!$F:$F,M35)&amp;""),0)&gt;=0.6,"Tinggi","Sebagian"))))))</f>
        <v>Belum terisi</v>
      </c>
      <c r="V35" s="0" t="str">
        <f aca="false">IF(N35="","",IF(AND(IFERROR(--(INDEX('Reguler Class Availability'!$F:$F,N35)&amp;""),0)=0,IFERROR(--(INDEX('Reguler Class Availability'!$G:$G,N35)&amp;""),0)=0),IF(OR(INDEX('Reguler Class Availability'!$B:$B,N35)&amp;""&lt;&gt;"",INDEX('Reguler Class Availability'!$I:$I,N35)&amp;""&lt;&gt;""),"Tutup","Tidak dibuka"),IF(IFERROR(--(INDEX('Reguler Class Availability'!$G:$G,N35)&amp;""),0)&gt;IFERROR(--(INDEX('Reguler Class Availability'!$F:$F,N35)&amp;""),0),"Lebih",IF(IFERROR(--(INDEX('Reguler Class Availability'!$G:$G,N35)&amp;""),0)=IFERROR(--(INDEX('Reguler Class Availability'!$F:$F,N35)&amp;""),0),"Penuh",IF(IFERROR(--(INDEX('Reguler Class Availability'!$G:$G,N35)&amp;""),0)=0,IF(INDEX('Reguler Class Availability'!$B:$B,N35)&amp;""="","Kosong","Belum terisi"),IF(IFERROR(--(INDEX('Reguler Class Availability'!$G:$G,N35)&amp;""),0)/IFERROR(--(INDEX('Reguler Class Availability'!$F:$F,N35)&amp;""),0)&gt;=0.6,"Tinggi","Sebagian"))))))</f>
        <v>Sebagian</v>
      </c>
      <c r="W35" s="0" t="str">
        <f aca="false">IF(O35="","",IF(AND(IFERROR(--(INDEX('Reguler Class Availability'!$F:$F,O35)&amp;""),0)=0,IFERROR(--(INDEX('Reguler Class Availability'!$G:$G,O35)&amp;""),0)=0),IF(OR(INDEX('Reguler Class Availability'!$B:$B,O35)&amp;""&lt;&gt;"",INDEX('Reguler Class Availability'!$I:$I,O35)&amp;""&lt;&gt;""),"Tutup","Tidak dibuka"),IF(IFERROR(--(INDEX('Reguler Class Availability'!$G:$G,O35)&amp;""),0)&gt;IFERROR(--(INDEX('Reguler Class Availability'!$F:$F,O35)&amp;""),0),"Lebih",IF(IFERROR(--(INDEX('Reguler Class Availability'!$G:$G,O35)&amp;""),0)=IFERROR(--(INDEX('Reguler Class Availability'!$F:$F,O35)&amp;""),0),"Penuh",IF(IFERROR(--(INDEX('Reguler Class Availability'!$G:$G,O35)&amp;""),0)=0,IF(INDEX('Reguler Class Availability'!$B:$B,O35)&amp;""="","Kosong","Belum terisi"),IF(IFERROR(--(INDEX('Reguler Class Availability'!$G:$G,O35)&amp;""),0)/IFERROR(--(INDEX('Reguler Class Availability'!$F:$F,O35)&amp;""),0)&gt;=0.6,"Tinggi","Sebagian"))))))</f>
        <v>Penuh</v>
      </c>
      <c r="X35" s="0" t="str">
        <f aca="false">IF(P35="","",IF(AND(IFERROR(--(INDEX('Reguler Class Availability'!$F:$F,P35)&amp;""),0)=0,IFERROR(--(INDEX('Reguler Class Availability'!$G:$G,P35)&amp;""),0)=0),IF(OR(INDEX('Reguler Class Availability'!$B:$B,P35)&amp;""&lt;&gt;"",INDEX('Reguler Class Availability'!$I:$I,P35)&amp;""&lt;&gt;""),"Tutup","Tidak dibuka"),IF(IFERROR(--(INDEX('Reguler Class Availability'!$G:$G,P35)&amp;""),0)&gt;IFERROR(--(INDEX('Reguler Class Availability'!$F:$F,P35)&amp;""),0),"Lebih",IF(IFERROR(--(INDEX('Reguler Class Availability'!$G:$G,P35)&amp;""),0)=IFERROR(--(INDEX('Reguler Class Availability'!$F:$F,P35)&amp;""),0),"Penuh",IF(IFERROR(--(INDEX('Reguler Class Availability'!$G:$G,P35)&amp;""),0)=0,IF(INDEX('Reguler Class Availability'!$B:$B,P35)&amp;""="","Kosong","Belum terisi"),IF(IFERROR(--(INDEX('Reguler Class Availability'!$G:$G,P35)&amp;""),0)/IFERROR(--(INDEX('Reguler Class Availability'!$F:$F,P35)&amp;""),0)&gt;=0.6,"Tinggi","Sebagian"))))))</f>
        <v>Penuh</v>
      </c>
      <c r="Z35" s="4" t="s">
        <v>70</v>
      </c>
      <c r="AA35" s="4" t="n">
        <f aca="false">IF(COUNTIFS('Reguler Class Availability'!$L:$L,$B$4&amp;"|- Lane 1 - *|"&amp;Z35)&gt;0,1,0)</f>
        <v>1</v>
      </c>
      <c r="AB35" s="4" t="n">
        <f aca="false">AA35+AB34</f>
        <v>9</v>
      </c>
    </row>
    <row r="36" customFormat="false" ht="39.75" hidden="false" customHeight="true" outlineLevel="0" collapsed="false">
      <c r="A36" s="39" t="str">
        <f aca="false">IFERROR(INDEX($Z$62:$Z$121,MATCH(3,$AB$62:$AB$121,0)),"")</f>
        <v>09:45</v>
      </c>
      <c r="B36" s="40" t="str">
        <f aca="false">IF(J36="","",IF(R36="Tidak dibuka","–",IF(INDEX('Reguler Class Availability'!$B:$B,J36)&amp;""="","Kosong",PROPER(INDEX('Reguler Class Availability'!$B:$B,J36)&amp;""))&amp;"  "&amp;IFERROR(--(INDEX('Reguler Class Availability'!$G:$G,J36)&amp;""),0)&amp;"/"&amp;IFERROR(--(INDEX('Reguler Class Availability'!$F:$F,J36)&amp;""),0)&amp;IF(IFERROR(--(INDEX('Reguler Class Availability'!$F:$F,J36)&amp;""),0)&gt;0,"  ("&amp;TEXT(IFERROR(--(INDEX('Reguler Class Availability'!$G:$G,J36)&amp;""),0)/IFERROR(--(INDEX('Reguler Class Availability'!$F:$F,J36)&amp;""),0),"0%")&amp;")","")&amp;CHAR(10)&amp;IF(INDEX('Reguler Class Availability'!$I:$I,J36)&amp;""="","coach: –",PROPER(INDEX('Reguler Class Availability'!$I:$I,J36)&amp;""))&amp;IF(INDEX('Reguler Class Availability'!$J:$J,J36)&amp;""="","",CHAR(10)&amp;"asst: "&amp;PROPER(INDEX('Reguler Class Availability'!$J:$J,J36)&amp;""))))</f>
        <v>Tiny  3/5  (60%)
Zidane</v>
      </c>
      <c r="C36" s="40" t="str">
        <f aca="false">IF(K36="","",IF(S36="Tidak dibuka","–",IF(INDEX('Reguler Class Availability'!$B:$B,K36)&amp;""="","Kosong",PROPER(INDEX('Reguler Class Availability'!$B:$B,K36)&amp;""))&amp;"  "&amp;IFERROR(--(INDEX('Reguler Class Availability'!$G:$G,K36)&amp;""),0)&amp;"/"&amp;IFERROR(--(INDEX('Reguler Class Availability'!$F:$F,K36)&amp;""),0)&amp;IF(IFERROR(--(INDEX('Reguler Class Availability'!$F:$F,K36)&amp;""),0)&gt;0,"  ("&amp;TEXT(IFERROR(--(INDEX('Reguler Class Availability'!$G:$G,K36)&amp;""),0)/IFERROR(--(INDEX('Reguler Class Availability'!$F:$F,K36)&amp;""),0),"0%")&amp;")","")&amp;CHAR(10)&amp;IF(INDEX('Reguler Class Availability'!$I:$I,K36)&amp;""="","coach: –",PROPER(INDEX('Reguler Class Availability'!$I:$I,K36)&amp;""))&amp;IF(INDEX('Reguler Class Availability'!$J:$J,K36)&amp;""="","",CHAR(10)&amp;"asst: "&amp;PROPER(INDEX('Reguler Class Availability'!$J:$J,K36)&amp;""))))</f>
        <v>Tiny  4/5  (80%)
Rischa</v>
      </c>
      <c r="D36" s="40" t="str">
        <f aca="false">IF(L36="","",IF(T36="Tidak dibuka","–",IF(INDEX('Reguler Class Availability'!$B:$B,L36)&amp;""="","Kosong",PROPER(INDEX('Reguler Class Availability'!$B:$B,L36)&amp;""))&amp;"  "&amp;IFERROR(--(INDEX('Reguler Class Availability'!$G:$G,L36)&amp;""),0)&amp;"/"&amp;IFERROR(--(INDEX('Reguler Class Availability'!$F:$F,L36)&amp;""),0)&amp;IF(IFERROR(--(INDEX('Reguler Class Availability'!$F:$F,L36)&amp;""),0)&gt;0,"  ("&amp;TEXT(IFERROR(--(INDEX('Reguler Class Availability'!$G:$G,L36)&amp;""),0)/IFERROR(--(INDEX('Reguler Class Availability'!$F:$F,L36)&amp;""),0),"0%")&amp;")","")&amp;CHAR(10)&amp;IF(INDEX('Reguler Class Availability'!$I:$I,L36)&amp;""="","coach: –",PROPER(INDEX('Reguler Class Availability'!$I:$I,L36)&amp;""))&amp;IF(INDEX('Reguler Class Availability'!$J:$J,L36)&amp;""="","",CHAR(10)&amp;"asst: "&amp;PROPER(INDEX('Reguler Class Availability'!$J:$J,L36)&amp;""))))</f>
        <v>Tiny  4/5  (80%)
Surya</v>
      </c>
      <c r="E36" s="40" t="str">
        <f aca="false">IF(M36="","",IF(U36="Tidak dibuka","–",IF(INDEX('Reguler Class Availability'!$B:$B,M36)&amp;""="","Kosong",PROPER(INDEX('Reguler Class Availability'!$B:$B,M36)&amp;""))&amp;"  "&amp;IFERROR(--(INDEX('Reguler Class Availability'!$G:$G,M36)&amp;""),0)&amp;"/"&amp;IFERROR(--(INDEX('Reguler Class Availability'!$F:$F,M36)&amp;""),0)&amp;IF(IFERROR(--(INDEX('Reguler Class Availability'!$F:$F,M36)&amp;""),0)&gt;0,"  ("&amp;TEXT(IFERROR(--(INDEX('Reguler Class Availability'!$G:$G,M36)&amp;""),0)/IFERROR(--(INDEX('Reguler Class Availability'!$F:$F,M36)&amp;""),0),"0%")&amp;")","")&amp;CHAR(10)&amp;IF(INDEX('Reguler Class Availability'!$I:$I,M36)&amp;""="","coach: –",PROPER(INDEX('Reguler Class Availability'!$I:$I,M36)&amp;""))&amp;IF(INDEX('Reguler Class Availability'!$J:$J,M36)&amp;""="","",CHAR(10)&amp;"asst: "&amp;PROPER(INDEX('Reguler Class Availability'!$J:$J,M36)&amp;""))))</f>
        <v>Tiny  4/5  (80%)
Eka</v>
      </c>
      <c r="F36" s="40" t="str">
        <f aca="false">IF(N36="","",IF(V36="Tidak dibuka","–",IF(INDEX('Reguler Class Availability'!$B:$B,N36)&amp;""="","Kosong",PROPER(INDEX('Reguler Class Availability'!$B:$B,N36)&amp;""))&amp;"  "&amp;IFERROR(--(INDEX('Reguler Class Availability'!$G:$G,N36)&amp;""),0)&amp;"/"&amp;IFERROR(--(INDEX('Reguler Class Availability'!$F:$F,N36)&amp;""),0)&amp;IF(IFERROR(--(INDEX('Reguler Class Availability'!$F:$F,N36)&amp;""),0)&gt;0,"  ("&amp;TEXT(IFERROR(--(INDEX('Reguler Class Availability'!$G:$G,N36)&amp;""),0)/IFERROR(--(INDEX('Reguler Class Availability'!$F:$F,N36)&amp;""),0),"0%")&amp;")","")&amp;CHAR(10)&amp;IF(INDEX('Reguler Class Availability'!$I:$I,N36)&amp;""="","coach: –",PROPER(INDEX('Reguler Class Availability'!$I:$I,N36)&amp;""))&amp;IF(INDEX('Reguler Class Availability'!$J:$J,N36)&amp;""="","",CHAR(10)&amp;"asst: "&amp;PROPER(INDEX('Reguler Class Availability'!$J:$J,N36)&amp;""))))</f>
        <v>Tiny  5/5  (100%)
Surya</v>
      </c>
      <c r="G36" s="40" t="str">
        <f aca="false">IF(O36="","",IF(W36="Tidak dibuka","–",IF(INDEX('Reguler Class Availability'!$B:$B,O36)&amp;""="","Kosong",PROPER(INDEX('Reguler Class Availability'!$B:$B,O36)&amp;""))&amp;"  "&amp;IFERROR(--(INDEX('Reguler Class Availability'!$G:$G,O36)&amp;""),0)&amp;"/"&amp;IFERROR(--(INDEX('Reguler Class Availability'!$F:$F,O36)&amp;""),0)&amp;IF(IFERROR(--(INDEX('Reguler Class Availability'!$F:$F,O36)&amp;""),0)&gt;0,"  ("&amp;TEXT(IFERROR(--(INDEX('Reguler Class Availability'!$G:$G,O36)&amp;""),0)/IFERROR(--(INDEX('Reguler Class Availability'!$F:$F,O36)&amp;""),0),"0%")&amp;")","")&amp;CHAR(10)&amp;IF(INDEX('Reguler Class Availability'!$I:$I,O36)&amp;""="","coach: –",PROPER(INDEX('Reguler Class Availability'!$I:$I,O36)&amp;""))&amp;IF(INDEX('Reguler Class Availability'!$J:$J,O36)&amp;""="","",CHAR(10)&amp;"asst: "&amp;PROPER(INDEX('Reguler Class Availability'!$J:$J,O36)&amp;""))))</f>
        <v>Tiny  5/5  (100%)
Eka</v>
      </c>
      <c r="H36" s="40" t="str">
        <f aca="false">IF(P36="","",IF(X36="Tidak dibuka","–",IF(INDEX('Reguler Class Availability'!$B:$B,P36)&amp;""="","Kosong",PROPER(INDEX('Reguler Class Availability'!$B:$B,P36)&amp;""))&amp;"  "&amp;IFERROR(--(INDEX('Reguler Class Availability'!$G:$G,P36)&amp;""),0)&amp;"/"&amp;IFERROR(--(INDEX('Reguler Class Availability'!$F:$F,P36)&amp;""),0)&amp;IF(IFERROR(--(INDEX('Reguler Class Availability'!$F:$F,P36)&amp;""),0)&gt;0,"  ("&amp;TEXT(IFERROR(--(INDEX('Reguler Class Availability'!$G:$G,P36)&amp;""),0)/IFERROR(--(INDEX('Reguler Class Availability'!$F:$F,P36)&amp;""),0),"0%")&amp;")","")&amp;CHAR(10)&amp;IF(INDEX('Reguler Class Availability'!$I:$I,P36)&amp;""="","coach: –",PROPER(INDEX('Reguler Class Availability'!$I:$I,P36)&amp;""))&amp;IF(INDEX('Reguler Class Availability'!$J:$J,P36)&amp;""="","",CHAR(10)&amp;"asst: "&amp;PROPER(INDEX('Reguler Class Availability'!$J:$J,P36)&amp;""))))</f>
        <v>Tiny  4/5  (80%)
Rischa</v>
      </c>
      <c r="J36" s="4" t="n">
        <f aca="false">IF($A36="","",IFERROR(MATCH($B$4&amp;"|- Lane 2 - "&amp;B$33&amp;"|"&amp;$A36,'Reguler Class Availability'!$L:$L,0),""))</f>
        <v>102</v>
      </c>
      <c r="K36" s="4" t="n">
        <f aca="false">IF($A36="","",IFERROR(MATCH($B$4&amp;"|- Lane 2 - "&amp;C$33&amp;"|"&amp;$A36,'Reguler Class Availability'!$L:$L,0),""))</f>
        <v>114</v>
      </c>
      <c r="L36" s="4" t="n">
        <f aca="false">IF($A36="","",IFERROR(MATCH($B$4&amp;"|- Lane 2 - "&amp;D$33&amp;"|"&amp;$A36,'Reguler Class Availability'!$L:$L,0),""))</f>
        <v>126</v>
      </c>
      <c r="M36" s="4" t="n">
        <f aca="false">IF($A36="","",IFERROR(MATCH($B$4&amp;"|- Lane 2 - "&amp;E$33&amp;"|"&amp;$A36,'Reguler Class Availability'!$L:$L,0),""))</f>
        <v>138</v>
      </c>
      <c r="N36" s="4" t="n">
        <f aca="false">IF($A36="","",IFERROR(MATCH($B$4&amp;"|- Lane 2 - "&amp;F$33&amp;"|"&amp;$A36,'Reguler Class Availability'!$L:$L,0),""))</f>
        <v>150</v>
      </c>
      <c r="O36" s="4" t="n">
        <f aca="false">IF($A36="","",IFERROR(MATCH($B$4&amp;"|- Lane 2 - "&amp;G$33&amp;"|"&amp;$A36,'Reguler Class Availability'!$L:$L,0),""))</f>
        <v>162</v>
      </c>
      <c r="P36" s="4" t="n">
        <f aca="false">IF($A36="","",IFERROR(MATCH($B$4&amp;"|- Lane 2 - "&amp;H$33&amp;"|"&amp;$A36,'Reguler Class Availability'!$L:$L,0),""))</f>
        <v>174</v>
      </c>
      <c r="R36" s="0" t="str">
        <f aca="false">IF(J36="","",IF(AND(IFERROR(--(INDEX('Reguler Class Availability'!$F:$F,J36)&amp;""),0)=0,IFERROR(--(INDEX('Reguler Class Availability'!$G:$G,J36)&amp;""),0)=0),IF(OR(INDEX('Reguler Class Availability'!$B:$B,J36)&amp;""&lt;&gt;"",INDEX('Reguler Class Availability'!$I:$I,J36)&amp;""&lt;&gt;""),"Tutup","Tidak dibuka"),IF(IFERROR(--(INDEX('Reguler Class Availability'!$G:$G,J36)&amp;""),0)&gt;IFERROR(--(INDEX('Reguler Class Availability'!$F:$F,J36)&amp;""),0),"Lebih",IF(IFERROR(--(INDEX('Reguler Class Availability'!$G:$G,J36)&amp;""),0)=IFERROR(--(INDEX('Reguler Class Availability'!$F:$F,J36)&amp;""),0),"Penuh",IF(IFERROR(--(INDEX('Reguler Class Availability'!$G:$G,J36)&amp;""),0)=0,IF(INDEX('Reguler Class Availability'!$B:$B,J36)&amp;""="","Kosong","Belum terisi"),IF(IFERROR(--(INDEX('Reguler Class Availability'!$G:$G,J36)&amp;""),0)/IFERROR(--(INDEX('Reguler Class Availability'!$F:$F,J36)&amp;""),0)&gt;=0.6,"Tinggi","Sebagian"))))))</f>
        <v>Tinggi</v>
      </c>
      <c r="S36" s="0" t="str">
        <f aca="false">IF(K36="","",IF(AND(IFERROR(--(INDEX('Reguler Class Availability'!$F:$F,K36)&amp;""),0)=0,IFERROR(--(INDEX('Reguler Class Availability'!$G:$G,K36)&amp;""),0)=0),IF(OR(INDEX('Reguler Class Availability'!$B:$B,K36)&amp;""&lt;&gt;"",INDEX('Reguler Class Availability'!$I:$I,K36)&amp;""&lt;&gt;""),"Tutup","Tidak dibuka"),IF(IFERROR(--(INDEX('Reguler Class Availability'!$G:$G,K36)&amp;""),0)&gt;IFERROR(--(INDEX('Reguler Class Availability'!$F:$F,K36)&amp;""),0),"Lebih",IF(IFERROR(--(INDEX('Reguler Class Availability'!$G:$G,K36)&amp;""),0)=IFERROR(--(INDEX('Reguler Class Availability'!$F:$F,K36)&amp;""),0),"Penuh",IF(IFERROR(--(INDEX('Reguler Class Availability'!$G:$G,K36)&amp;""),0)=0,IF(INDEX('Reguler Class Availability'!$B:$B,K36)&amp;""="","Kosong","Belum terisi"),IF(IFERROR(--(INDEX('Reguler Class Availability'!$G:$G,K36)&amp;""),0)/IFERROR(--(INDEX('Reguler Class Availability'!$F:$F,K36)&amp;""),0)&gt;=0.6,"Tinggi","Sebagian"))))))</f>
        <v>Tinggi</v>
      </c>
      <c r="T36" s="0" t="str">
        <f aca="false">IF(L36="","",IF(AND(IFERROR(--(INDEX('Reguler Class Availability'!$F:$F,L36)&amp;""),0)=0,IFERROR(--(INDEX('Reguler Class Availability'!$G:$G,L36)&amp;""),0)=0),IF(OR(INDEX('Reguler Class Availability'!$B:$B,L36)&amp;""&lt;&gt;"",INDEX('Reguler Class Availability'!$I:$I,L36)&amp;""&lt;&gt;""),"Tutup","Tidak dibuka"),IF(IFERROR(--(INDEX('Reguler Class Availability'!$G:$G,L36)&amp;""),0)&gt;IFERROR(--(INDEX('Reguler Class Availability'!$F:$F,L36)&amp;""),0),"Lebih",IF(IFERROR(--(INDEX('Reguler Class Availability'!$G:$G,L36)&amp;""),0)=IFERROR(--(INDEX('Reguler Class Availability'!$F:$F,L36)&amp;""),0),"Penuh",IF(IFERROR(--(INDEX('Reguler Class Availability'!$G:$G,L36)&amp;""),0)=0,IF(INDEX('Reguler Class Availability'!$B:$B,L36)&amp;""="","Kosong","Belum terisi"),IF(IFERROR(--(INDEX('Reguler Class Availability'!$G:$G,L36)&amp;""),0)/IFERROR(--(INDEX('Reguler Class Availability'!$F:$F,L36)&amp;""),0)&gt;=0.6,"Tinggi","Sebagian"))))))</f>
        <v>Tinggi</v>
      </c>
      <c r="U36" s="0" t="str">
        <f aca="false">IF(M36="","",IF(AND(IFERROR(--(INDEX('Reguler Class Availability'!$F:$F,M36)&amp;""),0)=0,IFERROR(--(INDEX('Reguler Class Availability'!$G:$G,M36)&amp;""),0)=0),IF(OR(INDEX('Reguler Class Availability'!$B:$B,M36)&amp;""&lt;&gt;"",INDEX('Reguler Class Availability'!$I:$I,M36)&amp;""&lt;&gt;""),"Tutup","Tidak dibuka"),IF(IFERROR(--(INDEX('Reguler Class Availability'!$G:$G,M36)&amp;""),0)&gt;IFERROR(--(INDEX('Reguler Class Availability'!$F:$F,M36)&amp;""),0),"Lebih",IF(IFERROR(--(INDEX('Reguler Class Availability'!$G:$G,M36)&amp;""),0)=IFERROR(--(INDEX('Reguler Class Availability'!$F:$F,M36)&amp;""),0),"Penuh",IF(IFERROR(--(INDEX('Reguler Class Availability'!$G:$G,M36)&amp;""),0)=0,IF(INDEX('Reguler Class Availability'!$B:$B,M36)&amp;""="","Kosong","Belum terisi"),IF(IFERROR(--(INDEX('Reguler Class Availability'!$G:$G,M36)&amp;""),0)/IFERROR(--(INDEX('Reguler Class Availability'!$F:$F,M36)&amp;""),0)&gt;=0.6,"Tinggi","Sebagian"))))))</f>
        <v>Tinggi</v>
      </c>
      <c r="V36" s="0" t="str">
        <f aca="false">IF(N36="","",IF(AND(IFERROR(--(INDEX('Reguler Class Availability'!$F:$F,N36)&amp;""),0)=0,IFERROR(--(INDEX('Reguler Class Availability'!$G:$G,N36)&amp;""),0)=0),IF(OR(INDEX('Reguler Class Availability'!$B:$B,N36)&amp;""&lt;&gt;"",INDEX('Reguler Class Availability'!$I:$I,N36)&amp;""&lt;&gt;""),"Tutup","Tidak dibuka"),IF(IFERROR(--(INDEX('Reguler Class Availability'!$G:$G,N36)&amp;""),0)&gt;IFERROR(--(INDEX('Reguler Class Availability'!$F:$F,N36)&amp;""),0),"Lebih",IF(IFERROR(--(INDEX('Reguler Class Availability'!$G:$G,N36)&amp;""),0)=IFERROR(--(INDEX('Reguler Class Availability'!$F:$F,N36)&amp;""),0),"Penuh",IF(IFERROR(--(INDEX('Reguler Class Availability'!$G:$G,N36)&amp;""),0)=0,IF(INDEX('Reguler Class Availability'!$B:$B,N36)&amp;""="","Kosong","Belum terisi"),IF(IFERROR(--(INDEX('Reguler Class Availability'!$G:$G,N36)&amp;""),0)/IFERROR(--(INDEX('Reguler Class Availability'!$F:$F,N36)&amp;""),0)&gt;=0.6,"Tinggi","Sebagian"))))))</f>
        <v>Penuh</v>
      </c>
      <c r="W36" s="0" t="str">
        <f aca="false">IF(O36="","",IF(AND(IFERROR(--(INDEX('Reguler Class Availability'!$F:$F,O36)&amp;""),0)=0,IFERROR(--(INDEX('Reguler Class Availability'!$G:$G,O36)&amp;""),0)=0),IF(OR(INDEX('Reguler Class Availability'!$B:$B,O36)&amp;""&lt;&gt;"",INDEX('Reguler Class Availability'!$I:$I,O36)&amp;""&lt;&gt;""),"Tutup","Tidak dibuka"),IF(IFERROR(--(INDEX('Reguler Class Availability'!$G:$G,O36)&amp;""),0)&gt;IFERROR(--(INDEX('Reguler Class Availability'!$F:$F,O36)&amp;""),0),"Lebih",IF(IFERROR(--(INDEX('Reguler Class Availability'!$G:$G,O36)&amp;""),0)=IFERROR(--(INDEX('Reguler Class Availability'!$F:$F,O36)&amp;""),0),"Penuh",IF(IFERROR(--(INDEX('Reguler Class Availability'!$G:$G,O36)&amp;""),0)=0,IF(INDEX('Reguler Class Availability'!$B:$B,O36)&amp;""="","Kosong","Belum terisi"),IF(IFERROR(--(INDEX('Reguler Class Availability'!$G:$G,O36)&amp;""),0)/IFERROR(--(INDEX('Reguler Class Availability'!$F:$F,O36)&amp;""),0)&gt;=0.6,"Tinggi","Sebagian"))))))</f>
        <v>Penuh</v>
      </c>
      <c r="X36" s="0" t="str">
        <f aca="false">IF(P36="","",IF(AND(IFERROR(--(INDEX('Reguler Class Availability'!$F:$F,P36)&amp;""),0)=0,IFERROR(--(INDEX('Reguler Class Availability'!$G:$G,P36)&amp;""),0)=0),IF(OR(INDEX('Reguler Class Availability'!$B:$B,P36)&amp;""&lt;&gt;"",INDEX('Reguler Class Availability'!$I:$I,P36)&amp;""&lt;&gt;""),"Tutup","Tidak dibuka"),IF(IFERROR(--(INDEX('Reguler Class Availability'!$G:$G,P36)&amp;""),0)&gt;IFERROR(--(INDEX('Reguler Class Availability'!$F:$F,P36)&amp;""),0),"Lebih",IF(IFERROR(--(INDEX('Reguler Class Availability'!$G:$G,P36)&amp;""),0)=IFERROR(--(INDEX('Reguler Class Availability'!$F:$F,P36)&amp;""),0),"Penuh",IF(IFERROR(--(INDEX('Reguler Class Availability'!$G:$G,P36)&amp;""),0)=0,IF(INDEX('Reguler Class Availability'!$B:$B,P36)&amp;""="","Kosong","Belum terisi"),IF(IFERROR(--(INDEX('Reguler Class Availability'!$G:$G,P36)&amp;""),0)/IFERROR(--(INDEX('Reguler Class Availability'!$F:$F,P36)&amp;""),0)&gt;=0.6,"Tinggi","Sebagian"))))))</f>
        <v>Tinggi</v>
      </c>
      <c r="Z36" s="4" t="s">
        <v>71</v>
      </c>
      <c r="AA36" s="4" t="n">
        <f aca="false">IF(COUNTIFS('Reguler Class Availability'!$L:$L,$B$4&amp;"|- Lane 1 - *|"&amp;Z36)&gt;0,1,0)</f>
        <v>0</v>
      </c>
      <c r="AB36" s="4" t="n">
        <f aca="false">AA36+AB35</f>
        <v>9</v>
      </c>
    </row>
    <row r="37" customFormat="false" ht="39.75" hidden="false" customHeight="true" outlineLevel="0" collapsed="false">
      <c r="A37" s="39" t="str">
        <f aca="false">IFERROR(INDEX($Z$62:$Z$121,MATCH(4,$AB$62:$AB$121,0)),"")</f>
        <v>10:30</v>
      </c>
      <c r="B37" s="40" t="str">
        <f aca="false">IF(J37="","",IF(R37="Tidak dibuka","–",IF(INDEX('Reguler Class Availability'!$B:$B,J37)&amp;""="","Kosong",PROPER(INDEX('Reguler Class Availability'!$B:$B,J37)&amp;""))&amp;"  "&amp;IFERROR(--(INDEX('Reguler Class Availability'!$G:$G,J37)&amp;""),0)&amp;"/"&amp;IFERROR(--(INDEX('Reguler Class Availability'!$F:$F,J37)&amp;""),0)&amp;IF(IFERROR(--(INDEX('Reguler Class Availability'!$F:$F,J37)&amp;""),0)&gt;0,"  ("&amp;TEXT(IFERROR(--(INDEX('Reguler Class Availability'!$G:$G,J37)&amp;""),0)/IFERROR(--(INDEX('Reguler Class Availability'!$F:$F,J37)&amp;""),0),"0%")&amp;")","")&amp;CHAR(10)&amp;IF(INDEX('Reguler Class Availability'!$I:$I,J37)&amp;""="","coach: –",PROPER(INDEX('Reguler Class Availability'!$I:$I,J37)&amp;""))&amp;IF(INDEX('Reguler Class Availability'!$J:$J,J37)&amp;""="","",CHAR(10)&amp;"asst: "&amp;PROPER(INDEX('Reguler Class Availability'!$J:$J,J37)&amp;""))))</f>
        <v>Tiny  0/5  (0%)
coach: –</v>
      </c>
      <c r="C37" s="40" t="str">
        <f aca="false">IF(K37="","",IF(S37="Tidak dibuka","–",IF(INDEX('Reguler Class Availability'!$B:$B,K37)&amp;""="","Kosong",PROPER(INDEX('Reguler Class Availability'!$B:$B,K37)&amp;""))&amp;"  "&amp;IFERROR(--(INDEX('Reguler Class Availability'!$G:$G,K37)&amp;""),0)&amp;"/"&amp;IFERROR(--(INDEX('Reguler Class Availability'!$F:$F,K37)&amp;""),0)&amp;IF(IFERROR(--(INDEX('Reguler Class Availability'!$F:$F,K37)&amp;""),0)&gt;0,"  ("&amp;TEXT(IFERROR(--(INDEX('Reguler Class Availability'!$G:$G,K37)&amp;""),0)/IFERROR(--(INDEX('Reguler Class Availability'!$F:$F,K37)&amp;""),0),"0%")&amp;")","")&amp;CHAR(10)&amp;IF(INDEX('Reguler Class Availability'!$I:$I,K37)&amp;""="","coach: –",PROPER(INDEX('Reguler Class Availability'!$I:$I,K37)&amp;""))&amp;IF(INDEX('Reguler Class Availability'!$J:$J,K37)&amp;""="","",CHAR(10)&amp;"asst: "&amp;PROPER(INDEX('Reguler Class Availability'!$J:$J,K37)&amp;""))))</f>
        <v>Tiny  3/5  (60%)
Rischa</v>
      </c>
      <c r="D37" s="40" t="str">
        <f aca="false">IF(L37="","",IF(T37="Tidak dibuka","–",IF(INDEX('Reguler Class Availability'!$B:$B,L37)&amp;""="","Kosong",PROPER(INDEX('Reguler Class Availability'!$B:$B,L37)&amp;""))&amp;"  "&amp;IFERROR(--(INDEX('Reguler Class Availability'!$G:$G,L37)&amp;""),0)&amp;"/"&amp;IFERROR(--(INDEX('Reguler Class Availability'!$F:$F,L37)&amp;""),0)&amp;IF(IFERROR(--(INDEX('Reguler Class Availability'!$F:$F,L37)&amp;""),0)&gt;0,"  ("&amp;TEXT(IFERROR(--(INDEX('Reguler Class Availability'!$G:$G,L37)&amp;""),0)/IFERROR(--(INDEX('Reguler Class Availability'!$F:$F,L37)&amp;""),0),"0%")&amp;")","")&amp;CHAR(10)&amp;IF(INDEX('Reguler Class Availability'!$I:$I,L37)&amp;""="","coach: –",PROPER(INDEX('Reguler Class Availability'!$I:$I,L37)&amp;""))&amp;IF(INDEX('Reguler Class Availability'!$J:$J,L37)&amp;""="","",CHAR(10)&amp;"asst: "&amp;PROPER(INDEX('Reguler Class Availability'!$J:$J,L37)&amp;""))))</f>
        <v>Tiny  5/5  (100%)
Surya</v>
      </c>
      <c r="E37" s="40" t="str">
        <f aca="false">IF(M37="","",IF(U37="Tidak dibuka","–",IF(INDEX('Reguler Class Availability'!$B:$B,M37)&amp;""="","Kosong",PROPER(INDEX('Reguler Class Availability'!$B:$B,M37)&amp;""))&amp;"  "&amp;IFERROR(--(INDEX('Reguler Class Availability'!$G:$G,M37)&amp;""),0)&amp;"/"&amp;IFERROR(--(INDEX('Reguler Class Availability'!$F:$F,M37)&amp;""),0)&amp;IF(IFERROR(--(INDEX('Reguler Class Availability'!$F:$F,M37)&amp;""),0)&gt;0,"  ("&amp;TEXT(IFERROR(--(INDEX('Reguler Class Availability'!$G:$G,M37)&amp;""),0)/IFERROR(--(INDEX('Reguler Class Availability'!$F:$F,M37)&amp;""),0),"0%")&amp;")","")&amp;CHAR(10)&amp;IF(INDEX('Reguler Class Availability'!$I:$I,M37)&amp;""="","coach: –",PROPER(INDEX('Reguler Class Availability'!$I:$I,M37)&amp;""))&amp;IF(INDEX('Reguler Class Availability'!$J:$J,M37)&amp;""="","",CHAR(10)&amp;"asst: "&amp;PROPER(INDEX('Reguler Class Availability'!$J:$J,M37)&amp;""))))</f>
        <v>Tiny  0/5  (0%)
coach: –</v>
      </c>
      <c r="F37" s="40" t="str">
        <f aca="false">IF(N37="","",IF(V37="Tidak dibuka","–",IF(INDEX('Reguler Class Availability'!$B:$B,N37)&amp;""="","Kosong",PROPER(INDEX('Reguler Class Availability'!$B:$B,N37)&amp;""))&amp;"  "&amp;IFERROR(--(INDEX('Reguler Class Availability'!$G:$G,N37)&amp;""),0)&amp;"/"&amp;IFERROR(--(INDEX('Reguler Class Availability'!$F:$F,N37)&amp;""),0)&amp;IF(IFERROR(--(INDEX('Reguler Class Availability'!$F:$F,N37)&amp;""),0)&gt;0,"  ("&amp;TEXT(IFERROR(--(INDEX('Reguler Class Availability'!$G:$G,N37)&amp;""),0)/IFERROR(--(INDEX('Reguler Class Availability'!$F:$F,N37)&amp;""),0),"0%")&amp;")","")&amp;CHAR(10)&amp;IF(INDEX('Reguler Class Availability'!$I:$I,N37)&amp;""="","coach: –",PROPER(INDEX('Reguler Class Availability'!$I:$I,N37)&amp;""))&amp;IF(INDEX('Reguler Class Availability'!$J:$J,N37)&amp;""="","",CHAR(10)&amp;"asst: "&amp;PROPER(INDEX('Reguler Class Availability'!$J:$J,N37)&amp;""))))</f>
        <v>Tiny  0/5  (0%)
coach: –</v>
      </c>
      <c r="G37" s="40" t="str">
        <f aca="false">IF(O37="","",IF(W37="Tidak dibuka","–",IF(INDEX('Reguler Class Availability'!$B:$B,O37)&amp;""="","Kosong",PROPER(INDEX('Reguler Class Availability'!$B:$B,O37)&amp;""))&amp;"  "&amp;IFERROR(--(INDEX('Reguler Class Availability'!$G:$G,O37)&amp;""),0)&amp;"/"&amp;IFERROR(--(INDEX('Reguler Class Availability'!$F:$F,O37)&amp;""),0)&amp;IF(IFERROR(--(INDEX('Reguler Class Availability'!$F:$F,O37)&amp;""),0)&gt;0,"  ("&amp;TEXT(IFERROR(--(INDEX('Reguler Class Availability'!$G:$G,O37)&amp;""),0)/IFERROR(--(INDEX('Reguler Class Availability'!$F:$F,O37)&amp;""),0),"0%")&amp;")","")&amp;CHAR(10)&amp;IF(INDEX('Reguler Class Availability'!$I:$I,O37)&amp;""="","coach: –",PROPER(INDEX('Reguler Class Availability'!$I:$I,O37)&amp;""))&amp;IF(INDEX('Reguler Class Availability'!$J:$J,O37)&amp;""="","",CHAR(10)&amp;"asst: "&amp;PROPER(INDEX('Reguler Class Availability'!$J:$J,O37)&amp;""))))</f>
        <v>Tiny  5/5  (100%)
Eka</v>
      </c>
      <c r="H37" s="40" t="str">
        <f aca="false">IF(P37="","",IF(X37="Tidak dibuka","–",IF(INDEX('Reguler Class Availability'!$B:$B,P37)&amp;""="","Kosong",PROPER(INDEX('Reguler Class Availability'!$B:$B,P37)&amp;""))&amp;"  "&amp;IFERROR(--(INDEX('Reguler Class Availability'!$G:$G,P37)&amp;""),0)&amp;"/"&amp;IFERROR(--(INDEX('Reguler Class Availability'!$F:$F,P37)&amp;""),0)&amp;IF(IFERROR(--(INDEX('Reguler Class Availability'!$F:$F,P37)&amp;""),0)&gt;0,"  ("&amp;TEXT(IFERROR(--(INDEX('Reguler Class Availability'!$G:$G,P37)&amp;""),0)/IFERROR(--(INDEX('Reguler Class Availability'!$F:$F,P37)&amp;""),0),"0%")&amp;")","")&amp;CHAR(10)&amp;IF(INDEX('Reguler Class Availability'!$I:$I,P37)&amp;""="","coach: –",PROPER(INDEX('Reguler Class Availability'!$I:$I,P37)&amp;""))&amp;IF(INDEX('Reguler Class Availability'!$J:$J,P37)&amp;""="","",CHAR(10)&amp;"asst: "&amp;PROPER(INDEX('Reguler Class Availability'!$J:$J,P37)&amp;""))))</f>
        <v>Tiny  5/5  (100%)
Danti</v>
      </c>
      <c r="J37" s="4" t="n">
        <f aca="false">IF($A37="","",IFERROR(MATCH($B$4&amp;"|- Lane 2 - "&amp;B$33&amp;"|"&amp;$A37,'Reguler Class Availability'!$L:$L,0),""))</f>
        <v>103</v>
      </c>
      <c r="K37" s="4" t="n">
        <f aca="false">IF($A37="","",IFERROR(MATCH($B$4&amp;"|- Lane 2 - "&amp;C$33&amp;"|"&amp;$A37,'Reguler Class Availability'!$L:$L,0),""))</f>
        <v>115</v>
      </c>
      <c r="L37" s="4" t="n">
        <f aca="false">IF($A37="","",IFERROR(MATCH($B$4&amp;"|- Lane 2 - "&amp;D$33&amp;"|"&amp;$A37,'Reguler Class Availability'!$L:$L,0),""))</f>
        <v>127</v>
      </c>
      <c r="M37" s="4" t="n">
        <f aca="false">IF($A37="","",IFERROR(MATCH($B$4&amp;"|- Lane 2 - "&amp;E$33&amp;"|"&amp;$A37,'Reguler Class Availability'!$L:$L,0),""))</f>
        <v>139</v>
      </c>
      <c r="N37" s="4" t="n">
        <f aca="false">IF($A37="","",IFERROR(MATCH($B$4&amp;"|- Lane 2 - "&amp;F$33&amp;"|"&amp;$A37,'Reguler Class Availability'!$L:$L,0),""))</f>
        <v>151</v>
      </c>
      <c r="O37" s="4" t="n">
        <f aca="false">IF($A37="","",IFERROR(MATCH($B$4&amp;"|- Lane 2 - "&amp;G$33&amp;"|"&amp;$A37,'Reguler Class Availability'!$L:$L,0),""))</f>
        <v>163</v>
      </c>
      <c r="P37" s="4" t="n">
        <f aca="false">IF($A37="","",IFERROR(MATCH($B$4&amp;"|- Lane 2 - "&amp;H$33&amp;"|"&amp;$A37,'Reguler Class Availability'!$L:$L,0),""))</f>
        <v>175</v>
      </c>
      <c r="R37" s="0" t="str">
        <f aca="false">IF(J37="","",IF(AND(IFERROR(--(INDEX('Reguler Class Availability'!$F:$F,J37)&amp;""),0)=0,IFERROR(--(INDEX('Reguler Class Availability'!$G:$G,J37)&amp;""),0)=0),IF(OR(INDEX('Reguler Class Availability'!$B:$B,J37)&amp;""&lt;&gt;"",INDEX('Reguler Class Availability'!$I:$I,J37)&amp;""&lt;&gt;""),"Tutup","Tidak dibuka"),IF(IFERROR(--(INDEX('Reguler Class Availability'!$G:$G,J37)&amp;""),0)&gt;IFERROR(--(INDEX('Reguler Class Availability'!$F:$F,J37)&amp;""),0),"Lebih",IF(IFERROR(--(INDEX('Reguler Class Availability'!$G:$G,J37)&amp;""),0)=IFERROR(--(INDEX('Reguler Class Availability'!$F:$F,J37)&amp;""),0),"Penuh",IF(IFERROR(--(INDEX('Reguler Class Availability'!$G:$G,J37)&amp;""),0)=0,IF(INDEX('Reguler Class Availability'!$B:$B,J37)&amp;""="","Kosong","Belum terisi"),IF(IFERROR(--(INDEX('Reguler Class Availability'!$G:$G,J37)&amp;""),0)/IFERROR(--(INDEX('Reguler Class Availability'!$F:$F,J37)&amp;""),0)&gt;=0.6,"Tinggi","Sebagian"))))))</f>
        <v>Belum terisi</v>
      </c>
      <c r="S37" s="0" t="str">
        <f aca="false">IF(K37="","",IF(AND(IFERROR(--(INDEX('Reguler Class Availability'!$F:$F,K37)&amp;""),0)=0,IFERROR(--(INDEX('Reguler Class Availability'!$G:$G,K37)&amp;""),0)=0),IF(OR(INDEX('Reguler Class Availability'!$B:$B,K37)&amp;""&lt;&gt;"",INDEX('Reguler Class Availability'!$I:$I,K37)&amp;""&lt;&gt;""),"Tutup","Tidak dibuka"),IF(IFERROR(--(INDEX('Reguler Class Availability'!$G:$G,K37)&amp;""),0)&gt;IFERROR(--(INDEX('Reguler Class Availability'!$F:$F,K37)&amp;""),0),"Lebih",IF(IFERROR(--(INDEX('Reguler Class Availability'!$G:$G,K37)&amp;""),0)=IFERROR(--(INDEX('Reguler Class Availability'!$F:$F,K37)&amp;""),0),"Penuh",IF(IFERROR(--(INDEX('Reguler Class Availability'!$G:$G,K37)&amp;""),0)=0,IF(INDEX('Reguler Class Availability'!$B:$B,K37)&amp;""="","Kosong","Belum terisi"),IF(IFERROR(--(INDEX('Reguler Class Availability'!$G:$G,K37)&amp;""),0)/IFERROR(--(INDEX('Reguler Class Availability'!$F:$F,K37)&amp;""),0)&gt;=0.6,"Tinggi","Sebagian"))))))</f>
        <v>Tinggi</v>
      </c>
      <c r="T37" s="0" t="str">
        <f aca="false">IF(L37="","",IF(AND(IFERROR(--(INDEX('Reguler Class Availability'!$F:$F,L37)&amp;""),0)=0,IFERROR(--(INDEX('Reguler Class Availability'!$G:$G,L37)&amp;""),0)=0),IF(OR(INDEX('Reguler Class Availability'!$B:$B,L37)&amp;""&lt;&gt;"",INDEX('Reguler Class Availability'!$I:$I,L37)&amp;""&lt;&gt;""),"Tutup","Tidak dibuka"),IF(IFERROR(--(INDEX('Reguler Class Availability'!$G:$G,L37)&amp;""),0)&gt;IFERROR(--(INDEX('Reguler Class Availability'!$F:$F,L37)&amp;""),0),"Lebih",IF(IFERROR(--(INDEX('Reguler Class Availability'!$G:$G,L37)&amp;""),0)=IFERROR(--(INDEX('Reguler Class Availability'!$F:$F,L37)&amp;""),0),"Penuh",IF(IFERROR(--(INDEX('Reguler Class Availability'!$G:$G,L37)&amp;""),0)=0,IF(INDEX('Reguler Class Availability'!$B:$B,L37)&amp;""="","Kosong","Belum terisi"),IF(IFERROR(--(INDEX('Reguler Class Availability'!$G:$G,L37)&amp;""),0)/IFERROR(--(INDEX('Reguler Class Availability'!$F:$F,L37)&amp;""),0)&gt;=0.6,"Tinggi","Sebagian"))))))</f>
        <v>Penuh</v>
      </c>
      <c r="U37" s="0" t="str">
        <f aca="false">IF(M37="","",IF(AND(IFERROR(--(INDEX('Reguler Class Availability'!$F:$F,M37)&amp;""),0)=0,IFERROR(--(INDEX('Reguler Class Availability'!$G:$G,M37)&amp;""),0)=0),IF(OR(INDEX('Reguler Class Availability'!$B:$B,M37)&amp;""&lt;&gt;"",INDEX('Reguler Class Availability'!$I:$I,M37)&amp;""&lt;&gt;""),"Tutup","Tidak dibuka"),IF(IFERROR(--(INDEX('Reguler Class Availability'!$G:$G,M37)&amp;""),0)&gt;IFERROR(--(INDEX('Reguler Class Availability'!$F:$F,M37)&amp;""),0),"Lebih",IF(IFERROR(--(INDEX('Reguler Class Availability'!$G:$G,M37)&amp;""),0)=IFERROR(--(INDEX('Reguler Class Availability'!$F:$F,M37)&amp;""),0),"Penuh",IF(IFERROR(--(INDEX('Reguler Class Availability'!$G:$G,M37)&amp;""),0)=0,IF(INDEX('Reguler Class Availability'!$B:$B,M37)&amp;""="","Kosong","Belum terisi"),IF(IFERROR(--(INDEX('Reguler Class Availability'!$G:$G,M37)&amp;""),0)/IFERROR(--(INDEX('Reguler Class Availability'!$F:$F,M37)&amp;""),0)&gt;=0.6,"Tinggi","Sebagian"))))))</f>
        <v>Belum terisi</v>
      </c>
      <c r="V37" s="0" t="str">
        <f aca="false">IF(N37="","",IF(AND(IFERROR(--(INDEX('Reguler Class Availability'!$F:$F,N37)&amp;""),0)=0,IFERROR(--(INDEX('Reguler Class Availability'!$G:$G,N37)&amp;""),0)=0),IF(OR(INDEX('Reguler Class Availability'!$B:$B,N37)&amp;""&lt;&gt;"",INDEX('Reguler Class Availability'!$I:$I,N37)&amp;""&lt;&gt;""),"Tutup","Tidak dibuka"),IF(IFERROR(--(INDEX('Reguler Class Availability'!$G:$G,N37)&amp;""),0)&gt;IFERROR(--(INDEX('Reguler Class Availability'!$F:$F,N37)&amp;""),0),"Lebih",IF(IFERROR(--(INDEX('Reguler Class Availability'!$G:$G,N37)&amp;""),0)=IFERROR(--(INDEX('Reguler Class Availability'!$F:$F,N37)&amp;""),0),"Penuh",IF(IFERROR(--(INDEX('Reguler Class Availability'!$G:$G,N37)&amp;""),0)=0,IF(INDEX('Reguler Class Availability'!$B:$B,N37)&amp;""="","Kosong","Belum terisi"),IF(IFERROR(--(INDEX('Reguler Class Availability'!$G:$G,N37)&amp;""),0)/IFERROR(--(INDEX('Reguler Class Availability'!$F:$F,N37)&amp;""),0)&gt;=0.6,"Tinggi","Sebagian"))))))</f>
        <v>Belum terisi</v>
      </c>
      <c r="W37" s="0" t="str">
        <f aca="false">IF(O37="","",IF(AND(IFERROR(--(INDEX('Reguler Class Availability'!$F:$F,O37)&amp;""),0)=0,IFERROR(--(INDEX('Reguler Class Availability'!$G:$G,O37)&amp;""),0)=0),IF(OR(INDEX('Reguler Class Availability'!$B:$B,O37)&amp;""&lt;&gt;"",INDEX('Reguler Class Availability'!$I:$I,O37)&amp;""&lt;&gt;""),"Tutup","Tidak dibuka"),IF(IFERROR(--(INDEX('Reguler Class Availability'!$G:$G,O37)&amp;""),0)&gt;IFERROR(--(INDEX('Reguler Class Availability'!$F:$F,O37)&amp;""),0),"Lebih",IF(IFERROR(--(INDEX('Reguler Class Availability'!$G:$G,O37)&amp;""),0)=IFERROR(--(INDEX('Reguler Class Availability'!$F:$F,O37)&amp;""),0),"Penuh",IF(IFERROR(--(INDEX('Reguler Class Availability'!$G:$G,O37)&amp;""),0)=0,IF(INDEX('Reguler Class Availability'!$B:$B,O37)&amp;""="","Kosong","Belum terisi"),IF(IFERROR(--(INDEX('Reguler Class Availability'!$G:$G,O37)&amp;""),0)/IFERROR(--(INDEX('Reguler Class Availability'!$F:$F,O37)&amp;""),0)&gt;=0.6,"Tinggi","Sebagian"))))))</f>
        <v>Penuh</v>
      </c>
      <c r="X37" s="0" t="str">
        <f aca="false">IF(P37="","",IF(AND(IFERROR(--(INDEX('Reguler Class Availability'!$F:$F,P37)&amp;""),0)=0,IFERROR(--(INDEX('Reguler Class Availability'!$G:$G,P37)&amp;""),0)=0),IF(OR(INDEX('Reguler Class Availability'!$B:$B,P37)&amp;""&lt;&gt;"",INDEX('Reguler Class Availability'!$I:$I,P37)&amp;""&lt;&gt;""),"Tutup","Tidak dibuka"),IF(IFERROR(--(INDEX('Reguler Class Availability'!$G:$G,P37)&amp;""),0)&gt;IFERROR(--(INDEX('Reguler Class Availability'!$F:$F,P37)&amp;""),0),"Lebih",IF(IFERROR(--(INDEX('Reguler Class Availability'!$G:$G,P37)&amp;""),0)=IFERROR(--(INDEX('Reguler Class Availability'!$F:$F,P37)&amp;""),0),"Penuh",IF(IFERROR(--(INDEX('Reguler Class Availability'!$G:$G,P37)&amp;""),0)=0,IF(INDEX('Reguler Class Availability'!$B:$B,P37)&amp;""="","Kosong","Belum terisi"),IF(IFERROR(--(INDEX('Reguler Class Availability'!$G:$G,P37)&amp;""),0)/IFERROR(--(INDEX('Reguler Class Availability'!$F:$F,P37)&amp;""),0)&gt;=0.6,"Tinggi","Sebagian"))))))</f>
        <v>Penuh</v>
      </c>
      <c r="Z37" s="4" t="s">
        <v>72</v>
      </c>
      <c r="AA37" s="4" t="n">
        <f aca="false">IF(COUNTIFS('Reguler Class Availability'!$L:$L,$B$4&amp;"|- Lane 1 - *|"&amp;Z37)&gt;0,1,0)</f>
        <v>0</v>
      </c>
      <c r="AB37" s="4" t="n">
        <f aca="false">AA37+AB36</f>
        <v>9</v>
      </c>
    </row>
    <row r="38" customFormat="false" ht="39.75" hidden="false" customHeight="true" outlineLevel="0" collapsed="false">
      <c r="A38" s="39" t="str">
        <f aca="false">IFERROR(INDEX($Z$62:$Z$121,MATCH(5,$AB$62:$AB$121,0)),"")</f>
        <v>11:15</v>
      </c>
      <c r="B38" s="40" t="str">
        <f aca="false">IF(J38="","",IF(R38="Tidak dibuka","–",IF(INDEX('Reguler Class Availability'!$B:$B,J38)&amp;""="","Kosong",PROPER(INDEX('Reguler Class Availability'!$B:$B,J38)&amp;""))&amp;"  "&amp;IFERROR(--(INDEX('Reguler Class Availability'!$G:$G,J38)&amp;""),0)&amp;"/"&amp;IFERROR(--(INDEX('Reguler Class Availability'!$F:$F,J38)&amp;""),0)&amp;IF(IFERROR(--(INDEX('Reguler Class Availability'!$F:$F,J38)&amp;""),0)&gt;0,"  ("&amp;TEXT(IFERROR(--(INDEX('Reguler Class Availability'!$G:$G,J38)&amp;""),0)/IFERROR(--(INDEX('Reguler Class Availability'!$F:$F,J38)&amp;""),0),"0%")&amp;")","")&amp;CHAR(10)&amp;IF(INDEX('Reguler Class Availability'!$I:$I,J38)&amp;""="","coach: –",PROPER(INDEX('Reguler Class Availability'!$I:$I,J38)&amp;""))&amp;IF(INDEX('Reguler Class Availability'!$J:$J,J38)&amp;""="","",CHAR(10)&amp;"asst: "&amp;PROPER(INDEX('Reguler Class Availability'!$J:$J,J38)&amp;""))))</f>
        <v>Tiny  0/5  (0%)
coach: –</v>
      </c>
      <c r="C38" s="40" t="str">
        <f aca="false">IF(K38="","",IF(S38="Tidak dibuka","–",IF(INDEX('Reguler Class Availability'!$B:$B,K38)&amp;""="","Kosong",PROPER(INDEX('Reguler Class Availability'!$B:$B,K38)&amp;""))&amp;"  "&amp;IFERROR(--(INDEX('Reguler Class Availability'!$G:$G,K38)&amp;""),0)&amp;"/"&amp;IFERROR(--(INDEX('Reguler Class Availability'!$F:$F,K38)&amp;""),0)&amp;IF(IFERROR(--(INDEX('Reguler Class Availability'!$F:$F,K38)&amp;""),0)&gt;0,"  ("&amp;TEXT(IFERROR(--(INDEX('Reguler Class Availability'!$G:$G,K38)&amp;""),0)/IFERROR(--(INDEX('Reguler Class Availability'!$F:$F,K38)&amp;""),0),"0%")&amp;")","")&amp;CHAR(10)&amp;IF(INDEX('Reguler Class Availability'!$I:$I,K38)&amp;""="","coach: –",PROPER(INDEX('Reguler Class Availability'!$I:$I,K38)&amp;""))&amp;IF(INDEX('Reguler Class Availability'!$J:$J,K38)&amp;""="","",CHAR(10)&amp;"asst: "&amp;PROPER(INDEX('Reguler Class Availability'!$J:$J,K38)&amp;""))))</f>
        <v>Tiny  0/5  (0%)
coach: –</v>
      </c>
      <c r="D38" s="40" t="str">
        <f aca="false">IF(L38="","",IF(T38="Tidak dibuka","–",IF(INDEX('Reguler Class Availability'!$B:$B,L38)&amp;""="","Kosong",PROPER(INDEX('Reguler Class Availability'!$B:$B,L38)&amp;""))&amp;"  "&amp;IFERROR(--(INDEX('Reguler Class Availability'!$G:$G,L38)&amp;""),0)&amp;"/"&amp;IFERROR(--(INDEX('Reguler Class Availability'!$F:$F,L38)&amp;""),0)&amp;IF(IFERROR(--(INDEX('Reguler Class Availability'!$F:$F,L38)&amp;""),0)&gt;0,"  ("&amp;TEXT(IFERROR(--(INDEX('Reguler Class Availability'!$G:$G,L38)&amp;""),0)/IFERROR(--(INDEX('Reguler Class Availability'!$F:$F,L38)&amp;""),0),"0%")&amp;")","")&amp;CHAR(10)&amp;IF(INDEX('Reguler Class Availability'!$I:$I,L38)&amp;""="","coach: –",PROPER(INDEX('Reguler Class Availability'!$I:$I,L38)&amp;""))&amp;IF(INDEX('Reguler Class Availability'!$J:$J,L38)&amp;""="","",CHAR(10)&amp;"asst: "&amp;PROPER(INDEX('Reguler Class Availability'!$J:$J,L38)&amp;""))))</f>
        <v>Tiny  0/5  (0%)
coach: –</v>
      </c>
      <c r="E38" s="40" t="str">
        <f aca="false">IF(M38="","",IF(U38="Tidak dibuka","–",IF(INDEX('Reguler Class Availability'!$B:$B,M38)&amp;""="","Kosong",PROPER(INDEX('Reguler Class Availability'!$B:$B,M38)&amp;""))&amp;"  "&amp;IFERROR(--(INDEX('Reguler Class Availability'!$G:$G,M38)&amp;""),0)&amp;"/"&amp;IFERROR(--(INDEX('Reguler Class Availability'!$F:$F,M38)&amp;""),0)&amp;IF(IFERROR(--(INDEX('Reguler Class Availability'!$F:$F,M38)&amp;""),0)&gt;0,"  ("&amp;TEXT(IFERROR(--(INDEX('Reguler Class Availability'!$G:$G,M38)&amp;""),0)/IFERROR(--(INDEX('Reguler Class Availability'!$F:$F,M38)&amp;""),0),"0%")&amp;")","")&amp;CHAR(10)&amp;IF(INDEX('Reguler Class Availability'!$I:$I,M38)&amp;""="","coach: –",PROPER(INDEX('Reguler Class Availability'!$I:$I,M38)&amp;""))&amp;IF(INDEX('Reguler Class Availability'!$J:$J,M38)&amp;""="","",CHAR(10)&amp;"asst: "&amp;PROPER(INDEX('Reguler Class Availability'!$J:$J,M38)&amp;""))))</f>
        <v>Tiny  0/5  (0%)
coach: –</v>
      </c>
      <c r="F38" s="40" t="str">
        <f aca="false">IF(N38="","",IF(V38="Tidak dibuka","–",IF(INDEX('Reguler Class Availability'!$B:$B,N38)&amp;""="","Kosong",PROPER(INDEX('Reguler Class Availability'!$B:$B,N38)&amp;""))&amp;"  "&amp;IFERROR(--(INDEX('Reguler Class Availability'!$G:$G,N38)&amp;""),0)&amp;"/"&amp;IFERROR(--(INDEX('Reguler Class Availability'!$F:$F,N38)&amp;""),0)&amp;IF(IFERROR(--(INDEX('Reguler Class Availability'!$F:$F,N38)&amp;""),0)&gt;0,"  ("&amp;TEXT(IFERROR(--(INDEX('Reguler Class Availability'!$G:$G,N38)&amp;""),0)/IFERROR(--(INDEX('Reguler Class Availability'!$F:$F,N38)&amp;""),0),"0%")&amp;")","")&amp;CHAR(10)&amp;IF(INDEX('Reguler Class Availability'!$I:$I,N38)&amp;""="","coach: –",PROPER(INDEX('Reguler Class Availability'!$I:$I,N38)&amp;""))&amp;IF(INDEX('Reguler Class Availability'!$J:$J,N38)&amp;""="","",CHAR(10)&amp;"asst: "&amp;PROPER(INDEX('Reguler Class Availability'!$J:$J,N38)&amp;""))))</f>
        <v>Tiny  0/5  (0%)
coach: –</v>
      </c>
      <c r="G38" s="40" t="str">
        <f aca="false">IF(O38="","",IF(W38="Tidak dibuka","–",IF(INDEX('Reguler Class Availability'!$B:$B,O38)&amp;""="","Kosong",PROPER(INDEX('Reguler Class Availability'!$B:$B,O38)&amp;""))&amp;"  "&amp;IFERROR(--(INDEX('Reguler Class Availability'!$G:$G,O38)&amp;""),0)&amp;"/"&amp;IFERROR(--(INDEX('Reguler Class Availability'!$F:$F,O38)&amp;""),0)&amp;IF(IFERROR(--(INDEX('Reguler Class Availability'!$F:$F,O38)&amp;""),0)&gt;0,"  ("&amp;TEXT(IFERROR(--(INDEX('Reguler Class Availability'!$G:$G,O38)&amp;""),0)/IFERROR(--(INDEX('Reguler Class Availability'!$F:$F,O38)&amp;""),0),"0%")&amp;")","")&amp;CHAR(10)&amp;IF(INDEX('Reguler Class Availability'!$I:$I,O38)&amp;""="","coach: –",PROPER(INDEX('Reguler Class Availability'!$I:$I,O38)&amp;""))&amp;IF(INDEX('Reguler Class Availability'!$J:$J,O38)&amp;""="","",CHAR(10)&amp;"asst: "&amp;PROPER(INDEX('Reguler Class Availability'!$J:$J,O38)&amp;""))))</f>
        <v>Tiny  4/5  (80%)
Nuky</v>
      </c>
      <c r="H38" s="40" t="str">
        <f aca="false">IF(P38="","",IF(X38="Tidak dibuka","–",IF(INDEX('Reguler Class Availability'!$B:$B,P38)&amp;""="","Kosong",PROPER(INDEX('Reguler Class Availability'!$B:$B,P38)&amp;""))&amp;"  "&amp;IFERROR(--(INDEX('Reguler Class Availability'!$G:$G,P38)&amp;""),0)&amp;"/"&amp;IFERROR(--(INDEX('Reguler Class Availability'!$F:$F,P38)&amp;""),0)&amp;IF(IFERROR(--(INDEX('Reguler Class Availability'!$F:$F,P38)&amp;""),0)&gt;0,"  ("&amp;TEXT(IFERROR(--(INDEX('Reguler Class Availability'!$G:$G,P38)&amp;""),0)/IFERROR(--(INDEX('Reguler Class Availability'!$F:$F,P38)&amp;""),0),"0%")&amp;")","")&amp;CHAR(10)&amp;IF(INDEX('Reguler Class Availability'!$I:$I,P38)&amp;""="","coach: –",PROPER(INDEX('Reguler Class Availability'!$I:$I,P38)&amp;""))&amp;IF(INDEX('Reguler Class Availability'!$J:$J,P38)&amp;""="","",CHAR(10)&amp;"asst: "&amp;PROPER(INDEX('Reguler Class Availability'!$J:$J,P38)&amp;""))))</f>
        <v>Tiny  5/5  (100%)
Surya</v>
      </c>
      <c r="J38" s="4" t="n">
        <f aca="false">IF($A38="","",IFERROR(MATCH($B$4&amp;"|- Lane 2 - "&amp;B$33&amp;"|"&amp;$A38,'Reguler Class Availability'!$L:$L,0),""))</f>
        <v>104</v>
      </c>
      <c r="K38" s="4" t="n">
        <f aca="false">IF($A38="","",IFERROR(MATCH($B$4&amp;"|- Lane 2 - "&amp;C$33&amp;"|"&amp;$A38,'Reguler Class Availability'!$L:$L,0),""))</f>
        <v>116</v>
      </c>
      <c r="L38" s="4" t="n">
        <f aca="false">IF($A38="","",IFERROR(MATCH($B$4&amp;"|- Lane 2 - "&amp;D$33&amp;"|"&amp;$A38,'Reguler Class Availability'!$L:$L,0),""))</f>
        <v>128</v>
      </c>
      <c r="M38" s="4" t="n">
        <f aca="false">IF($A38="","",IFERROR(MATCH($B$4&amp;"|- Lane 2 - "&amp;E$33&amp;"|"&amp;$A38,'Reguler Class Availability'!$L:$L,0),""))</f>
        <v>140</v>
      </c>
      <c r="N38" s="4" t="n">
        <f aca="false">IF($A38="","",IFERROR(MATCH($B$4&amp;"|- Lane 2 - "&amp;F$33&amp;"|"&amp;$A38,'Reguler Class Availability'!$L:$L,0),""))</f>
        <v>152</v>
      </c>
      <c r="O38" s="4" t="n">
        <f aca="false">IF($A38="","",IFERROR(MATCH($B$4&amp;"|- Lane 2 - "&amp;G$33&amp;"|"&amp;$A38,'Reguler Class Availability'!$L:$L,0),""))</f>
        <v>164</v>
      </c>
      <c r="P38" s="4" t="n">
        <f aca="false">IF($A38="","",IFERROR(MATCH($B$4&amp;"|- Lane 2 - "&amp;H$33&amp;"|"&amp;$A38,'Reguler Class Availability'!$L:$L,0),""))</f>
        <v>176</v>
      </c>
      <c r="R38" s="0" t="str">
        <f aca="false">IF(J38="","",IF(AND(IFERROR(--(INDEX('Reguler Class Availability'!$F:$F,J38)&amp;""),0)=0,IFERROR(--(INDEX('Reguler Class Availability'!$G:$G,J38)&amp;""),0)=0),IF(OR(INDEX('Reguler Class Availability'!$B:$B,J38)&amp;""&lt;&gt;"",INDEX('Reguler Class Availability'!$I:$I,J38)&amp;""&lt;&gt;""),"Tutup","Tidak dibuka"),IF(IFERROR(--(INDEX('Reguler Class Availability'!$G:$G,J38)&amp;""),0)&gt;IFERROR(--(INDEX('Reguler Class Availability'!$F:$F,J38)&amp;""),0),"Lebih",IF(IFERROR(--(INDEX('Reguler Class Availability'!$G:$G,J38)&amp;""),0)=IFERROR(--(INDEX('Reguler Class Availability'!$F:$F,J38)&amp;""),0),"Penuh",IF(IFERROR(--(INDEX('Reguler Class Availability'!$G:$G,J38)&amp;""),0)=0,IF(INDEX('Reguler Class Availability'!$B:$B,J38)&amp;""="","Kosong","Belum terisi"),IF(IFERROR(--(INDEX('Reguler Class Availability'!$G:$G,J38)&amp;""),0)/IFERROR(--(INDEX('Reguler Class Availability'!$F:$F,J38)&amp;""),0)&gt;=0.6,"Tinggi","Sebagian"))))))</f>
        <v>Belum terisi</v>
      </c>
      <c r="S38" s="0" t="str">
        <f aca="false">IF(K38="","",IF(AND(IFERROR(--(INDEX('Reguler Class Availability'!$F:$F,K38)&amp;""),0)=0,IFERROR(--(INDEX('Reguler Class Availability'!$G:$G,K38)&amp;""),0)=0),IF(OR(INDEX('Reguler Class Availability'!$B:$B,K38)&amp;""&lt;&gt;"",INDEX('Reguler Class Availability'!$I:$I,K38)&amp;""&lt;&gt;""),"Tutup","Tidak dibuka"),IF(IFERROR(--(INDEX('Reguler Class Availability'!$G:$G,K38)&amp;""),0)&gt;IFERROR(--(INDEX('Reguler Class Availability'!$F:$F,K38)&amp;""),0),"Lebih",IF(IFERROR(--(INDEX('Reguler Class Availability'!$G:$G,K38)&amp;""),0)=IFERROR(--(INDEX('Reguler Class Availability'!$F:$F,K38)&amp;""),0),"Penuh",IF(IFERROR(--(INDEX('Reguler Class Availability'!$G:$G,K38)&amp;""),0)=0,IF(INDEX('Reguler Class Availability'!$B:$B,K38)&amp;""="","Kosong","Belum terisi"),IF(IFERROR(--(INDEX('Reguler Class Availability'!$G:$G,K38)&amp;""),0)/IFERROR(--(INDEX('Reguler Class Availability'!$F:$F,K38)&amp;""),0)&gt;=0.6,"Tinggi","Sebagian"))))))</f>
        <v>Belum terisi</v>
      </c>
      <c r="T38" s="0" t="str">
        <f aca="false">IF(L38="","",IF(AND(IFERROR(--(INDEX('Reguler Class Availability'!$F:$F,L38)&amp;""),0)=0,IFERROR(--(INDEX('Reguler Class Availability'!$G:$G,L38)&amp;""),0)=0),IF(OR(INDEX('Reguler Class Availability'!$B:$B,L38)&amp;""&lt;&gt;"",INDEX('Reguler Class Availability'!$I:$I,L38)&amp;""&lt;&gt;""),"Tutup","Tidak dibuka"),IF(IFERROR(--(INDEX('Reguler Class Availability'!$G:$G,L38)&amp;""),0)&gt;IFERROR(--(INDEX('Reguler Class Availability'!$F:$F,L38)&amp;""),0),"Lebih",IF(IFERROR(--(INDEX('Reguler Class Availability'!$G:$G,L38)&amp;""),0)=IFERROR(--(INDEX('Reguler Class Availability'!$F:$F,L38)&amp;""),0),"Penuh",IF(IFERROR(--(INDEX('Reguler Class Availability'!$G:$G,L38)&amp;""),0)=0,IF(INDEX('Reguler Class Availability'!$B:$B,L38)&amp;""="","Kosong","Belum terisi"),IF(IFERROR(--(INDEX('Reguler Class Availability'!$G:$G,L38)&amp;""),0)/IFERROR(--(INDEX('Reguler Class Availability'!$F:$F,L38)&amp;""),0)&gt;=0.6,"Tinggi","Sebagian"))))))</f>
        <v>Belum terisi</v>
      </c>
      <c r="U38" s="0" t="str">
        <f aca="false">IF(M38="","",IF(AND(IFERROR(--(INDEX('Reguler Class Availability'!$F:$F,M38)&amp;""),0)=0,IFERROR(--(INDEX('Reguler Class Availability'!$G:$G,M38)&amp;""),0)=0),IF(OR(INDEX('Reguler Class Availability'!$B:$B,M38)&amp;""&lt;&gt;"",INDEX('Reguler Class Availability'!$I:$I,M38)&amp;""&lt;&gt;""),"Tutup","Tidak dibuka"),IF(IFERROR(--(INDEX('Reguler Class Availability'!$G:$G,M38)&amp;""),0)&gt;IFERROR(--(INDEX('Reguler Class Availability'!$F:$F,M38)&amp;""),0),"Lebih",IF(IFERROR(--(INDEX('Reguler Class Availability'!$G:$G,M38)&amp;""),0)=IFERROR(--(INDEX('Reguler Class Availability'!$F:$F,M38)&amp;""),0),"Penuh",IF(IFERROR(--(INDEX('Reguler Class Availability'!$G:$G,M38)&amp;""),0)=0,IF(INDEX('Reguler Class Availability'!$B:$B,M38)&amp;""="","Kosong","Belum terisi"),IF(IFERROR(--(INDEX('Reguler Class Availability'!$G:$G,M38)&amp;""),0)/IFERROR(--(INDEX('Reguler Class Availability'!$F:$F,M38)&amp;""),0)&gt;=0.6,"Tinggi","Sebagian"))))))</f>
        <v>Belum terisi</v>
      </c>
      <c r="V38" s="0" t="str">
        <f aca="false">IF(N38="","",IF(AND(IFERROR(--(INDEX('Reguler Class Availability'!$F:$F,N38)&amp;""),0)=0,IFERROR(--(INDEX('Reguler Class Availability'!$G:$G,N38)&amp;""),0)=0),IF(OR(INDEX('Reguler Class Availability'!$B:$B,N38)&amp;""&lt;&gt;"",INDEX('Reguler Class Availability'!$I:$I,N38)&amp;""&lt;&gt;""),"Tutup","Tidak dibuka"),IF(IFERROR(--(INDEX('Reguler Class Availability'!$G:$G,N38)&amp;""),0)&gt;IFERROR(--(INDEX('Reguler Class Availability'!$F:$F,N38)&amp;""),0),"Lebih",IF(IFERROR(--(INDEX('Reguler Class Availability'!$G:$G,N38)&amp;""),0)=IFERROR(--(INDEX('Reguler Class Availability'!$F:$F,N38)&amp;""),0),"Penuh",IF(IFERROR(--(INDEX('Reguler Class Availability'!$G:$G,N38)&amp;""),0)=0,IF(INDEX('Reguler Class Availability'!$B:$B,N38)&amp;""="","Kosong","Belum terisi"),IF(IFERROR(--(INDEX('Reguler Class Availability'!$G:$G,N38)&amp;""),0)/IFERROR(--(INDEX('Reguler Class Availability'!$F:$F,N38)&amp;""),0)&gt;=0.6,"Tinggi","Sebagian"))))))</f>
        <v>Belum terisi</v>
      </c>
      <c r="W38" s="0" t="str">
        <f aca="false">IF(O38="","",IF(AND(IFERROR(--(INDEX('Reguler Class Availability'!$F:$F,O38)&amp;""),0)=0,IFERROR(--(INDEX('Reguler Class Availability'!$G:$G,O38)&amp;""),0)=0),IF(OR(INDEX('Reguler Class Availability'!$B:$B,O38)&amp;""&lt;&gt;"",INDEX('Reguler Class Availability'!$I:$I,O38)&amp;""&lt;&gt;""),"Tutup","Tidak dibuka"),IF(IFERROR(--(INDEX('Reguler Class Availability'!$G:$G,O38)&amp;""),0)&gt;IFERROR(--(INDEX('Reguler Class Availability'!$F:$F,O38)&amp;""),0),"Lebih",IF(IFERROR(--(INDEX('Reguler Class Availability'!$G:$G,O38)&amp;""),0)=IFERROR(--(INDEX('Reguler Class Availability'!$F:$F,O38)&amp;""),0),"Penuh",IF(IFERROR(--(INDEX('Reguler Class Availability'!$G:$G,O38)&amp;""),0)=0,IF(INDEX('Reguler Class Availability'!$B:$B,O38)&amp;""="","Kosong","Belum terisi"),IF(IFERROR(--(INDEX('Reguler Class Availability'!$G:$G,O38)&amp;""),0)/IFERROR(--(INDEX('Reguler Class Availability'!$F:$F,O38)&amp;""),0)&gt;=0.6,"Tinggi","Sebagian"))))))</f>
        <v>Tinggi</v>
      </c>
      <c r="X38" s="0" t="str">
        <f aca="false">IF(P38="","",IF(AND(IFERROR(--(INDEX('Reguler Class Availability'!$F:$F,P38)&amp;""),0)=0,IFERROR(--(INDEX('Reguler Class Availability'!$G:$G,P38)&amp;""),0)=0),IF(OR(INDEX('Reguler Class Availability'!$B:$B,P38)&amp;""&lt;&gt;"",INDEX('Reguler Class Availability'!$I:$I,P38)&amp;""&lt;&gt;""),"Tutup","Tidak dibuka"),IF(IFERROR(--(INDEX('Reguler Class Availability'!$G:$G,P38)&amp;""),0)&gt;IFERROR(--(INDEX('Reguler Class Availability'!$F:$F,P38)&amp;""),0),"Lebih",IF(IFERROR(--(INDEX('Reguler Class Availability'!$G:$G,P38)&amp;""),0)=IFERROR(--(INDEX('Reguler Class Availability'!$F:$F,P38)&amp;""),0),"Penuh",IF(IFERROR(--(INDEX('Reguler Class Availability'!$G:$G,P38)&amp;""),0)=0,IF(INDEX('Reguler Class Availability'!$B:$B,P38)&amp;""="","Kosong","Belum terisi"),IF(IFERROR(--(INDEX('Reguler Class Availability'!$G:$G,P38)&amp;""),0)/IFERROR(--(INDEX('Reguler Class Availability'!$F:$F,P38)&amp;""),0)&gt;=0.6,"Tinggi","Sebagian"))))))</f>
        <v>Penuh</v>
      </c>
      <c r="Z38" s="4" t="s">
        <v>73</v>
      </c>
      <c r="AA38" s="4" t="n">
        <f aca="false">IF(COUNTIFS('Reguler Class Availability'!$L:$L,$B$4&amp;"|- Lane 1 - *|"&amp;Z38)&gt;0,1,0)</f>
        <v>1</v>
      </c>
      <c r="AB38" s="4" t="n">
        <f aca="false">AA38+AB37</f>
        <v>10</v>
      </c>
    </row>
    <row r="39" customFormat="false" ht="39.75" hidden="false" customHeight="true" outlineLevel="0" collapsed="false">
      <c r="A39" s="39" t="str">
        <f aca="false">IFERROR(INDEX($Z$62:$Z$121,MATCH(6,$AB$62:$AB$121,0)),"")</f>
        <v>12:00</v>
      </c>
      <c r="B39" s="40" t="str">
        <f aca="false">IF(J39="","",IF(R39="Tidak dibuka","–",IF(INDEX('Reguler Class Availability'!$B:$B,J39)&amp;""="","Kosong",PROPER(INDEX('Reguler Class Availability'!$B:$B,J39)&amp;""))&amp;"  "&amp;IFERROR(--(INDEX('Reguler Class Availability'!$G:$G,J39)&amp;""),0)&amp;"/"&amp;IFERROR(--(INDEX('Reguler Class Availability'!$F:$F,J39)&amp;""),0)&amp;IF(IFERROR(--(INDEX('Reguler Class Availability'!$F:$F,J39)&amp;""),0)&gt;0,"  ("&amp;TEXT(IFERROR(--(INDEX('Reguler Class Availability'!$G:$G,J39)&amp;""),0)/IFERROR(--(INDEX('Reguler Class Availability'!$F:$F,J39)&amp;""),0),"0%")&amp;")","")&amp;CHAR(10)&amp;IF(INDEX('Reguler Class Availability'!$I:$I,J39)&amp;""="","coach: –",PROPER(INDEX('Reguler Class Availability'!$I:$I,J39)&amp;""))&amp;IF(INDEX('Reguler Class Availability'!$J:$J,J39)&amp;""="","",CHAR(10)&amp;"asst: "&amp;PROPER(INDEX('Reguler Class Availability'!$J:$J,J39)&amp;""))))</f>
        <v>Tiny  0/0
coach: –</v>
      </c>
      <c r="C39" s="40" t="str">
        <f aca="false">IF(K39="","",IF(S39="Tidak dibuka","–",IF(INDEX('Reguler Class Availability'!$B:$B,K39)&amp;""="","Kosong",PROPER(INDEX('Reguler Class Availability'!$B:$B,K39)&amp;""))&amp;"  "&amp;IFERROR(--(INDEX('Reguler Class Availability'!$G:$G,K39)&amp;""),0)&amp;"/"&amp;IFERROR(--(INDEX('Reguler Class Availability'!$F:$F,K39)&amp;""),0)&amp;IF(IFERROR(--(INDEX('Reguler Class Availability'!$F:$F,K39)&amp;""),0)&gt;0,"  ("&amp;TEXT(IFERROR(--(INDEX('Reguler Class Availability'!$G:$G,K39)&amp;""),0)/IFERROR(--(INDEX('Reguler Class Availability'!$F:$F,K39)&amp;""),0),"0%")&amp;")","")&amp;CHAR(10)&amp;IF(INDEX('Reguler Class Availability'!$I:$I,K39)&amp;""="","coach: –",PROPER(INDEX('Reguler Class Availability'!$I:$I,K39)&amp;""))&amp;IF(INDEX('Reguler Class Availability'!$J:$J,K39)&amp;""="","",CHAR(10)&amp;"asst: "&amp;PROPER(INDEX('Reguler Class Availability'!$J:$J,K39)&amp;""))))</f>
        <v>Tiny  0/0
coach: –</v>
      </c>
      <c r="D39" s="40" t="str">
        <f aca="false">IF(L39="","",IF(T39="Tidak dibuka","–",IF(INDEX('Reguler Class Availability'!$B:$B,L39)&amp;""="","Kosong",PROPER(INDEX('Reguler Class Availability'!$B:$B,L39)&amp;""))&amp;"  "&amp;IFERROR(--(INDEX('Reguler Class Availability'!$G:$G,L39)&amp;""),0)&amp;"/"&amp;IFERROR(--(INDEX('Reguler Class Availability'!$F:$F,L39)&amp;""),0)&amp;IF(IFERROR(--(INDEX('Reguler Class Availability'!$F:$F,L39)&amp;""),0)&gt;0,"  ("&amp;TEXT(IFERROR(--(INDEX('Reguler Class Availability'!$G:$G,L39)&amp;""),0)/IFERROR(--(INDEX('Reguler Class Availability'!$F:$F,L39)&amp;""),0),"0%")&amp;")","")&amp;CHAR(10)&amp;IF(INDEX('Reguler Class Availability'!$I:$I,L39)&amp;""="","coach: –",PROPER(INDEX('Reguler Class Availability'!$I:$I,L39)&amp;""))&amp;IF(INDEX('Reguler Class Availability'!$J:$J,L39)&amp;""="","",CHAR(10)&amp;"asst: "&amp;PROPER(INDEX('Reguler Class Availability'!$J:$J,L39)&amp;""))))</f>
        <v>Tiny  0/0
coach: –</v>
      </c>
      <c r="E39" s="40" t="str">
        <f aca="false">IF(M39="","",IF(U39="Tidak dibuka","–",IF(INDEX('Reguler Class Availability'!$B:$B,M39)&amp;""="","Kosong",PROPER(INDEX('Reguler Class Availability'!$B:$B,M39)&amp;""))&amp;"  "&amp;IFERROR(--(INDEX('Reguler Class Availability'!$G:$G,M39)&amp;""),0)&amp;"/"&amp;IFERROR(--(INDEX('Reguler Class Availability'!$F:$F,M39)&amp;""),0)&amp;IF(IFERROR(--(INDEX('Reguler Class Availability'!$F:$F,M39)&amp;""),0)&gt;0,"  ("&amp;TEXT(IFERROR(--(INDEX('Reguler Class Availability'!$G:$G,M39)&amp;""),0)/IFERROR(--(INDEX('Reguler Class Availability'!$F:$F,M39)&amp;""),0),"0%")&amp;")","")&amp;CHAR(10)&amp;IF(INDEX('Reguler Class Availability'!$I:$I,M39)&amp;""="","coach: –",PROPER(INDEX('Reguler Class Availability'!$I:$I,M39)&amp;""))&amp;IF(INDEX('Reguler Class Availability'!$J:$J,M39)&amp;""="","",CHAR(10)&amp;"asst: "&amp;PROPER(INDEX('Reguler Class Availability'!$J:$J,M39)&amp;""))))</f>
        <v>Tiny  0/0
coach: –</v>
      </c>
      <c r="F39" s="40" t="str">
        <f aca="false">IF(N39="","",IF(V39="Tidak dibuka","–",IF(INDEX('Reguler Class Availability'!$B:$B,N39)&amp;""="","Kosong",PROPER(INDEX('Reguler Class Availability'!$B:$B,N39)&amp;""))&amp;"  "&amp;IFERROR(--(INDEX('Reguler Class Availability'!$G:$G,N39)&amp;""),0)&amp;"/"&amp;IFERROR(--(INDEX('Reguler Class Availability'!$F:$F,N39)&amp;""),0)&amp;IF(IFERROR(--(INDEX('Reguler Class Availability'!$F:$F,N39)&amp;""),0)&gt;0,"  ("&amp;TEXT(IFERROR(--(INDEX('Reguler Class Availability'!$G:$G,N39)&amp;""),0)/IFERROR(--(INDEX('Reguler Class Availability'!$F:$F,N39)&amp;""),0),"0%")&amp;")","")&amp;CHAR(10)&amp;IF(INDEX('Reguler Class Availability'!$I:$I,N39)&amp;""="","coach: –",PROPER(INDEX('Reguler Class Availability'!$I:$I,N39)&amp;""))&amp;IF(INDEX('Reguler Class Availability'!$J:$J,N39)&amp;""="","",CHAR(10)&amp;"asst: "&amp;PROPER(INDEX('Reguler Class Availability'!$J:$J,N39)&amp;""))))</f>
        <v>Tiny  0/0
coach: –</v>
      </c>
      <c r="G39" s="40" t="str">
        <f aca="false">IF(O39="","",IF(W39="Tidak dibuka","–",IF(INDEX('Reguler Class Availability'!$B:$B,O39)&amp;""="","Kosong",PROPER(INDEX('Reguler Class Availability'!$B:$B,O39)&amp;""))&amp;"  "&amp;IFERROR(--(INDEX('Reguler Class Availability'!$G:$G,O39)&amp;""),0)&amp;"/"&amp;IFERROR(--(INDEX('Reguler Class Availability'!$F:$F,O39)&amp;""),0)&amp;IF(IFERROR(--(INDEX('Reguler Class Availability'!$F:$F,O39)&amp;""),0)&gt;0,"  ("&amp;TEXT(IFERROR(--(INDEX('Reguler Class Availability'!$G:$G,O39)&amp;""),0)/IFERROR(--(INDEX('Reguler Class Availability'!$F:$F,O39)&amp;""),0),"0%")&amp;")","")&amp;CHAR(10)&amp;IF(INDEX('Reguler Class Availability'!$I:$I,O39)&amp;""="","coach: –",PROPER(INDEX('Reguler Class Availability'!$I:$I,O39)&amp;""))&amp;IF(INDEX('Reguler Class Availability'!$J:$J,O39)&amp;""="","",CHAR(10)&amp;"asst: "&amp;PROPER(INDEX('Reguler Class Availability'!$J:$J,O39)&amp;""))))</f>
        <v>Kids  4/4  (100%)
Tessa</v>
      </c>
      <c r="H39" s="40" t="str">
        <f aca="false">IF(P39="","",IF(X39="Tidak dibuka","–",IF(INDEX('Reguler Class Availability'!$B:$B,P39)&amp;""="","Kosong",PROPER(INDEX('Reguler Class Availability'!$B:$B,P39)&amp;""))&amp;"  "&amp;IFERROR(--(INDEX('Reguler Class Availability'!$G:$G,P39)&amp;""),0)&amp;"/"&amp;IFERROR(--(INDEX('Reguler Class Availability'!$F:$F,P39)&amp;""),0)&amp;IF(IFERROR(--(INDEX('Reguler Class Availability'!$F:$F,P39)&amp;""),0)&gt;0,"  ("&amp;TEXT(IFERROR(--(INDEX('Reguler Class Availability'!$G:$G,P39)&amp;""),0)/IFERROR(--(INDEX('Reguler Class Availability'!$F:$F,P39)&amp;""),0),"0%")&amp;")","")&amp;CHAR(10)&amp;IF(INDEX('Reguler Class Availability'!$I:$I,P39)&amp;""="","coach: –",PROPER(INDEX('Reguler Class Availability'!$I:$I,P39)&amp;""))&amp;IF(INDEX('Reguler Class Availability'!$J:$J,P39)&amp;""="","",CHAR(10)&amp;"asst: "&amp;PROPER(INDEX('Reguler Class Availability'!$J:$J,P39)&amp;""))))</f>
        <v>Tiny  2/5  (40%)
Tessa</v>
      </c>
      <c r="J39" s="4" t="n">
        <f aca="false">IF($A39="","",IFERROR(MATCH($B$4&amp;"|- Lane 2 - "&amp;B$33&amp;"|"&amp;$A39,'Reguler Class Availability'!$L:$L,0),""))</f>
        <v>105</v>
      </c>
      <c r="K39" s="4" t="n">
        <f aca="false">IF($A39="","",IFERROR(MATCH($B$4&amp;"|- Lane 2 - "&amp;C$33&amp;"|"&amp;$A39,'Reguler Class Availability'!$L:$L,0),""))</f>
        <v>117</v>
      </c>
      <c r="L39" s="4" t="n">
        <f aca="false">IF($A39="","",IFERROR(MATCH($B$4&amp;"|- Lane 2 - "&amp;D$33&amp;"|"&amp;$A39,'Reguler Class Availability'!$L:$L,0),""))</f>
        <v>129</v>
      </c>
      <c r="M39" s="4" t="n">
        <f aca="false">IF($A39="","",IFERROR(MATCH($B$4&amp;"|- Lane 2 - "&amp;E$33&amp;"|"&amp;$A39,'Reguler Class Availability'!$L:$L,0),""))</f>
        <v>141</v>
      </c>
      <c r="N39" s="4" t="n">
        <f aca="false">IF($A39="","",IFERROR(MATCH($B$4&amp;"|- Lane 2 - "&amp;F$33&amp;"|"&amp;$A39,'Reguler Class Availability'!$L:$L,0),""))</f>
        <v>153</v>
      </c>
      <c r="O39" s="4" t="n">
        <f aca="false">IF($A39="","",IFERROR(MATCH($B$4&amp;"|- Lane 2 - "&amp;G$33&amp;"|"&amp;$A39,'Reguler Class Availability'!$L:$L,0),""))</f>
        <v>165</v>
      </c>
      <c r="P39" s="4" t="n">
        <f aca="false">IF($A39="","",IFERROR(MATCH($B$4&amp;"|- Lane 2 - "&amp;H$33&amp;"|"&amp;$A39,'Reguler Class Availability'!$L:$L,0),""))</f>
        <v>177</v>
      </c>
      <c r="R39" s="0" t="str">
        <f aca="false">IF(J39="","",IF(AND(IFERROR(--(INDEX('Reguler Class Availability'!$F:$F,J39)&amp;""),0)=0,IFERROR(--(INDEX('Reguler Class Availability'!$G:$G,J39)&amp;""),0)=0),IF(OR(INDEX('Reguler Class Availability'!$B:$B,J39)&amp;""&lt;&gt;"",INDEX('Reguler Class Availability'!$I:$I,J39)&amp;""&lt;&gt;""),"Tutup","Tidak dibuka"),IF(IFERROR(--(INDEX('Reguler Class Availability'!$G:$G,J39)&amp;""),0)&gt;IFERROR(--(INDEX('Reguler Class Availability'!$F:$F,J39)&amp;""),0),"Lebih",IF(IFERROR(--(INDEX('Reguler Class Availability'!$G:$G,J39)&amp;""),0)=IFERROR(--(INDEX('Reguler Class Availability'!$F:$F,J39)&amp;""),0),"Penuh",IF(IFERROR(--(INDEX('Reguler Class Availability'!$G:$G,J39)&amp;""),0)=0,IF(INDEX('Reguler Class Availability'!$B:$B,J39)&amp;""="","Kosong","Belum terisi"),IF(IFERROR(--(INDEX('Reguler Class Availability'!$G:$G,J39)&amp;""),0)/IFERROR(--(INDEX('Reguler Class Availability'!$F:$F,J39)&amp;""),0)&gt;=0.6,"Tinggi","Sebagian"))))))</f>
        <v>Tutup</v>
      </c>
      <c r="S39" s="0" t="str">
        <f aca="false">IF(K39="","",IF(AND(IFERROR(--(INDEX('Reguler Class Availability'!$F:$F,K39)&amp;""),0)=0,IFERROR(--(INDEX('Reguler Class Availability'!$G:$G,K39)&amp;""),0)=0),IF(OR(INDEX('Reguler Class Availability'!$B:$B,K39)&amp;""&lt;&gt;"",INDEX('Reguler Class Availability'!$I:$I,K39)&amp;""&lt;&gt;""),"Tutup","Tidak dibuka"),IF(IFERROR(--(INDEX('Reguler Class Availability'!$G:$G,K39)&amp;""),0)&gt;IFERROR(--(INDEX('Reguler Class Availability'!$F:$F,K39)&amp;""),0),"Lebih",IF(IFERROR(--(INDEX('Reguler Class Availability'!$G:$G,K39)&amp;""),0)=IFERROR(--(INDEX('Reguler Class Availability'!$F:$F,K39)&amp;""),0),"Penuh",IF(IFERROR(--(INDEX('Reguler Class Availability'!$G:$G,K39)&amp;""),0)=0,IF(INDEX('Reguler Class Availability'!$B:$B,K39)&amp;""="","Kosong","Belum terisi"),IF(IFERROR(--(INDEX('Reguler Class Availability'!$G:$G,K39)&amp;""),0)/IFERROR(--(INDEX('Reguler Class Availability'!$F:$F,K39)&amp;""),0)&gt;=0.6,"Tinggi","Sebagian"))))))</f>
        <v>Tutup</v>
      </c>
      <c r="T39" s="0" t="str">
        <f aca="false">IF(L39="","",IF(AND(IFERROR(--(INDEX('Reguler Class Availability'!$F:$F,L39)&amp;""),0)=0,IFERROR(--(INDEX('Reguler Class Availability'!$G:$G,L39)&amp;""),0)=0),IF(OR(INDEX('Reguler Class Availability'!$B:$B,L39)&amp;""&lt;&gt;"",INDEX('Reguler Class Availability'!$I:$I,L39)&amp;""&lt;&gt;""),"Tutup","Tidak dibuka"),IF(IFERROR(--(INDEX('Reguler Class Availability'!$G:$G,L39)&amp;""),0)&gt;IFERROR(--(INDEX('Reguler Class Availability'!$F:$F,L39)&amp;""),0),"Lebih",IF(IFERROR(--(INDEX('Reguler Class Availability'!$G:$G,L39)&amp;""),0)=IFERROR(--(INDEX('Reguler Class Availability'!$F:$F,L39)&amp;""),0),"Penuh",IF(IFERROR(--(INDEX('Reguler Class Availability'!$G:$G,L39)&amp;""),0)=0,IF(INDEX('Reguler Class Availability'!$B:$B,L39)&amp;""="","Kosong","Belum terisi"),IF(IFERROR(--(INDEX('Reguler Class Availability'!$G:$G,L39)&amp;""),0)/IFERROR(--(INDEX('Reguler Class Availability'!$F:$F,L39)&amp;""),0)&gt;=0.6,"Tinggi","Sebagian"))))))</f>
        <v>Tutup</v>
      </c>
      <c r="U39" s="0" t="str">
        <f aca="false">IF(M39="","",IF(AND(IFERROR(--(INDEX('Reguler Class Availability'!$F:$F,M39)&amp;""),0)=0,IFERROR(--(INDEX('Reguler Class Availability'!$G:$G,M39)&amp;""),0)=0),IF(OR(INDEX('Reguler Class Availability'!$B:$B,M39)&amp;""&lt;&gt;"",INDEX('Reguler Class Availability'!$I:$I,M39)&amp;""&lt;&gt;""),"Tutup","Tidak dibuka"),IF(IFERROR(--(INDEX('Reguler Class Availability'!$G:$G,M39)&amp;""),0)&gt;IFERROR(--(INDEX('Reguler Class Availability'!$F:$F,M39)&amp;""),0),"Lebih",IF(IFERROR(--(INDEX('Reguler Class Availability'!$G:$G,M39)&amp;""),0)=IFERROR(--(INDEX('Reguler Class Availability'!$F:$F,M39)&amp;""),0),"Penuh",IF(IFERROR(--(INDEX('Reguler Class Availability'!$G:$G,M39)&amp;""),0)=0,IF(INDEX('Reguler Class Availability'!$B:$B,M39)&amp;""="","Kosong","Belum terisi"),IF(IFERROR(--(INDEX('Reguler Class Availability'!$G:$G,M39)&amp;""),0)/IFERROR(--(INDEX('Reguler Class Availability'!$F:$F,M39)&amp;""),0)&gt;=0.6,"Tinggi","Sebagian"))))))</f>
        <v>Tutup</v>
      </c>
      <c r="V39" s="0" t="str">
        <f aca="false">IF(N39="","",IF(AND(IFERROR(--(INDEX('Reguler Class Availability'!$F:$F,N39)&amp;""),0)=0,IFERROR(--(INDEX('Reguler Class Availability'!$G:$G,N39)&amp;""),0)=0),IF(OR(INDEX('Reguler Class Availability'!$B:$B,N39)&amp;""&lt;&gt;"",INDEX('Reguler Class Availability'!$I:$I,N39)&amp;""&lt;&gt;""),"Tutup","Tidak dibuka"),IF(IFERROR(--(INDEX('Reguler Class Availability'!$G:$G,N39)&amp;""),0)&gt;IFERROR(--(INDEX('Reguler Class Availability'!$F:$F,N39)&amp;""),0),"Lebih",IF(IFERROR(--(INDEX('Reguler Class Availability'!$G:$G,N39)&amp;""),0)=IFERROR(--(INDEX('Reguler Class Availability'!$F:$F,N39)&amp;""),0),"Penuh",IF(IFERROR(--(INDEX('Reguler Class Availability'!$G:$G,N39)&amp;""),0)=0,IF(INDEX('Reguler Class Availability'!$B:$B,N39)&amp;""="","Kosong","Belum terisi"),IF(IFERROR(--(INDEX('Reguler Class Availability'!$G:$G,N39)&amp;""),0)/IFERROR(--(INDEX('Reguler Class Availability'!$F:$F,N39)&amp;""),0)&gt;=0.6,"Tinggi","Sebagian"))))))</f>
        <v>Tutup</v>
      </c>
      <c r="W39" s="0" t="str">
        <f aca="false">IF(O39="","",IF(AND(IFERROR(--(INDEX('Reguler Class Availability'!$F:$F,O39)&amp;""),0)=0,IFERROR(--(INDEX('Reguler Class Availability'!$G:$G,O39)&amp;""),0)=0),IF(OR(INDEX('Reguler Class Availability'!$B:$B,O39)&amp;""&lt;&gt;"",INDEX('Reguler Class Availability'!$I:$I,O39)&amp;""&lt;&gt;""),"Tutup","Tidak dibuka"),IF(IFERROR(--(INDEX('Reguler Class Availability'!$G:$G,O39)&amp;""),0)&gt;IFERROR(--(INDEX('Reguler Class Availability'!$F:$F,O39)&amp;""),0),"Lebih",IF(IFERROR(--(INDEX('Reguler Class Availability'!$G:$G,O39)&amp;""),0)=IFERROR(--(INDEX('Reguler Class Availability'!$F:$F,O39)&amp;""),0),"Penuh",IF(IFERROR(--(INDEX('Reguler Class Availability'!$G:$G,O39)&amp;""),0)=0,IF(INDEX('Reguler Class Availability'!$B:$B,O39)&amp;""="","Kosong","Belum terisi"),IF(IFERROR(--(INDEX('Reguler Class Availability'!$G:$G,O39)&amp;""),0)/IFERROR(--(INDEX('Reguler Class Availability'!$F:$F,O39)&amp;""),0)&gt;=0.6,"Tinggi","Sebagian"))))))</f>
        <v>Penuh</v>
      </c>
      <c r="X39" s="0" t="str">
        <f aca="false">IF(P39="","",IF(AND(IFERROR(--(INDEX('Reguler Class Availability'!$F:$F,P39)&amp;""),0)=0,IFERROR(--(INDEX('Reguler Class Availability'!$G:$G,P39)&amp;""),0)=0),IF(OR(INDEX('Reguler Class Availability'!$B:$B,P39)&amp;""&lt;&gt;"",INDEX('Reguler Class Availability'!$I:$I,P39)&amp;""&lt;&gt;""),"Tutup","Tidak dibuka"),IF(IFERROR(--(INDEX('Reguler Class Availability'!$G:$G,P39)&amp;""),0)&gt;IFERROR(--(INDEX('Reguler Class Availability'!$F:$F,P39)&amp;""),0),"Lebih",IF(IFERROR(--(INDEX('Reguler Class Availability'!$G:$G,P39)&amp;""),0)=IFERROR(--(INDEX('Reguler Class Availability'!$F:$F,P39)&amp;""),0),"Penuh",IF(IFERROR(--(INDEX('Reguler Class Availability'!$G:$G,P39)&amp;""),0)=0,IF(INDEX('Reguler Class Availability'!$B:$B,P39)&amp;""="","Kosong","Belum terisi"),IF(IFERROR(--(INDEX('Reguler Class Availability'!$G:$G,P39)&amp;""),0)/IFERROR(--(INDEX('Reguler Class Availability'!$F:$F,P39)&amp;""),0)&gt;=0.6,"Tinggi","Sebagian"))))))</f>
        <v>Sebagian</v>
      </c>
      <c r="Z39" s="4" t="s">
        <v>74</v>
      </c>
      <c r="AA39" s="4" t="n">
        <f aca="false">IF(COUNTIFS('Reguler Class Availability'!$L:$L,$B$4&amp;"|- Lane 1 - *|"&amp;Z39)&gt;0,1,0)</f>
        <v>0</v>
      </c>
      <c r="AB39" s="4" t="n">
        <f aca="false">AA39+AB38</f>
        <v>10</v>
      </c>
    </row>
    <row r="40" customFormat="false" ht="39.75" hidden="false" customHeight="true" outlineLevel="0" collapsed="false">
      <c r="A40" s="39" t="str">
        <f aca="false">IFERROR(INDEX($Z$62:$Z$121,MATCH(7,$AB$62:$AB$121,0)),"")</f>
        <v>13:30</v>
      </c>
      <c r="B40" s="40" t="str">
        <f aca="false">IF(J40="","",IF(R40="Tidak dibuka","–",IF(INDEX('Reguler Class Availability'!$B:$B,J40)&amp;""="","Kosong",PROPER(INDEX('Reguler Class Availability'!$B:$B,J40)&amp;""))&amp;"  "&amp;IFERROR(--(INDEX('Reguler Class Availability'!$G:$G,J40)&amp;""),0)&amp;"/"&amp;IFERROR(--(INDEX('Reguler Class Availability'!$F:$F,J40)&amp;""),0)&amp;IF(IFERROR(--(INDEX('Reguler Class Availability'!$F:$F,J40)&amp;""),0)&gt;0,"  ("&amp;TEXT(IFERROR(--(INDEX('Reguler Class Availability'!$G:$G,J40)&amp;""),0)/IFERROR(--(INDEX('Reguler Class Availability'!$F:$F,J40)&amp;""),0),"0%")&amp;")","")&amp;CHAR(10)&amp;IF(INDEX('Reguler Class Availability'!$I:$I,J40)&amp;""="","coach: –",PROPER(INDEX('Reguler Class Availability'!$I:$I,J40)&amp;""))&amp;IF(INDEX('Reguler Class Availability'!$J:$J,J40)&amp;""="","",CHAR(10)&amp;"asst: "&amp;PROPER(INDEX('Reguler Class Availability'!$J:$J,J40)&amp;""))))</f>
        <v>Tiny  0/5  (0%)
coach: –</v>
      </c>
      <c r="C40" s="40" t="str">
        <f aca="false">IF(K40="","",IF(S40="Tidak dibuka","–",IF(INDEX('Reguler Class Availability'!$B:$B,K40)&amp;""="","Kosong",PROPER(INDEX('Reguler Class Availability'!$B:$B,K40)&amp;""))&amp;"  "&amp;IFERROR(--(INDEX('Reguler Class Availability'!$G:$G,K40)&amp;""),0)&amp;"/"&amp;IFERROR(--(INDEX('Reguler Class Availability'!$F:$F,K40)&amp;""),0)&amp;IF(IFERROR(--(INDEX('Reguler Class Availability'!$F:$F,K40)&amp;""),0)&gt;0,"  ("&amp;TEXT(IFERROR(--(INDEX('Reguler Class Availability'!$G:$G,K40)&amp;""),0)/IFERROR(--(INDEX('Reguler Class Availability'!$F:$F,K40)&amp;""),0),"0%")&amp;")","")&amp;CHAR(10)&amp;IF(INDEX('Reguler Class Availability'!$I:$I,K40)&amp;""="","coach: –",PROPER(INDEX('Reguler Class Availability'!$I:$I,K40)&amp;""))&amp;IF(INDEX('Reguler Class Availability'!$J:$J,K40)&amp;""="","",CHAR(10)&amp;"asst: "&amp;PROPER(INDEX('Reguler Class Availability'!$J:$J,K40)&amp;""))))</f>
        <v>Tiny  0/5  (0%)
coach: –</v>
      </c>
      <c r="D40" s="40" t="str">
        <f aca="false">IF(L40="","",IF(T40="Tidak dibuka","–",IF(INDEX('Reguler Class Availability'!$B:$B,L40)&amp;""="","Kosong",PROPER(INDEX('Reguler Class Availability'!$B:$B,L40)&amp;""))&amp;"  "&amp;IFERROR(--(INDEX('Reguler Class Availability'!$G:$G,L40)&amp;""),0)&amp;"/"&amp;IFERROR(--(INDEX('Reguler Class Availability'!$F:$F,L40)&amp;""),0)&amp;IF(IFERROR(--(INDEX('Reguler Class Availability'!$F:$F,L40)&amp;""),0)&gt;0,"  ("&amp;TEXT(IFERROR(--(INDEX('Reguler Class Availability'!$G:$G,L40)&amp;""),0)/IFERROR(--(INDEX('Reguler Class Availability'!$F:$F,L40)&amp;""),0),"0%")&amp;")","")&amp;CHAR(10)&amp;IF(INDEX('Reguler Class Availability'!$I:$I,L40)&amp;""="","coach: –",PROPER(INDEX('Reguler Class Availability'!$I:$I,L40)&amp;""))&amp;IF(INDEX('Reguler Class Availability'!$J:$J,L40)&amp;""="","",CHAR(10)&amp;"asst: "&amp;PROPER(INDEX('Reguler Class Availability'!$J:$J,L40)&amp;""))))</f>
        <v>Tiny  0/5  (0%)
coach: –</v>
      </c>
      <c r="E40" s="40" t="str">
        <f aca="false">IF(M40="","",IF(U40="Tidak dibuka","–",IF(INDEX('Reguler Class Availability'!$B:$B,M40)&amp;""="","Kosong",PROPER(INDEX('Reguler Class Availability'!$B:$B,M40)&amp;""))&amp;"  "&amp;IFERROR(--(INDEX('Reguler Class Availability'!$G:$G,M40)&amp;""),0)&amp;"/"&amp;IFERROR(--(INDEX('Reguler Class Availability'!$F:$F,M40)&amp;""),0)&amp;IF(IFERROR(--(INDEX('Reguler Class Availability'!$F:$F,M40)&amp;""),0)&gt;0,"  ("&amp;TEXT(IFERROR(--(INDEX('Reguler Class Availability'!$G:$G,M40)&amp;""),0)/IFERROR(--(INDEX('Reguler Class Availability'!$F:$F,M40)&amp;""),0),"0%")&amp;")","")&amp;CHAR(10)&amp;IF(INDEX('Reguler Class Availability'!$I:$I,M40)&amp;""="","coach: –",PROPER(INDEX('Reguler Class Availability'!$I:$I,M40)&amp;""))&amp;IF(INDEX('Reguler Class Availability'!$J:$J,M40)&amp;""="","",CHAR(10)&amp;"asst: "&amp;PROPER(INDEX('Reguler Class Availability'!$J:$J,M40)&amp;""))))</f>
        <v>Tiny  0/5  (0%)
coach: –</v>
      </c>
      <c r="F40" s="40" t="str">
        <f aca="false">IF(N40="","",IF(V40="Tidak dibuka","–",IF(INDEX('Reguler Class Availability'!$B:$B,N40)&amp;""="","Kosong",PROPER(INDEX('Reguler Class Availability'!$B:$B,N40)&amp;""))&amp;"  "&amp;IFERROR(--(INDEX('Reguler Class Availability'!$G:$G,N40)&amp;""),0)&amp;"/"&amp;IFERROR(--(INDEX('Reguler Class Availability'!$F:$F,N40)&amp;""),0)&amp;IF(IFERROR(--(INDEX('Reguler Class Availability'!$F:$F,N40)&amp;""),0)&gt;0,"  ("&amp;TEXT(IFERROR(--(INDEX('Reguler Class Availability'!$G:$G,N40)&amp;""),0)/IFERROR(--(INDEX('Reguler Class Availability'!$F:$F,N40)&amp;""),0),"0%")&amp;")","")&amp;CHAR(10)&amp;IF(INDEX('Reguler Class Availability'!$I:$I,N40)&amp;""="","coach: –",PROPER(INDEX('Reguler Class Availability'!$I:$I,N40)&amp;""))&amp;IF(INDEX('Reguler Class Availability'!$J:$J,N40)&amp;""="","",CHAR(10)&amp;"asst: "&amp;PROPER(INDEX('Reguler Class Availability'!$J:$J,N40)&amp;""))))</f>
        <v>Tiny  0/5  (0%)
coach: –</v>
      </c>
      <c r="G40" s="40" t="str">
        <f aca="false">IF(O40="","",IF(W40="Tidak dibuka","–",IF(INDEX('Reguler Class Availability'!$B:$B,O40)&amp;""="","Kosong",PROPER(INDEX('Reguler Class Availability'!$B:$B,O40)&amp;""))&amp;"  "&amp;IFERROR(--(INDEX('Reguler Class Availability'!$G:$G,O40)&amp;""),0)&amp;"/"&amp;IFERROR(--(INDEX('Reguler Class Availability'!$F:$F,O40)&amp;""),0)&amp;IF(IFERROR(--(INDEX('Reguler Class Availability'!$F:$F,O40)&amp;""),0)&gt;0,"  ("&amp;TEXT(IFERROR(--(INDEX('Reguler Class Availability'!$G:$G,O40)&amp;""),0)/IFERROR(--(INDEX('Reguler Class Availability'!$F:$F,O40)&amp;""),0),"0%")&amp;")","")&amp;CHAR(10)&amp;IF(INDEX('Reguler Class Availability'!$I:$I,O40)&amp;""="","coach: –",PROPER(INDEX('Reguler Class Availability'!$I:$I,O40)&amp;""))&amp;IF(INDEX('Reguler Class Availability'!$J:$J,O40)&amp;""="","",CHAR(10)&amp;"asst: "&amp;PROPER(INDEX('Reguler Class Availability'!$J:$J,O40)&amp;""))))</f>
        <v>Tiny  3/5  (60%)
Zidane</v>
      </c>
      <c r="H40" s="40" t="str">
        <f aca="false">IF(P40="","",IF(X40="Tidak dibuka","–",IF(INDEX('Reguler Class Availability'!$B:$B,P40)&amp;""="","Kosong",PROPER(INDEX('Reguler Class Availability'!$B:$B,P40)&amp;""))&amp;"  "&amp;IFERROR(--(INDEX('Reguler Class Availability'!$G:$G,P40)&amp;""),0)&amp;"/"&amp;IFERROR(--(INDEX('Reguler Class Availability'!$F:$F,P40)&amp;""),0)&amp;IF(IFERROR(--(INDEX('Reguler Class Availability'!$F:$F,P40)&amp;""),0)&gt;0,"  ("&amp;TEXT(IFERROR(--(INDEX('Reguler Class Availability'!$G:$G,P40)&amp;""),0)/IFERROR(--(INDEX('Reguler Class Availability'!$F:$F,P40)&amp;""),0),"0%")&amp;")","")&amp;CHAR(10)&amp;IF(INDEX('Reguler Class Availability'!$I:$I,P40)&amp;""="","coach: –",PROPER(INDEX('Reguler Class Availability'!$I:$I,P40)&amp;""))&amp;IF(INDEX('Reguler Class Availability'!$J:$J,P40)&amp;""="","",CHAR(10)&amp;"asst: "&amp;PROPER(INDEX('Reguler Class Availability'!$J:$J,P40)&amp;""))))</f>
        <v>Tiny  4/5  (80%)
Surya</v>
      </c>
      <c r="J40" s="4" t="n">
        <f aca="false">IF($A40="","",IFERROR(MATCH($B$4&amp;"|- Lane 2 - "&amp;B$33&amp;"|"&amp;$A40,'Reguler Class Availability'!$L:$L,0),""))</f>
        <v>106</v>
      </c>
      <c r="K40" s="4" t="n">
        <f aca="false">IF($A40="","",IFERROR(MATCH($B$4&amp;"|- Lane 2 - "&amp;C$33&amp;"|"&amp;$A40,'Reguler Class Availability'!$L:$L,0),""))</f>
        <v>118</v>
      </c>
      <c r="L40" s="4" t="n">
        <f aca="false">IF($A40="","",IFERROR(MATCH($B$4&amp;"|- Lane 2 - "&amp;D$33&amp;"|"&amp;$A40,'Reguler Class Availability'!$L:$L,0),""))</f>
        <v>130</v>
      </c>
      <c r="M40" s="4" t="n">
        <f aca="false">IF($A40="","",IFERROR(MATCH($B$4&amp;"|- Lane 2 - "&amp;E$33&amp;"|"&amp;$A40,'Reguler Class Availability'!$L:$L,0),""))</f>
        <v>142</v>
      </c>
      <c r="N40" s="4" t="n">
        <f aca="false">IF($A40="","",IFERROR(MATCH($B$4&amp;"|- Lane 2 - "&amp;F$33&amp;"|"&amp;$A40,'Reguler Class Availability'!$L:$L,0),""))</f>
        <v>154</v>
      </c>
      <c r="O40" s="4" t="n">
        <f aca="false">IF($A40="","",IFERROR(MATCH($B$4&amp;"|- Lane 2 - "&amp;G$33&amp;"|"&amp;$A40,'Reguler Class Availability'!$L:$L,0),""))</f>
        <v>166</v>
      </c>
      <c r="P40" s="4" t="n">
        <f aca="false">IF($A40="","",IFERROR(MATCH($B$4&amp;"|- Lane 2 - "&amp;H$33&amp;"|"&amp;$A40,'Reguler Class Availability'!$L:$L,0),""))</f>
        <v>178</v>
      </c>
      <c r="R40" s="0" t="str">
        <f aca="false">IF(J40="","",IF(AND(IFERROR(--(INDEX('Reguler Class Availability'!$F:$F,J40)&amp;""),0)=0,IFERROR(--(INDEX('Reguler Class Availability'!$G:$G,J40)&amp;""),0)=0),IF(OR(INDEX('Reguler Class Availability'!$B:$B,J40)&amp;""&lt;&gt;"",INDEX('Reguler Class Availability'!$I:$I,J40)&amp;""&lt;&gt;""),"Tutup","Tidak dibuka"),IF(IFERROR(--(INDEX('Reguler Class Availability'!$G:$G,J40)&amp;""),0)&gt;IFERROR(--(INDEX('Reguler Class Availability'!$F:$F,J40)&amp;""),0),"Lebih",IF(IFERROR(--(INDEX('Reguler Class Availability'!$G:$G,J40)&amp;""),0)=IFERROR(--(INDEX('Reguler Class Availability'!$F:$F,J40)&amp;""),0),"Penuh",IF(IFERROR(--(INDEX('Reguler Class Availability'!$G:$G,J40)&amp;""),0)=0,IF(INDEX('Reguler Class Availability'!$B:$B,J40)&amp;""="","Kosong","Belum terisi"),IF(IFERROR(--(INDEX('Reguler Class Availability'!$G:$G,J40)&amp;""),0)/IFERROR(--(INDEX('Reguler Class Availability'!$F:$F,J40)&amp;""),0)&gt;=0.6,"Tinggi","Sebagian"))))))</f>
        <v>Belum terisi</v>
      </c>
      <c r="S40" s="0" t="str">
        <f aca="false">IF(K40="","",IF(AND(IFERROR(--(INDEX('Reguler Class Availability'!$F:$F,K40)&amp;""),0)=0,IFERROR(--(INDEX('Reguler Class Availability'!$G:$G,K40)&amp;""),0)=0),IF(OR(INDEX('Reguler Class Availability'!$B:$B,K40)&amp;""&lt;&gt;"",INDEX('Reguler Class Availability'!$I:$I,K40)&amp;""&lt;&gt;""),"Tutup","Tidak dibuka"),IF(IFERROR(--(INDEX('Reguler Class Availability'!$G:$G,K40)&amp;""),0)&gt;IFERROR(--(INDEX('Reguler Class Availability'!$F:$F,K40)&amp;""),0),"Lebih",IF(IFERROR(--(INDEX('Reguler Class Availability'!$G:$G,K40)&amp;""),0)=IFERROR(--(INDEX('Reguler Class Availability'!$F:$F,K40)&amp;""),0),"Penuh",IF(IFERROR(--(INDEX('Reguler Class Availability'!$G:$G,K40)&amp;""),0)=0,IF(INDEX('Reguler Class Availability'!$B:$B,K40)&amp;""="","Kosong","Belum terisi"),IF(IFERROR(--(INDEX('Reguler Class Availability'!$G:$G,K40)&amp;""),0)/IFERROR(--(INDEX('Reguler Class Availability'!$F:$F,K40)&amp;""),0)&gt;=0.6,"Tinggi","Sebagian"))))))</f>
        <v>Belum terisi</v>
      </c>
      <c r="T40" s="0" t="str">
        <f aca="false">IF(L40="","",IF(AND(IFERROR(--(INDEX('Reguler Class Availability'!$F:$F,L40)&amp;""),0)=0,IFERROR(--(INDEX('Reguler Class Availability'!$G:$G,L40)&amp;""),0)=0),IF(OR(INDEX('Reguler Class Availability'!$B:$B,L40)&amp;""&lt;&gt;"",INDEX('Reguler Class Availability'!$I:$I,L40)&amp;""&lt;&gt;""),"Tutup","Tidak dibuka"),IF(IFERROR(--(INDEX('Reguler Class Availability'!$G:$G,L40)&amp;""),0)&gt;IFERROR(--(INDEX('Reguler Class Availability'!$F:$F,L40)&amp;""),0),"Lebih",IF(IFERROR(--(INDEX('Reguler Class Availability'!$G:$G,L40)&amp;""),0)=IFERROR(--(INDEX('Reguler Class Availability'!$F:$F,L40)&amp;""),0),"Penuh",IF(IFERROR(--(INDEX('Reguler Class Availability'!$G:$G,L40)&amp;""),0)=0,IF(INDEX('Reguler Class Availability'!$B:$B,L40)&amp;""="","Kosong","Belum terisi"),IF(IFERROR(--(INDEX('Reguler Class Availability'!$G:$G,L40)&amp;""),0)/IFERROR(--(INDEX('Reguler Class Availability'!$F:$F,L40)&amp;""),0)&gt;=0.6,"Tinggi","Sebagian"))))))</f>
        <v>Belum terisi</v>
      </c>
      <c r="U40" s="0" t="str">
        <f aca="false">IF(M40="","",IF(AND(IFERROR(--(INDEX('Reguler Class Availability'!$F:$F,M40)&amp;""),0)=0,IFERROR(--(INDEX('Reguler Class Availability'!$G:$G,M40)&amp;""),0)=0),IF(OR(INDEX('Reguler Class Availability'!$B:$B,M40)&amp;""&lt;&gt;"",INDEX('Reguler Class Availability'!$I:$I,M40)&amp;""&lt;&gt;""),"Tutup","Tidak dibuka"),IF(IFERROR(--(INDEX('Reguler Class Availability'!$G:$G,M40)&amp;""),0)&gt;IFERROR(--(INDEX('Reguler Class Availability'!$F:$F,M40)&amp;""),0),"Lebih",IF(IFERROR(--(INDEX('Reguler Class Availability'!$G:$G,M40)&amp;""),0)=IFERROR(--(INDEX('Reguler Class Availability'!$F:$F,M40)&amp;""),0),"Penuh",IF(IFERROR(--(INDEX('Reguler Class Availability'!$G:$G,M40)&amp;""),0)=0,IF(INDEX('Reguler Class Availability'!$B:$B,M40)&amp;""="","Kosong","Belum terisi"),IF(IFERROR(--(INDEX('Reguler Class Availability'!$G:$G,M40)&amp;""),0)/IFERROR(--(INDEX('Reguler Class Availability'!$F:$F,M40)&amp;""),0)&gt;=0.6,"Tinggi","Sebagian"))))))</f>
        <v>Belum terisi</v>
      </c>
      <c r="V40" s="0" t="str">
        <f aca="false">IF(N40="","",IF(AND(IFERROR(--(INDEX('Reguler Class Availability'!$F:$F,N40)&amp;""),0)=0,IFERROR(--(INDEX('Reguler Class Availability'!$G:$G,N40)&amp;""),0)=0),IF(OR(INDEX('Reguler Class Availability'!$B:$B,N40)&amp;""&lt;&gt;"",INDEX('Reguler Class Availability'!$I:$I,N40)&amp;""&lt;&gt;""),"Tutup","Tidak dibuka"),IF(IFERROR(--(INDEX('Reguler Class Availability'!$G:$G,N40)&amp;""),0)&gt;IFERROR(--(INDEX('Reguler Class Availability'!$F:$F,N40)&amp;""),0),"Lebih",IF(IFERROR(--(INDEX('Reguler Class Availability'!$G:$G,N40)&amp;""),0)=IFERROR(--(INDEX('Reguler Class Availability'!$F:$F,N40)&amp;""),0),"Penuh",IF(IFERROR(--(INDEX('Reguler Class Availability'!$G:$G,N40)&amp;""),0)=0,IF(INDEX('Reguler Class Availability'!$B:$B,N40)&amp;""="","Kosong","Belum terisi"),IF(IFERROR(--(INDEX('Reguler Class Availability'!$G:$G,N40)&amp;""),0)/IFERROR(--(INDEX('Reguler Class Availability'!$F:$F,N40)&amp;""),0)&gt;=0.6,"Tinggi","Sebagian"))))))</f>
        <v>Belum terisi</v>
      </c>
      <c r="W40" s="0" t="str">
        <f aca="false">IF(O40="","",IF(AND(IFERROR(--(INDEX('Reguler Class Availability'!$F:$F,O40)&amp;""),0)=0,IFERROR(--(INDEX('Reguler Class Availability'!$G:$G,O40)&amp;""),0)=0),IF(OR(INDEX('Reguler Class Availability'!$B:$B,O40)&amp;""&lt;&gt;"",INDEX('Reguler Class Availability'!$I:$I,O40)&amp;""&lt;&gt;""),"Tutup","Tidak dibuka"),IF(IFERROR(--(INDEX('Reguler Class Availability'!$G:$G,O40)&amp;""),0)&gt;IFERROR(--(INDEX('Reguler Class Availability'!$F:$F,O40)&amp;""),0),"Lebih",IF(IFERROR(--(INDEX('Reguler Class Availability'!$G:$G,O40)&amp;""),0)=IFERROR(--(INDEX('Reguler Class Availability'!$F:$F,O40)&amp;""),0),"Penuh",IF(IFERROR(--(INDEX('Reguler Class Availability'!$G:$G,O40)&amp;""),0)=0,IF(INDEX('Reguler Class Availability'!$B:$B,O40)&amp;""="","Kosong","Belum terisi"),IF(IFERROR(--(INDEX('Reguler Class Availability'!$G:$G,O40)&amp;""),0)/IFERROR(--(INDEX('Reguler Class Availability'!$F:$F,O40)&amp;""),0)&gt;=0.6,"Tinggi","Sebagian"))))))</f>
        <v>Tinggi</v>
      </c>
      <c r="X40" s="0" t="str">
        <f aca="false">IF(P40="","",IF(AND(IFERROR(--(INDEX('Reguler Class Availability'!$F:$F,P40)&amp;""),0)=0,IFERROR(--(INDEX('Reguler Class Availability'!$G:$G,P40)&amp;""),0)=0),IF(OR(INDEX('Reguler Class Availability'!$B:$B,P40)&amp;""&lt;&gt;"",INDEX('Reguler Class Availability'!$I:$I,P40)&amp;""&lt;&gt;""),"Tutup","Tidak dibuka"),IF(IFERROR(--(INDEX('Reguler Class Availability'!$G:$G,P40)&amp;""),0)&gt;IFERROR(--(INDEX('Reguler Class Availability'!$F:$F,P40)&amp;""),0),"Lebih",IF(IFERROR(--(INDEX('Reguler Class Availability'!$G:$G,P40)&amp;""),0)=IFERROR(--(INDEX('Reguler Class Availability'!$F:$F,P40)&amp;""),0),"Penuh",IF(IFERROR(--(INDEX('Reguler Class Availability'!$G:$G,P40)&amp;""),0)=0,IF(INDEX('Reguler Class Availability'!$B:$B,P40)&amp;""="","Kosong","Belum terisi"),IF(IFERROR(--(INDEX('Reguler Class Availability'!$G:$G,P40)&amp;""),0)/IFERROR(--(INDEX('Reguler Class Availability'!$F:$F,P40)&amp;""),0)&gt;=0.6,"Tinggi","Sebagian"))))))</f>
        <v>Tinggi</v>
      </c>
      <c r="Z40" s="4" t="s">
        <v>75</v>
      </c>
      <c r="AA40" s="4" t="n">
        <f aca="false">IF(COUNTIFS('Reguler Class Availability'!$L:$L,$B$4&amp;"|- Lane 1 - *|"&amp;Z40)&gt;0,1,0)</f>
        <v>0</v>
      </c>
      <c r="AB40" s="4" t="n">
        <f aca="false">AA40+AB39</f>
        <v>10</v>
      </c>
    </row>
    <row r="41" customFormat="false" ht="39.75" hidden="false" customHeight="true" outlineLevel="0" collapsed="false">
      <c r="A41" s="39" t="str">
        <f aca="false">IFERROR(INDEX($Z$62:$Z$121,MATCH(8,$AB$62:$AB$121,0)),"")</f>
        <v>14:15</v>
      </c>
      <c r="B41" s="40" t="str">
        <f aca="false">IF(J41="","",IF(R41="Tidak dibuka","–",IF(INDEX('Reguler Class Availability'!$B:$B,J41)&amp;""="","Kosong",PROPER(INDEX('Reguler Class Availability'!$B:$B,J41)&amp;""))&amp;"  "&amp;IFERROR(--(INDEX('Reguler Class Availability'!$G:$G,J41)&amp;""),0)&amp;"/"&amp;IFERROR(--(INDEX('Reguler Class Availability'!$F:$F,J41)&amp;""),0)&amp;IF(IFERROR(--(INDEX('Reguler Class Availability'!$F:$F,J41)&amp;""),0)&gt;0,"  ("&amp;TEXT(IFERROR(--(INDEX('Reguler Class Availability'!$G:$G,J41)&amp;""),0)/IFERROR(--(INDEX('Reguler Class Availability'!$F:$F,J41)&amp;""),0),"0%")&amp;")","")&amp;CHAR(10)&amp;IF(INDEX('Reguler Class Availability'!$I:$I,J41)&amp;""="","coach: –",PROPER(INDEX('Reguler Class Availability'!$I:$I,J41)&amp;""))&amp;IF(INDEX('Reguler Class Availability'!$J:$J,J41)&amp;""="","",CHAR(10)&amp;"asst: "&amp;PROPER(INDEX('Reguler Class Availability'!$J:$J,J41)&amp;""))))</f>
        <v>Tiny  1/5  (20%)
Rischa</v>
      </c>
      <c r="C41" s="40" t="str">
        <f aca="false">IF(K41="","",IF(S41="Tidak dibuka","–",IF(INDEX('Reguler Class Availability'!$B:$B,K41)&amp;""="","Kosong",PROPER(INDEX('Reguler Class Availability'!$B:$B,K41)&amp;""))&amp;"  "&amp;IFERROR(--(INDEX('Reguler Class Availability'!$G:$G,K41)&amp;""),0)&amp;"/"&amp;IFERROR(--(INDEX('Reguler Class Availability'!$F:$F,K41)&amp;""),0)&amp;IF(IFERROR(--(INDEX('Reguler Class Availability'!$F:$F,K41)&amp;""),0)&gt;0,"  ("&amp;TEXT(IFERROR(--(INDEX('Reguler Class Availability'!$G:$G,K41)&amp;""),0)/IFERROR(--(INDEX('Reguler Class Availability'!$F:$F,K41)&amp;""),0),"0%")&amp;")","")&amp;CHAR(10)&amp;IF(INDEX('Reguler Class Availability'!$I:$I,K41)&amp;""="","coach: –",PROPER(INDEX('Reguler Class Availability'!$I:$I,K41)&amp;""))&amp;IF(INDEX('Reguler Class Availability'!$J:$J,K41)&amp;""="","",CHAR(10)&amp;"asst: "&amp;PROPER(INDEX('Reguler Class Availability'!$J:$J,K41)&amp;""))))</f>
        <v>Tiny  2/5  (40%)
Rischa</v>
      </c>
      <c r="D41" s="40" t="str">
        <f aca="false">IF(L41="","",IF(T41="Tidak dibuka","–",IF(INDEX('Reguler Class Availability'!$B:$B,L41)&amp;""="","Kosong",PROPER(INDEX('Reguler Class Availability'!$B:$B,L41)&amp;""))&amp;"  "&amp;IFERROR(--(INDEX('Reguler Class Availability'!$G:$G,L41)&amp;""),0)&amp;"/"&amp;IFERROR(--(INDEX('Reguler Class Availability'!$F:$F,L41)&amp;""),0)&amp;IF(IFERROR(--(INDEX('Reguler Class Availability'!$F:$F,L41)&amp;""),0)&gt;0,"  ("&amp;TEXT(IFERROR(--(INDEX('Reguler Class Availability'!$G:$G,L41)&amp;""),0)/IFERROR(--(INDEX('Reguler Class Availability'!$F:$F,L41)&amp;""),0),"0%")&amp;")","")&amp;CHAR(10)&amp;IF(INDEX('Reguler Class Availability'!$I:$I,L41)&amp;""="","coach: –",PROPER(INDEX('Reguler Class Availability'!$I:$I,L41)&amp;""))&amp;IF(INDEX('Reguler Class Availability'!$J:$J,L41)&amp;""="","",CHAR(10)&amp;"asst: "&amp;PROPER(INDEX('Reguler Class Availability'!$J:$J,L41)&amp;""))))</f>
        <v>Tiny  0/5  (0%)
coach: –</v>
      </c>
      <c r="E41" s="40" t="str">
        <f aca="false">IF(M41="","",IF(U41="Tidak dibuka","–",IF(INDEX('Reguler Class Availability'!$B:$B,M41)&amp;""="","Kosong",PROPER(INDEX('Reguler Class Availability'!$B:$B,M41)&amp;""))&amp;"  "&amp;IFERROR(--(INDEX('Reguler Class Availability'!$G:$G,M41)&amp;""),0)&amp;"/"&amp;IFERROR(--(INDEX('Reguler Class Availability'!$F:$F,M41)&amp;""),0)&amp;IF(IFERROR(--(INDEX('Reguler Class Availability'!$F:$F,M41)&amp;""),0)&gt;0,"  ("&amp;TEXT(IFERROR(--(INDEX('Reguler Class Availability'!$G:$G,M41)&amp;""),0)/IFERROR(--(INDEX('Reguler Class Availability'!$F:$F,M41)&amp;""),0),"0%")&amp;")","")&amp;CHAR(10)&amp;IF(INDEX('Reguler Class Availability'!$I:$I,M41)&amp;""="","coach: –",PROPER(INDEX('Reguler Class Availability'!$I:$I,M41)&amp;""))&amp;IF(INDEX('Reguler Class Availability'!$J:$J,M41)&amp;""="","",CHAR(10)&amp;"asst: "&amp;PROPER(INDEX('Reguler Class Availability'!$J:$J,M41)&amp;""))))</f>
        <v>Tiny  0/5  (0%)
coach: –</v>
      </c>
      <c r="F41" s="40" t="str">
        <f aca="false">IF(N41="","",IF(V41="Tidak dibuka","–",IF(INDEX('Reguler Class Availability'!$B:$B,N41)&amp;""="","Kosong",PROPER(INDEX('Reguler Class Availability'!$B:$B,N41)&amp;""))&amp;"  "&amp;IFERROR(--(INDEX('Reguler Class Availability'!$G:$G,N41)&amp;""),0)&amp;"/"&amp;IFERROR(--(INDEX('Reguler Class Availability'!$F:$F,N41)&amp;""),0)&amp;IF(IFERROR(--(INDEX('Reguler Class Availability'!$F:$F,N41)&amp;""),0)&gt;0,"  ("&amp;TEXT(IFERROR(--(INDEX('Reguler Class Availability'!$G:$G,N41)&amp;""),0)/IFERROR(--(INDEX('Reguler Class Availability'!$F:$F,N41)&amp;""),0),"0%")&amp;")","")&amp;CHAR(10)&amp;IF(INDEX('Reguler Class Availability'!$I:$I,N41)&amp;""="","coach: –",PROPER(INDEX('Reguler Class Availability'!$I:$I,N41)&amp;""))&amp;IF(INDEX('Reguler Class Availability'!$J:$J,N41)&amp;""="","",CHAR(10)&amp;"asst: "&amp;PROPER(INDEX('Reguler Class Availability'!$J:$J,N41)&amp;""))))</f>
        <v>Tiny  3/5  (60%)
Surya</v>
      </c>
      <c r="G41" s="40" t="str">
        <f aca="false">IF(O41="","",IF(W41="Tidak dibuka","–",IF(INDEX('Reguler Class Availability'!$B:$B,O41)&amp;""="","Kosong",PROPER(INDEX('Reguler Class Availability'!$B:$B,O41)&amp;""))&amp;"  "&amp;IFERROR(--(INDEX('Reguler Class Availability'!$G:$G,O41)&amp;""),0)&amp;"/"&amp;IFERROR(--(INDEX('Reguler Class Availability'!$F:$F,O41)&amp;""),0)&amp;IF(IFERROR(--(INDEX('Reguler Class Availability'!$F:$F,O41)&amp;""),0)&gt;0,"  ("&amp;TEXT(IFERROR(--(INDEX('Reguler Class Availability'!$G:$G,O41)&amp;""),0)/IFERROR(--(INDEX('Reguler Class Availability'!$F:$F,O41)&amp;""),0),"0%")&amp;")","")&amp;CHAR(10)&amp;IF(INDEX('Reguler Class Availability'!$I:$I,O41)&amp;""="","coach: –",PROPER(INDEX('Reguler Class Availability'!$I:$I,O41)&amp;""))&amp;IF(INDEX('Reguler Class Availability'!$J:$J,O41)&amp;""="","",CHAR(10)&amp;"asst: "&amp;PROPER(INDEX('Reguler Class Availability'!$J:$J,O41)&amp;""))))</f>
        <v>Tiny  5/5  (100%)
Rischa</v>
      </c>
      <c r="H41" s="40" t="str">
        <f aca="false">IF(P41="","",IF(X41="Tidak dibuka","–",IF(INDEX('Reguler Class Availability'!$B:$B,P41)&amp;""="","Kosong",PROPER(INDEX('Reguler Class Availability'!$B:$B,P41)&amp;""))&amp;"  "&amp;IFERROR(--(INDEX('Reguler Class Availability'!$G:$G,P41)&amp;""),0)&amp;"/"&amp;IFERROR(--(INDEX('Reguler Class Availability'!$F:$F,P41)&amp;""),0)&amp;IF(IFERROR(--(INDEX('Reguler Class Availability'!$F:$F,P41)&amp;""),0)&gt;0,"  ("&amp;TEXT(IFERROR(--(INDEX('Reguler Class Availability'!$G:$G,P41)&amp;""),0)/IFERROR(--(INDEX('Reguler Class Availability'!$F:$F,P41)&amp;""),0),"0%")&amp;")","")&amp;CHAR(10)&amp;IF(INDEX('Reguler Class Availability'!$I:$I,P41)&amp;""="","coach: –",PROPER(INDEX('Reguler Class Availability'!$I:$I,P41)&amp;""))&amp;IF(INDEX('Reguler Class Availability'!$J:$J,P41)&amp;""="","",CHAR(10)&amp;"asst: "&amp;PROPER(INDEX('Reguler Class Availability'!$J:$J,P41)&amp;""))))</f>
        <v>Kids  1/4  (25%)
Tessa</v>
      </c>
      <c r="J41" s="4" t="n">
        <f aca="false">IF($A41="","",IFERROR(MATCH($B$4&amp;"|- Lane 2 - "&amp;B$33&amp;"|"&amp;$A41,'Reguler Class Availability'!$L:$L,0),""))</f>
        <v>107</v>
      </c>
      <c r="K41" s="4" t="n">
        <f aca="false">IF($A41="","",IFERROR(MATCH($B$4&amp;"|- Lane 2 - "&amp;C$33&amp;"|"&amp;$A41,'Reguler Class Availability'!$L:$L,0),""))</f>
        <v>119</v>
      </c>
      <c r="L41" s="4" t="n">
        <f aca="false">IF($A41="","",IFERROR(MATCH($B$4&amp;"|- Lane 2 - "&amp;D$33&amp;"|"&amp;$A41,'Reguler Class Availability'!$L:$L,0),""))</f>
        <v>131</v>
      </c>
      <c r="M41" s="4" t="n">
        <f aca="false">IF($A41="","",IFERROR(MATCH($B$4&amp;"|- Lane 2 - "&amp;E$33&amp;"|"&amp;$A41,'Reguler Class Availability'!$L:$L,0),""))</f>
        <v>143</v>
      </c>
      <c r="N41" s="4" t="n">
        <f aca="false">IF($A41="","",IFERROR(MATCH($B$4&amp;"|- Lane 2 - "&amp;F$33&amp;"|"&amp;$A41,'Reguler Class Availability'!$L:$L,0),""))</f>
        <v>155</v>
      </c>
      <c r="O41" s="4" t="n">
        <f aca="false">IF($A41="","",IFERROR(MATCH($B$4&amp;"|- Lane 2 - "&amp;G$33&amp;"|"&amp;$A41,'Reguler Class Availability'!$L:$L,0),""))</f>
        <v>167</v>
      </c>
      <c r="P41" s="4" t="n">
        <f aca="false">IF($A41="","",IFERROR(MATCH($B$4&amp;"|- Lane 2 - "&amp;H$33&amp;"|"&amp;$A41,'Reguler Class Availability'!$L:$L,0),""))</f>
        <v>179</v>
      </c>
      <c r="R41" s="0" t="str">
        <f aca="false">IF(J41="","",IF(AND(IFERROR(--(INDEX('Reguler Class Availability'!$F:$F,J41)&amp;""),0)=0,IFERROR(--(INDEX('Reguler Class Availability'!$G:$G,J41)&amp;""),0)=0),IF(OR(INDEX('Reguler Class Availability'!$B:$B,J41)&amp;""&lt;&gt;"",INDEX('Reguler Class Availability'!$I:$I,J41)&amp;""&lt;&gt;""),"Tutup","Tidak dibuka"),IF(IFERROR(--(INDEX('Reguler Class Availability'!$G:$G,J41)&amp;""),0)&gt;IFERROR(--(INDEX('Reguler Class Availability'!$F:$F,J41)&amp;""),0),"Lebih",IF(IFERROR(--(INDEX('Reguler Class Availability'!$G:$G,J41)&amp;""),0)=IFERROR(--(INDEX('Reguler Class Availability'!$F:$F,J41)&amp;""),0),"Penuh",IF(IFERROR(--(INDEX('Reguler Class Availability'!$G:$G,J41)&amp;""),0)=0,IF(INDEX('Reguler Class Availability'!$B:$B,J41)&amp;""="","Kosong","Belum terisi"),IF(IFERROR(--(INDEX('Reguler Class Availability'!$G:$G,J41)&amp;""),0)/IFERROR(--(INDEX('Reguler Class Availability'!$F:$F,J41)&amp;""),0)&gt;=0.6,"Tinggi","Sebagian"))))))</f>
        <v>Sebagian</v>
      </c>
      <c r="S41" s="0" t="str">
        <f aca="false">IF(K41="","",IF(AND(IFERROR(--(INDEX('Reguler Class Availability'!$F:$F,K41)&amp;""),0)=0,IFERROR(--(INDEX('Reguler Class Availability'!$G:$G,K41)&amp;""),0)=0),IF(OR(INDEX('Reguler Class Availability'!$B:$B,K41)&amp;""&lt;&gt;"",INDEX('Reguler Class Availability'!$I:$I,K41)&amp;""&lt;&gt;""),"Tutup","Tidak dibuka"),IF(IFERROR(--(INDEX('Reguler Class Availability'!$G:$G,K41)&amp;""),0)&gt;IFERROR(--(INDEX('Reguler Class Availability'!$F:$F,K41)&amp;""),0),"Lebih",IF(IFERROR(--(INDEX('Reguler Class Availability'!$G:$G,K41)&amp;""),0)=IFERROR(--(INDEX('Reguler Class Availability'!$F:$F,K41)&amp;""),0),"Penuh",IF(IFERROR(--(INDEX('Reguler Class Availability'!$G:$G,K41)&amp;""),0)=0,IF(INDEX('Reguler Class Availability'!$B:$B,K41)&amp;""="","Kosong","Belum terisi"),IF(IFERROR(--(INDEX('Reguler Class Availability'!$G:$G,K41)&amp;""),0)/IFERROR(--(INDEX('Reguler Class Availability'!$F:$F,K41)&amp;""),0)&gt;=0.6,"Tinggi","Sebagian"))))))</f>
        <v>Sebagian</v>
      </c>
      <c r="T41" s="0" t="str">
        <f aca="false">IF(L41="","",IF(AND(IFERROR(--(INDEX('Reguler Class Availability'!$F:$F,L41)&amp;""),0)=0,IFERROR(--(INDEX('Reguler Class Availability'!$G:$G,L41)&amp;""),0)=0),IF(OR(INDEX('Reguler Class Availability'!$B:$B,L41)&amp;""&lt;&gt;"",INDEX('Reguler Class Availability'!$I:$I,L41)&amp;""&lt;&gt;""),"Tutup","Tidak dibuka"),IF(IFERROR(--(INDEX('Reguler Class Availability'!$G:$G,L41)&amp;""),0)&gt;IFERROR(--(INDEX('Reguler Class Availability'!$F:$F,L41)&amp;""),0),"Lebih",IF(IFERROR(--(INDEX('Reguler Class Availability'!$G:$G,L41)&amp;""),0)=IFERROR(--(INDEX('Reguler Class Availability'!$F:$F,L41)&amp;""),0),"Penuh",IF(IFERROR(--(INDEX('Reguler Class Availability'!$G:$G,L41)&amp;""),0)=0,IF(INDEX('Reguler Class Availability'!$B:$B,L41)&amp;""="","Kosong","Belum terisi"),IF(IFERROR(--(INDEX('Reguler Class Availability'!$G:$G,L41)&amp;""),0)/IFERROR(--(INDEX('Reguler Class Availability'!$F:$F,L41)&amp;""),0)&gt;=0.6,"Tinggi","Sebagian"))))))</f>
        <v>Belum terisi</v>
      </c>
      <c r="U41" s="0" t="str">
        <f aca="false">IF(M41="","",IF(AND(IFERROR(--(INDEX('Reguler Class Availability'!$F:$F,M41)&amp;""),0)=0,IFERROR(--(INDEX('Reguler Class Availability'!$G:$G,M41)&amp;""),0)=0),IF(OR(INDEX('Reguler Class Availability'!$B:$B,M41)&amp;""&lt;&gt;"",INDEX('Reguler Class Availability'!$I:$I,M41)&amp;""&lt;&gt;""),"Tutup","Tidak dibuka"),IF(IFERROR(--(INDEX('Reguler Class Availability'!$G:$G,M41)&amp;""),0)&gt;IFERROR(--(INDEX('Reguler Class Availability'!$F:$F,M41)&amp;""),0),"Lebih",IF(IFERROR(--(INDEX('Reguler Class Availability'!$G:$G,M41)&amp;""),0)=IFERROR(--(INDEX('Reguler Class Availability'!$F:$F,M41)&amp;""),0),"Penuh",IF(IFERROR(--(INDEX('Reguler Class Availability'!$G:$G,M41)&amp;""),0)=0,IF(INDEX('Reguler Class Availability'!$B:$B,M41)&amp;""="","Kosong","Belum terisi"),IF(IFERROR(--(INDEX('Reguler Class Availability'!$G:$G,M41)&amp;""),0)/IFERROR(--(INDEX('Reguler Class Availability'!$F:$F,M41)&amp;""),0)&gt;=0.6,"Tinggi","Sebagian"))))))</f>
        <v>Belum terisi</v>
      </c>
      <c r="V41" s="0" t="str">
        <f aca="false">IF(N41="","",IF(AND(IFERROR(--(INDEX('Reguler Class Availability'!$F:$F,N41)&amp;""),0)=0,IFERROR(--(INDEX('Reguler Class Availability'!$G:$G,N41)&amp;""),0)=0),IF(OR(INDEX('Reguler Class Availability'!$B:$B,N41)&amp;""&lt;&gt;"",INDEX('Reguler Class Availability'!$I:$I,N41)&amp;""&lt;&gt;""),"Tutup","Tidak dibuka"),IF(IFERROR(--(INDEX('Reguler Class Availability'!$G:$G,N41)&amp;""),0)&gt;IFERROR(--(INDEX('Reguler Class Availability'!$F:$F,N41)&amp;""),0),"Lebih",IF(IFERROR(--(INDEX('Reguler Class Availability'!$G:$G,N41)&amp;""),0)=IFERROR(--(INDEX('Reguler Class Availability'!$F:$F,N41)&amp;""),0),"Penuh",IF(IFERROR(--(INDEX('Reguler Class Availability'!$G:$G,N41)&amp;""),0)=0,IF(INDEX('Reguler Class Availability'!$B:$B,N41)&amp;""="","Kosong","Belum terisi"),IF(IFERROR(--(INDEX('Reguler Class Availability'!$G:$G,N41)&amp;""),0)/IFERROR(--(INDEX('Reguler Class Availability'!$F:$F,N41)&amp;""),0)&gt;=0.6,"Tinggi","Sebagian"))))))</f>
        <v>Tinggi</v>
      </c>
      <c r="W41" s="0" t="str">
        <f aca="false">IF(O41="","",IF(AND(IFERROR(--(INDEX('Reguler Class Availability'!$F:$F,O41)&amp;""),0)=0,IFERROR(--(INDEX('Reguler Class Availability'!$G:$G,O41)&amp;""),0)=0),IF(OR(INDEX('Reguler Class Availability'!$B:$B,O41)&amp;""&lt;&gt;"",INDEX('Reguler Class Availability'!$I:$I,O41)&amp;""&lt;&gt;""),"Tutup","Tidak dibuka"),IF(IFERROR(--(INDEX('Reguler Class Availability'!$G:$G,O41)&amp;""),0)&gt;IFERROR(--(INDEX('Reguler Class Availability'!$F:$F,O41)&amp;""),0),"Lebih",IF(IFERROR(--(INDEX('Reguler Class Availability'!$G:$G,O41)&amp;""),0)=IFERROR(--(INDEX('Reguler Class Availability'!$F:$F,O41)&amp;""),0),"Penuh",IF(IFERROR(--(INDEX('Reguler Class Availability'!$G:$G,O41)&amp;""),0)=0,IF(INDEX('Reguler Class Availability'!$B:$B,O41)&amp;""="","Kosong","Belum terisi"),IF(IFERROR(--(INDEX('Reguler Class Availability'!$G:$G,O41)&amp;""),0)/IFERROR(--(INDEX('Reguler Class Availability'!$F:$F,O41)&amp;""),0)&gt;=0.6,"Tinggi","Sebagian"))))))</f>
        <v>Penuh</v>
      </c>
      <c r="X41" s="0" t="str">
        <f aca="false">IF(P41="","",IF(AND(IFERROR(--(INDEX('Reguler Class Availability'!$F:$F,P41)&amp;""),0)=0,IFERROR(--(INDEX('Reguler Class Availability'!$G:$G,P41)&amp;""),0)=0),IF(OR(INDEX('Reguler Class Availability'!$B:$B,P41)&amp;""&lt;&gt;"",INDEX('Reguler Class Availability'!$I:$I,P41)&amp;""&lt;&gt;""),"Tutup","Tidak dibuka"),IF(IFERROR(--(INDEX('Reguler Class Availability'!$G:$G,P41)&amp;""),0)&gt;IFERROR(--(INDEX('Reguler Class Availability'!$F:$F,P41)&amp;""),0),"Lebih",IF(IFERROR(--(INDEX('Reguler Class Availability'!$G:$G,P41)&amp;""),0)=IFERROR(--(INDEX('Reguler Class Availability'!$F:$F,P41)&amp;""),0),"Penuh",IF(IFERROR(--(INDEX('Reguler Class Availability'!$G:$G,P41)&amp;""),0)=0,IF(INDEX('Reguler Class Availability'!$B:$B,P41)&amp;""="","Kosong","Belum terisi"),IF(IFERROR(--(INDEX('Reguler Class Availability'!$G:$G,P41)&amp;""),0)/IFERROR(--(INDEX('Reguler Class Availability'!$F:$F,P41)&amp;""),0)&gt;=0.6,"Tinggi","Sebagian"))))))</f>
        <v>Sebagian</v>
      </c>
      <c r="Z41" s="4" t="s">
        <v>76</v>
      </c>
      <c r="AA41" s="4" t="n">
        <f aca="false">IF(COUNTIFS('Reguler Class Availability'!$L:$L,$B$4&amp;"|- Lane 1 - *|"&amp;Z41)&gt;0,1,0)</f>
        <v>1</v>
      </c>
      <c r="AB41" s="4" t="n">
        <f aca="false">AA41+AB40</f>
        <v>11</v>
      </c>
    </row>
    <row r="42" customFormat="false" ht="39.75" hidden="false" customHeight="true" outlineLevel="0" collapsed="false">
      <c r="A42" s="39" t="str">
        <f aca="false">IFERROR(INDEX($Z$62:$Z$121,MATCH(9,$AB$62:$AB$121,0)),"")</f>
        <v>15:00</v>
      </c>
      <c r="B42" s="40" t="str">
        <f aca="false">IF(J42="","",IF(R42="Tidak dibuka","–",IF(INDEX('Reguler Class Availability'!$B:$B,J42)&amp;""="","Kosong",PROPER(INDEX('Reguler Class Availability'!$B:$B,J42)&amp;""))&amp;"  "&amp;IFERROR(--(INDEX('Reguler Class Availability'!$G:$G,J42)&amp;""),0)&amp;"/"&amp;IFERROR(--(INDEX('Reguler Class Availability'!$F:$F,J42)&amp;""),0)&amp;IF(IFERROR(--(INDEX('Reguler Class Availability'!$F:$F,J42)&amp;""),0)&gt;0,"  ("&amp;TEXT(IFERROR(--(INDEX('Reguler Class Availability'!$G:$G,J42)&amp;""),0)/IFERROR(--(INDEX('Reguler Class Availability'!$F:$F,J42)&amp;""),0),"0%")&amp;")","")&amp;CHAR(10)&amp;IF(INDEX('Reguler Class Availability'!$I:$I,J42)&amp;""="","coach: –",PROPER(INDEX('Reguler Class Availability'!$I:$I,J42)&amp;""))&amp;IF(INDEX('Reguler Class Availability'!$J:$J,J42)&amp;""="","",CHAR(10)&amp;"asst: "&amp;PROPER(INDEX('Reguler Class Availability'!$J:$J,J42)&amp;""))))</f>
        <v>Tiny  0/0
coach: –</v>
      </c>
      <c r="C42" s="40" t="str">
        <f aca="false">IF(K42="","",IF(S42="Tidak dibuka","–",IF(INDEX('Reguler Class Availability'!$B:$B,K42)&amp;""="","Kosong",PROPER(INDEX('Reguler Class Availability'!$B:$B,K42)&amp;""))&amp;"  "&amp;IFERROR(--(INDEX('Reguler Class Availability'!$G:$G,K42)&amp;""),0)&amp;"/"&amp;IFERROR(--(INDEX('Reguler Class Availability'!$F:$F,K42)&amp;""),0)&amp;IF(IFERROR(--(INDEX('Reguler Class Availability'!$F:$F,K42)&amp;""),0)&gt;0,"  ("&amp;TEXT(IFERROR(--(INDEX('Reguler Class Availability'!$G:$G,K42)&amp;""),0)/IFERROR(--(INDEX('Reguler Class Availability'!$F:$F,K42)&amp;""),0),"0%")&amp;")","")&amp;CHAR(10)&amp;IF(INDEX('Reguler Class Availability'!$I:$I,K42)&amp;""="","coach: –",PROPER(INDEX('Reguler Class Availability'!$I:$I,K42)&amp;""))&amp;IF(INDEX('Reguler Class Availability'!$J:$J,K42)&amp;""="","",CHAR(10)&amp;"asst: "&amp;PROPER(INDEX('Reguler Class Availability'!$J:$J,K42)&amp;""))))</f>
        <v>Tiny  0/0
coach: –</v>
      </c>
      <c r="D42" s="40" t="str">
        <f aca="false">IF(L42="","",IF(T42="Tidak dibuka","–",IF(INDEX('Reguler Class Availability'!$B:$B,L42)&amp;""="","Kosong",PROPER(INDEX('Reguler Class Availability'!$B:$B,L42)&amp;""))&amp;"  "&amp;IFERROR(--(INDEX('Reguler Class Availability'!$G:$G,L42)&amp;""),0)&amp;"/"&amp;IFERROR(--(INDEX('Reguler Class Availability'!$F:$F,L42)&amp;""),0)&amp;IF(IFERROR(--(INDEX('Reguler Class Availability'!$F:$F,L42)&amp;""),0)&gt;0,"  ("&amp;TEXT(IFERROR(--(INDEX('Reguler Class Availability'!$G:$G,L42)&amp;""),0)/IFERROR(--(INDEX('Reguler Class Availability'!$F:$F,L42)&amp;""),0),"0%")&amp;")","")&amp;CHAR(10)&amp;IF(INDEX('Reguler Class Availability'!$I:$I,L42)&amp;""="","coach: –",PROPER(INDEX('Reguler Class Availability'!$I:$I,L42)&amp;""))&amp;IF(INDEX('Reguler Class Availability'!$J:$J,L42)&amp;""="","",CHAR(10)&amp;"asst: "&amp;PROPER(INDEX('Reguler Class Availability'!$J:$J,L42)&amp;""))))</f>
        <v>Tiny  0/0
coach: –</v>
      </c>
      <c r="E42" s="40" t="str">
        <f aca="false">IF(M42="","",IF(U42="Tidak dibuka","–",IF(INDEX('Reguler Class Availability'!$B:$B,M42)&amp;""="","Kosong",PROPER(INDEX('Reguler Class Availability'!$B:$B,M42)&amp;""))&amp;"  "&amp;IFERROR(--(INDEX('Reguler Class Availability'!$G:$G,M42)&amp;""),0)&amp;"/"&amp;IFERROR(--(INDEX('Reguler Class Availability'!$F:$F,M42)&amp;""),0)&amp;IF(IFERROR(--(INDEX('Reguler Class Availability'!$F:$F,M42)&amp;""),0)&gt;0,"  ("&amp;TEXT(IFERROR(--(INDEX('Reguler Class Availability'!$G:$G,M42)&amp;""),0)/IFERROR(--(INDEX('Reguler Class Availability'!$F:$F,M42)&amp;""),0),"0%")&amp;")","")&amp;CHAR(10)&amp;IF(INDEX('Reguler Class Availability'!$I:$I,M42)&amp;""="","coach: –",PROPER(INDEX('Reguler Class Availability'!$I:$I,M42)&amp;""))&amp;IF(INDEX('Reguler Class Availability'!$J:$J,M42)&amp;""="","",CHAR(10)&amp;"asst: "&amp;PROPER(INDEX('Reguler Class Availability'!$J:$J,M42)&amp;""))))</f>
        <v>Tiny  0/0
coach: –</v>
      </c>
      <c r="F42" s="40" t="str">
        <f aca="false">IF(N42="","",IF(V42="Tidak dibuka","–",IF(INDEX('Reguler Class Availability'!$B:$B,N42)&amp;""="","Kosong",PROPER(INDEX('Reguler Class Availability'!$B:$B,N42)&amp;""))&amp;"  "&amp;IFERROR(--(INDEX('Reguler Class Availability'!$G:$G,N42)&amp;""),0)&amp;"/"&amp;IFERROR(--(INDEX('Reguler Class Availability'!$F:$F,N42)&amp;""),0)&amp;IF(IFERROR(--(INDEX('Reguler Class Availability'!$F:$F,N42)&amp;""),0)&gt;0,"  ("&amp;TEXT(IFERROR(--(INDEX('Reguler Class Availability'!$G:$G,N42)&amp;""),0)/IFERROR(--(INDEX('Reguler Class Availability'!$F:$F,N42)&amp;""),0),"0%")&amp;")","")&amp;CHAR(10)&amp;IF(INDEX('Reguler Class Availability'!$I:$I,N42)&amp;""="","coach: –",PROPER(INDEX('Reguler Class Availability'!$I:$I,N42)&amp;""))&amp;IF(INDEX('Reguler Class Availability'!$J:$J,N42)&amp;""="","",CHAR(10)&amp;"asst: "&amp;PROPER(INDEX('Reguler Class Availability'!$J:$J,N42)&amp;""))))</f>
        <v>Tiny  0/0
coach: –</v>
      </c>
      <c r="G42" s="40" t="str">
        <f aca="false">IF(O42="","",IF(W42="Tidak dibuka","–",IF(INDEX('Reguler Class Availability'!$B:$B,O42)&amp;""="","Kosong",PROPER(INDEX('Reguler Class Availability'!$B:$B,O42)&amp;""))&amp;"  "&amp;IFERROR(--(INDEX('Reguler Class Availability'!$G:$G,O42)&amp;""),0)&amp;"/"&amp;IFERROR(--(INDEX('Reguler Class Availability'!$F:$F,O42)&amp;""),0)&amp;IF(IFERROR(--(INDEX('Reguler Class Availability'!$F:$F,O42)&amp;""),0)&gt;0,"  ("&amp;TEXT(IFERROR(--(INDEX('Reguler Class Availability'!$G:$G,O42)&amp;""),0)/IFERROR(--(INDEX('Reguler Class Availability'!$F:$F,O42)&amp;""),0),"0%")&amp;")","")&amp;CHAR(10)&amp;IF(INDEX('Reguler Class Availability'!$I:$I,O42)&amp;""="","coach: –",PROPER(INDEX('Reguler Class Availability'!$I:$I,O42)&amp;""))&amp;IF(INDEX('Reguler Class Availability'!$J:$J,O42)&amp;""="","",CHAR(10)&amp;"asst: "&amp;PROPER(INDEX('Reguler Class Availability'!$J:$J,O42)&amp;""))))</f>
        <v>Tiny  5/5  (100%)
Nuky</v>
      </c>
      <c r="H42" s="40" t="str">
        <f aca="false">IF(P42="","",IF(X42="Tidak dibuka","–",IF(INDEX('Reguler Class Availability'!$B:$B,P42)&amp;""="","Kosong",PROPER(INDEX('Reguler Class Availability'!$B:$B,P42)&amp;""))&amp;"  "&amp;IFERROR(--(INDEX('Reguler Class Availability'!$G:$G,P42)&amp;""),0)&amp;"/"&amp;IFERROR(--(INDEX('Reguler Class Availability'!$F:$F,P42)&amp;""),0)&amp;IF(IFERROR(--(INDEX('Reguler Class Availability'!$F:$F,P42)&amp;""),0)&gt;0,"  ("&amp;TEXT(IFERROR(--(INDEX('Reguler Class Availability'!$G:$G,P42)&amp;""),0)/IFERROR(--(INDEX('Reguler Class Availability'!$F:$F,P42)&amp;""),0),"0%")&amp;")","")&amp;CHAR(10)&amp;IF(INDEX('Reguler Class Availability'!$I:$I,P42)&amp;""="","coach: –",PROPER(INDEX('Reguler Class Availability'!$I:$I,P42)&amp;""))&amp;IF(INDEX('Reguler Class Availability'!$J:$J,P42)&amp;""="","",CHAR(10)&amp;"asst: "&amp;PROPER(INDEX('Reguler Class Availability'!$J:$J,P42)&amp;""))))</f>
        <v>Tiny  3/5  (60%)
Nuky</v>
      </c>
      <c r="J42" s="4" t="n">
        <f aca="false">IF($A42="","",IFERROR(MATCH($B$4&amp;"|- Lane 2 - "&amp;B$33&amp;"|"&amp;$A42,'Reguler Class Availability'!$L:$L,0),""))</f>
        <v>108</v>
      </c>
      <c r="K42" s="4" t="n">
        <f aca="false">IF($A42="","",IFERROR(MATCH($B$4&amp;"|- Lane 2 - "&amp;C$33&amp;"|"&amp;$A42,'Reguler Class Availability'!$L:$L,0),""))</f>
        <v>120</v>
      </c>
      <c r="L42" s="4" t="n">
        <f aca="false">IF($A42="","",IFERROR(MATCH($B$4&amp;"|- Lane 2 - "&amp;D$33&amp;"|"&amp;$A42,'Reguler Class Availability'!$L:$L,0),""))</f>
        <v>132</v>
      </c>
      <c r="M42" s="4" t="n">
        <f aca="false">IF($A42="","",IFERROR(MATCH($B$4&amp;"|- Lane 2 - "&amp;E$33&amp;"|"&amp;$A42,'Reguler Class Availability'!$L:$L,0),""))</f>
        <v>144</v>
      </c>
      <c r="N42" s="4" t="n">
        <f aca="false">IF($A42="","",IFERROR(MATCH($B$4&amp;"|- Lane 2 - "&amp;F$33&amp;"|"&amp;$A42,'Reguler Class Availability'!$L:$L,0),""))</f>
        <v>156</v>
      </c>
      <c r="O42" s="4" t="n">
        <f aca="false">IF($A42="","",IFERROR(MATCH($B$4&amp;"|- Lane 2 - "&amp;G$33&amp;"|"&amp;$A42,'Reguler Class Availability'!$L:$L,0),""))</f>
        <v>168</v>
      </c>
      <c r="P42" s="4" t="n">
        <f aca="false">IF($A42="","",IFERROR(MATCH($B$4&amp;"|- Lane 2 - "&amp;H$33&amp;"|"&amp;$A42,'Reguler Class Availability'!$L:$L,0),""))</f>
        <v>180</v>
      </c>
      <c r="R42" s="0" t="str">
        <f aca="false">IF(J42="","",IF(AND(IFERROR(--(INDEX('Reguler Class Availability'!$F:$F,J42)&amp;""),0)=0,IFERROR(--(INDEX('Reguler Class Availability'!$G:$G,J42)&amp;""),0)=0),IF(OR(INDEX('Reguler Class Availability'!$B:$B,J42)&amp;""&lt;&gt;"",INDEX('Reguler Class Availability'!$I:$I,J42)&amp;""&lt;&gt;""),"Tutup","Tidak dibuka"),IF(IFERROR(--(INDEX('Reguler Class Availability'!$G:$G,J42)&amp;""),0)&gt;IFERROR(--(INDEX('Reguler Class Availability'!$F:$F,J42)&amp;""),0),"Lebih",IF(IFERROR(--(INDEX('Reguler Class Availability'!$G:$G,J42)&amp;""),0)=IFERROR(--(INDEX('Reguler Class Availability'!$F:$F,J42)&amp;""),0),"Penuh",IF(IFERROR(--(INDEX('Reguler Class Availability'!$G:$G,J42)&amp;""),0)=0,IF(INDEX('Reguler Class Availability'!$B:$B,J42)&amp;""="","Kosong","Belum terisi"),IF(IFERROR(--(INDEX('Reguler Class Availability'!$G:$G,J42)&amp;""),0)/IFERROR(--(INDEX('Reguler Class Availability'!$F:$F,J42)&amp;""),0)&gt;=0.6,"Tinggi","Sebagian"))))))</f>
        <v>Tutup</v>
      </c>
      <c r="S42" s="0" t="str">
        <f aca="false">IF(K42="","",IF(AND(IFERROR(--(INDEX('Reguler Class Availability'!$F:$F,K42)&amp;""),0)=0,IFERROR(--(INDEX('Reguler Class Availability'!$G:$G,K42)&amp;""),0)=0),IF(OR(INDEX('Reguler Class Availability'!$B:$B,K42)&amp;""&lt;&gt;"",INDEX('Reguler Class Availability'!$I:$I,K42)&amp;""&lt;&gt;""),"Tutup","Tidak dibuka"),IF(IFERROR(--(INDEX('Reguler Class Availability'!$G:$G,K42)&amp;""),0)&gt;IFERROR(--(INDEX('Reguler Class Availability'!$F:$F,K42)&amp;""),0),"Lebih",IF(IFERROR(--(INDEX('Reguler Class Availability'!$G:$G,K42)&amp;""),0)=IFERROR(--(INDEX('Reguler Class Availability'!$F:$F,K42)&amp;""),0),"Penuh",IF(IFERROR(--(INDEX('Reguler Class Availability'!$G:$G,K42)&amp;""),0)=0,IF(INDEX('Reguler Class Availability'!$B:$B,K42)&amp;""="","Kosong","Belum terisi"),IF(IFERROR(--(INDEX('Reguler Class Availability'!$G:$G,K42)&amp;""),0)/IFERROR(--(INDEX('Reguler Class Availability'!$F:$F,K42)&amp;""),0)&gt;=0.6,"Tinggi","Sebagian"))))))</f>
        <v>Tutup</v>
      </c>
      <c r="T42" s="0" t="str">
        <f aca="false">IF(L42="","",IF(AND(IFERROR(--(INDEX('Reguler Class Availability'!$F:$F,L42)&amp;""),0)=0,IFERROR(--(INDEX('Reguler Class Availability'!$G:$G,L42)&amp;""),0)=0),IF(OR(INDEX('Reguler Class Availability'!$B:$B,L42)&amp;""&lt;&gt;"",INDEX('Reguler Class Availability'!$I:$I,L42)&amp;""&lt;&gt;""),"Tutup","Tidak dibuka"),IF(IFERROR(--(INDEX('Reguler Class Availability'!$G:$G,L42)&amp;""),0)&gt;IFERROR(--(INDEX('Reguler Class Availability'!$F:$F,L42)&amp;""),0),"Lebih",IF(IFERROR(--(INDEX('Reguler Class Availability'!$G:$G,L42)&amp;""),0)=IFERROR(--(INDEX('Reguler Class Availability'!$F:$F,L42)&amp;""),0),"Penuh",IF(IFERROR(--(INDEX('Reguler Class Availability'!$G:$G,L42)&amp;""),0)=0,IF(INDEX('Reguler Class Availability'!$B:$B,L42)&amp;""="","Kosong","Belum terisi"),IF(IFERROR(--(INDEX('Reguler Class Availability'!$G:$G,L42)&amp;""),0)/IFERROR(--(INDEX('Reguler Class Availability'!$F:$F,L42)&amp;""),0)&gt;=0.6,"Tinggi","Sebagian"))))))</f>
        <v>Tutup</v>
      </c>
      <c r="U42" s="0" t="str">
        <f aca="false">IF(M42="","",IF(AND(IFERROR(--(INDEX('Reguler Class Availability'!$F:$F,M42)&amp;""),0)=0,IFERROR(--(INDEX('Reguler Class Availability'!$G:$G,M42)&amp;""),0)=0),IF(OR(INDEX('Reguler Class Availability'!$B:$B,M42)&amp;""&lt;&gt;"",INDEX('Reguler Class Availability'!$I:$I,M42)&amp;""&lt;&gt;""),"Tutup","Tidak dibuka"),IF(IFERROR(--(INDEX('Reguler Class Availability'!$G:$G,M42)&amp;""),0)&gt;IFERROR(--(INDEX('Reguler Class Availability'!$F:$F,M42)&amp;""),0),"Lebih",IF(IFERROR(--(INDEX('Reguler Class Availability'!$G:$G,M42)&amp;""),0)=IFERROR(--(INDEX('Reguler Class Availability'!$F:$F,M42)&amp;""),0),"Penuh",IF(IFERROR(--(INDEX('Reguler Class Availability'!$G:$G,M42)&amp;""),0)=0,IF(INDEX('Reguler Class Availability'!$B:$B,M42)&amp;""="","Kosong","Belum terisi"),IF(IFERROR(--(INDEX('Reguler Class Availability'!$G:$G,M42)&amp;""),0)/IFERROR(--(INDEX('Reguler Class Availability'!$F:$F,M42)&amp;""),0)&gt;=0.6,"Tinggi","Sebagian"))))))</f>
        <v>Tutup</v>
      </c>
      <c r="V42" s="0" t="str">
        <f aca="false">IF(N42="","",IF(AND(IFERROR(--(INDEX('Reguler Class Availability'!$F:$F,N42)&amp;""),0)=0,IFERROR(--(INDEX('Reguler Class Availability'!$G:$G,N42)&amp;""),0)=0),IF(OR(INDEX('Reguler Class Availability'!$B:$B,N42)&amp;""&lt;&gt;"",INDEX('Reguler Class Availability'!$I:$I,N42)&amp;""&lt;&gt;""),"Tutup","Tidak dibuka"),IF(IFERROR(--(INDEX('Reguler Class Availability'!$G:$G,N42)&amp;""),0)&gt;IFERROR(--(INDEX('Reguler Class Availability'!$F:$F,N42)&amp;""),0),"Lebih",IF(IFERROR(--(INDEX('Reguler Class Availability'!$G:$G,N42)&amp;""),0)=IFERROR(--(INDEX('Reguler Class Availability'!$F:$F,N42)&amp;""),0),"Penuh",IF(IFERROR(--(INDEX('Reguler Class Availability'!$G:$G,N42)&amp;""),0)=0,IF(INDEX('Reguler Class Availability'!$B:$B,N42)&amp;""="","Kosong","Belum terisi"),IF(IFERROR(--(INDEX('Reguler Class Availability'!$G:$G,N42)&amp;""),0)/IFERROR(--(INDEX('Reguler Class Availability'!$F:$F,N42)&amp;""),0)&gt;=0.6,"Tinggi","Sebagian"))))))</f>
        <v>Tutup</v>
      </c>
      <c r="W42" s="0" t="str">
        <f aca="false">IF(O42="","",IF(AND(IFERROR(--(INDEX('Reguler Class Availability'!$F:$F,O42)&amp;""),0)=0,IFERROR(--(INDEX('Reguler Class Availability'!$G:$G,O42)&amp;""),0)=0),IF(OR(INDEX('Reguler Class Availability'!$B:$B,O42)&amp;""&lt;&gt;"",INDEX('Reguler Class Availability'!$I:$I,O42)&amp;""&lt;&gt;""),"Tutup","Tidak dibuka"),IF(IFERROR(--(INDEX('Reguler Class Availability'!$G:$G,O42)&amp;""),0)&gt;IFERROR(--(INDEX('Reguler Class Availability'!$F:$F,O42)&amp;""),0),"Lebih",IF(IFERROR(--(INDEX('Reguler Class Availability'!$G:$G,O42)&amp;""),0)=IFERROR(--(INDEX('Reguler Class Availability'!$F:$F,O42)&amp;""),0),"Penuh",IF(IFERROR(--(INDEX('Reguler Class Availability'!$G:$G,O42)&amp;""),0)=0,IF(INDEX('Reguler Class Availability'!$B:$B,O42)&amp;""="","Kosong","Belum terisi"),IF(IFERROR(--(INDEX('Reguler Class Availability'!$G:$G,O42)&amp;""),0)/IFERROR(--(INDEX('Reguler Class Availability'!$F:$F,O42)&amp;""),0)&gt;=0.6,"Tinggi","Sebagian"))))))</f>
        <v>Penuh</v>
      </c>
      <c r="X42" s="0" t="str">
        <f aca="false">IF(P42="","",IF(AND(IFERROR(--(INDEX('Reguler Class Availability'!$F:$F,P42)&amp;""),0)=0,IFERROR(--(INDEX('Reguler Class Availability'!$G:$G,P42)&amp;""),0)=0),IF(OR(INDEX('Reguler Class Availability'!$B:$B,P42)&amp;""&lt;&gt;"",INDEX('Reguler Class Availability'!$I:$I,P42)&amp;""&lt;&gt;""),"Tutup","Tidak dibuka"),IF(IFERROR(--(INDEX('Reguler Class Availability'!$G:$G,P42)&amp;""),0)&gt;IFERROR(--(INDEX('Reguler Class Availability'!$F:$F,P42)&amp;""),0),"Lebih",IF(IFERROR(--(INDEX('Reguler Class Availability'!$G:$G,P42)&amp;""),0)=IFERROR(--(INDEX('Reguler Class Availability'!$F:$F,P42)&amp;""),0),"Penuh",IF(IFERROR(--(INDEX('Reguler Class Availability'!$G:$G,P42)&amp;""),0)=0,IF(INDEX('Reguler Class Availability'!$B:$B,P42)&amp;""="","Kosong","Belum terisi"),IF(IFERROR(--(INDEX('Reguler Class Availability'!$G:$G,P42)&amp;""),0)/IFERROR(--(INDEX('Reguler Class Availability'!$F:$F,P42)&amp;""),0)&gt;=0.6,"Tinggi","Sebagian"))))))</f>
        <v>Tinggi</v>
      </c>
      <c r="Z42" s="4" t="s">
        <v>77</v>
      </c>
      <c r="AA42" s="4" t="n">
        <f aca="false">IF(COUNTIFS('Reguler Class Availability'!$L:$L,$B$4&amp;"|- Lane 1 - *|"&amp;Z42)&gt;0,1,0)</f>
        <v>0</v>
      </c>
      <c r="AB42" s="4" t="n">
        <f aca="false">AA42+AB41</f>
        <v>11</v>
      </c>
    </row>
    <row r="43" customFormat="false" ht="39.75" hidden="false" customHeight="true" outlineLevel="0" collapsed="false">
      <c r="A43" s="39" t="str">
        <f aca="false">IFERROR(INDEX($Z$62:$Z$121,MATCH(10,$AB$62:$AB$121,0)),"")</f>
        <v>15:45</v>
      </c>
      <c r="B43" s="40" t="str">
        <f aca="false">IF(J43="","",IF(R43="Tidak dibuka","–",IF(INDEX('Reguler Class Availability'!$B:$B,J43)&amp;""="","Kosong",PROPER(INDEX('Reguler Class Availability'!$B:$B,J43)&amp;""))&amp;"  "&amp;IFERROR(--(INDEX('Reguler Class Availability'!$G:$G,J43)&amp;""),0)&amp;"/"&amp;IFERROR(--(INDEX('Reguler Class Availability'!$F:$F,J43)&amp;""),0)&amp;IF(IFERROR(--(INDEX('Reguler Class Availability'!$F:$F,J43)&amp;""),0)&gt;0,"  ("&amp;TEXT(IFERROR(--(INDEX('Reguler Class Availability'!$G:$G,J43)&amp;""),0)/IFERROR(--(INDEX('Reguler Class Availability'!$F:$F,J43)&amp;""),0),"0%")&amp;")","")&amp;CHAR(10)&amp;IF(INDEX('Reguler Class Availability'!$I:$I,J43)&amp;""="","coach: –",PROPER(INDEX('Reguler Class Availability'!$I:$I,J43)&amp;""))&amp;IF(INDEX('Reguler Class Availability'!$J:$J,J43)&amp;""="","",CHAR(10)&amp;"asst: "&amp;PROPER(INDEX('Reguler Class Availability'!$J:$J,J43)&amp;""))))</f>
        <v>Tiny  0/0
coach: –</v>
      </c>
      <c r="C43" s="40" t="str">
        <f aca="false">IF(K43="","",IF(S43="Tidak dibuka","–",IF(INDEX('Reguler Class Availability'!$B:$B,K43)&amp;""="","Kosong",PROPER(INDEX('Reguler Class Availability'!$B:$B,K43)&amp;""))&amp;"  "&amp;IFERROR(--(INDEX('Reguler Class Availability'!$G:$G,K43)&amp;""),0)&amp;"/"&amp;IFERROR(--(INDEX('Reguler Class Availability'!$F:$F,K43)&amp;""),0)&amp;IF(IFERROR(--(INDEX('Reguler Class Availability'!$F:$F,K43)&amp;""),0)&gt;0,"  ("&amp;TEXT(IFERROR(--(INDEX('Reguler Class Availability'!$G:$G,K43)&amp;""),0)/IFERROR(--(INDEX('Reguler Class Availability'!$F:$F,K43)&amp;""),0),"0%")&amp;")","")&amp;CHAR(10)&amp;IF(INDEX('Reguler Class Availability'!$I:$I,K43)&amp;""="","coach: –",PROPER(INDEX('Reguler Class Availability'!$I:$I,K43)&amp;""))&amp;IF(INDEX('Reguler Class Availability'!$J:$J,K43)&amp;""="","",CHAR(10)&amp;"asst: "&amp;PROPER(INDEX('Reguler Class Availability'!$J:$J,K43)&amp;""))))</f>
        <v>Kids  4/0
Dian</v>
      </c>
      <c r="D43" s="40" t="str">
        <f aca="false">IF(L43="","",IF(T43="Tidak dibuka","–",IF(INDEX('Reguler Class Availability'!$B:$B,L43)&amp;""="","Kosong",PROPER(INDEX('Reguler Class Availability'!$B:$B,L43)&amp;""))&amp;"  "&amp;IFERROR(--(INDEX('Reguler Class Availability'!$G:$G,L43)&amp;""),0)&amp;"/"&amp;IFERROR(--(INDEX('Reguler Class Availability'!$F:$F,L43)&amp;""),0)&amp;IF(IFERROR(--(INDEX('Reguler Class Availability'!$F:$F,L43)&amp;""),0)&gt;0,"  ("&amp;TEXT(IFERROR(--(INDEX('Reguler Class Availability'!$G:$G,L43)&amp;""),0)/IFERROR(--(INDEX('Reguler Class Availability'!$F:$F,L43)&amp;""),0),"0%")&amp;")","")&amp;CHAR(10)&amp;IF(INDEX('Reguler Class Availability'!$I:$I,L43)&amp;""="","coach: –",PROPER(INDEX('Reguler Class Availability'!$I:$I,L43)&amp;""))&amp;IF(INDEX('Reguler Class Availability'!$J:$J,L43)&amp;""="","",CHAR(10)&amp;"asst: "&amp;PROPER(INDEX('Reguler Class Availability'!$J:$J,L43)&amp;""))))</f>
        <v>Tiny  0/5  (0%)
coach: –</v>
      </c>
      <c r="E43" s="40" t="str">
        <f aca="false">IF(M43="","",IF(U43="Tidak dibuka","–",IF(INDEX('Reguler Class Availability'!$B:$B,M43)&amp;""="","Kosong",PROPER(INDEX('Reguler Class Availability'!$B:$B,M43)&amp;""))&amp;"  "&amp;IFERROR(--(INDEX('Reguler Class Availability'!$G:$G,M43)&amp;""),0)&amp;"/"&amp;IFERROR(--(INDEX('Reguler Class Availability'!$F:$F,M43)&amp;""),0)&amp;IF(IFERROR(--(INDEX('Reguler Class Availability'!$F:$F,M43)&amp;""),0)&gt;0,"  ("&amp;TEXT(IFERROR(--(INDEX('Reguler Class Availability'!$G:$G,M43)&amp;""),0)/IFERROR(--(INDEX('Reguler Class Availability'!$F:$F,M43)&amp;""),0),"0%")&amp;")","")&amp;CHAR(10)&amp;IF(INDEX('Reguler Class Availability'!$I:$I,M43)&amp;""="","coach: –",PROPER(INDEX('Reguler Class Availability'!$I:$I,M43)&amp;""))&amp;IF(INDEX('Reguler Class Availability'!$J:$J,M43)&amp;""="","",CHAR(10)&amp;"asst: "&amp;PROPER(INDEX('Reguler Class Availability'!$J:$J,M43)&amp;""))))</f>
        <v>Tiny  0/0
coach: –</v>
      </c>
      <c r="F43" s="40" t="str">
        <f aca="false">IF(N43="","",IF(V43="Tidak dibuka","–",IF(INDEX('Reguler Class Availability'!$B:$B,N43)&amp;""="","Kosong",PROPER(INDEX('Reguler Class Availability'!$B:$B,N43)&amp;""))&amp;"  "&amp;IFERROR(--(INDEX('Reguler Class Availability'!$G:$G,N43)&amp;""),0)&amp;"/"&amp;IFERROR(--(INDEX('Reguler Class Availability'!$F:$F,N43)&amp;""),0)&amp;IF(IFERROR(--(INDEX('Reguler Class Availability'!$F:$F,N43)&amp;""),0)&gt;0,"  ("&amp;TEXT(IFERROR(--(INDEX('Reguler Class Availability'!$G:$G,N43)&amp;""),0)/IFERROR(--(INDEX('Reguler Class Availability'!$F:$F,N43)&amp;""),0),"0%")&amp;")","")&amp;CHAR(10)&amp;IF(INDEX('Reguler Class Availability'!$I:$I,N43)&amp;""="","coach: –",PROPER(INDEX('Reguler Class Availability'!$I:$I,N43)&amp;""))&amp;IF(INDEX('Reguler Class Availability'!$J:$J,N43)&amp;""="","",CHAR(10)&amp;"asst: "&amp;PROPER(INDEX('Reguler Class Availability'!$J:$J,N43)&amp;""))))</f>
        <v>Kids  4/0
Tessa</v>
      </c>
      <c r="G43" s="40" t="str">
        <f aca="false">IF(O43="","",IF(W43="Tidak dibuka","–",IF(INDEX('Reguler Class Availability'!$B:$B,O43)&amp;""="","Kosong",PROPER(INDEX('Reguler Class Availability'!$B:$B,O43)&amp;""))&amp;"  "&amp;IFERROR(--(INDEX('Reguler Class Availability'!$G:$G,O43)&amp;""),0)&amp;"/"&amp;IFERROR(--(INDEX('Reguler Class Availability'!$F:$F,O43)&amp;""),0)&amp;IF(IFERROR(--(INDEX('Reguler Class Availability'!$F:$F,O43)&amp;""),0)&gt;0,"  ("&amp;TEXT(IFERROR(--(INDEX('Reguler Class Availability'!$G:$G,O43)&amp;""),0)/IFERROR(--(INDEX('Reguler Class Availability'!$F:$F,O43)&amp;""),0),"0%")&amp;")","")&amp;CHAR(10)&amp;IF(INDEX('Reguler Class Availability'!$I:$I,O43)&amp;""="","coach: –",PROPER(INDEX('Reguler Class Availability'!$I:$I,O43)&amp;""))&amp;IF(INDEX('Reguler Class Availability'!$J:$J,O43)&amp;""="","",CHAR(10)&amp;"asst: "&amp;PROPER(INDEX('Reguler Class Availability'!$J:$J,O43)&amp;""))))</f>
        <v>Kids  4/4  (100%)
Gita</v>
      </c>
      <c r="H43" s="40" t="str">
        <f aca="false">IF(P43="","",IF(X43="Tidak dibuka","–",IF(INDEX('Reguler Class Availability'!$B:$B,P43)&amp;""="","Kosong",PROPER(INDEX('Reguler Class Availability'!$B:$B,P43)&amp;""))&amp;"  "&amp;IFERROR(--(INDEX('Reguler Class Availability'!$G:$G,P43)&amp;""),0)&amp;"/"&amp;IFERROR(--(INDEX('Reguler Class Availability'!$F:$F,P43)&amp;""),0)&amp;IF(IFERROR(--(INDEX('Reguler Class Availability'!$F:$F,P43)&amp;""),0)&gt;0,"  ("&amp;TEXT(IFERROR(--(INDEX('Reguler Class Availability'!$G:$G,P43)&amp;""),0)/IFERROR(--(INDEX('Reguler Class Availability'!$F:$F,P43)&amp;""),0),"0%")&amp;")","")&amp;CHAR(10)&amp;IF(INDEX('Reguler Class Availability'!$I:$I,P43)&amp;""="","coach: –",PROPER(INDEX('Reguler Class Availability'!$I:$I,P43)&amp;""))&amp;IF(INDEX('Reguler Class Availability'!$J:$J,P43)&amp;""="","",CHAR(10)&amp;"asst: "&amp;PROPER(INDEX('Reguler Class Availability'!$J:$J,P43)&amp;""))))</f>
        <v>Tiny  5/5  (100%)
Gita</v>
      </c>
      <c r="J43" s="4" t="n">
        <f aca="false">IF($A43="","",IFERROR(MATCH($B$4&amp;"|- Lane 2 - "&amp;B$33&amp;"|"&amp;$A43,'Reguler Class Availability'!$L:$L,0),""))</f>
        <v>109</v>
      </c>
      <c r="K43" s="4" t="n">
        <f aca="false">IF($A43="","",IFERROR(MATCH($B$4&amp;"|- Lane 2 - "&amp;C$33&amp;"|"&amp;$A43,'Reguler Class Availability'!$L:$L,0),""))</f>
        <v>121</v>
      </c>
      <c r="L43" s="4" t="n">
        <f aca="false">IF($A43="","",IFERROR(MATCH($B$4&amp;"|- Lane 2 - "&amp;D$33&amp;"|"&amp;$A43,'Reguler Class Availability'!$L:$L,0),""))</f>
        <v>133</v>
      </c>
      <c r="M43" s="4" t="n">
        <f aca="false">IF($A43="","",IFERROR(MATCH($B$4&amp;"|- Lane 2 - "&amp;E$33&amp;"|"&amp;$A43,'Reguler Class Availability'!$L:$L,0),""))</f>
        <v>145</v>
      </c>
      <c r="N43" s="4" t="n">
        <f aca="false">IF($A43="","",IFERROR(MATCH($B$4&amp;"|- Lane 2 - "&amp;F$33&amp;"|"&amp;$A43,'Reguler Class Availability'!$L:$L,0),""))</f>
        <v>157</v>
      </c>
      <c r="O43" s="4" t="n">
        <f aca="false">IF($A43="","",IFERROR(MATCH($B$4&amp;"|- Lane 2 - "&amp;G$33&amp;"|"&amp;$A43,'Reguler Class Availability'!$L:$L,0),""))</f>
        <v>169</v>
      </c>
      <c r="P43" s="4" t="n">
        <f aca="false">IF($A43="","",IFERROR(MATCH($B$4&amp;"|- Lane 2 - "&amp;H$33&amp;"|"&amp;$A43,'Reguler Class Availability'!$L:$L,0),""))</f>
        <v>181</v>
      </c>
      <c r="R43" s="0" t="str">
        <f aca="false">IF(J43="","",IF(AND(IFERROR(--(INDEX('Reguler Class Availability'!$F:$F,J43)&amp;""),0)=0,IFERROR(--(INDEX('Reguler Class Availability'!$G:$G,J43)&amp;""),0)=0),IF(OR(INDEX('Reguler Class Availability'!$B:$B,J43)&amp;""&lt;&gt;"",INDEX('Reguler Class Availability'!$I:$I,J43)&amp;""&lt;&gt;""),"Tutup","Tidak dibuka"),IF(IFERROR(--(INDEX('Reguler Class Availability'!$G:$G,J43)&amp;""),0)&gt;IFERROR(--(INDEX('Reguler Class Availability'!$F:$F,J43)&amp;""),0),"Lebih",IF(IFERROR(--(INDEX('Reguler Class Availability'!$G:$G,J43)&amp;""),0)=IFERROR(--(INDEX('Reguler Class Availability'!$F:$F,J43)&amp;""),0),"Penuh",IF(IFERROR(--(INDEX('Reguler Class Availability'!$G:$G,J43)&amp;""),0)=0,IF(INDEX('Reguler Class Availability'!$B:$B,J43)&amp;""="","Kosong","Belum terisi"),IF(IFERROR(--(INDEX('Reguler Class Availability'!$G:$G,J43)&amp;""),0)/IFERROR(--(INDEX('Reguler Class Availability'!$F:$F,J43)&amp;""),0)&gt;=0.6,"Tinggi","Sebagian"))))))</f>
        <v>Tutup</v>
      </c>
      <c r="S43" s="0" t="str">
        <f aca="false">IF(K43="","",IF(AND(IFERROR(--(INDEX('Reguler Class Availability'!$F:$F,K43)&amp;""),0)=0,IFERROR(--(INDEX('Reguler Class Availability'!$G:$G,K43)&amp;""),0)=0),IF(OR(INDEX('Reguler Class Availability'!$B:$B,K43)&amp;""&lt;&gt;"",INDEX('Reguler Class Availability'!$I:$I,K43)&amp;""&lt;&gt;""),"Tutup","Tidak dibuka"),IF(IFERROR(--(INDEX('Reguler Class Availability'!$G:$G,K43)&amp;""),0)&gt;IFERROR(--(INDEX('Reguler Class Availability'!$F:$F,K43)&amp;""),0),"Lebih",IF(IFERROR(--(INDEX('Reguler Class Availability'!$G:$G,K43)&amp;""),0)=IFERROR(--(INDEX('Reguler Class Availability'!$F:$F,K43)&amp;""),0),"Penuh",IF(IFERROR(--(INDEX('Reguler Class Availability'!$G:$G,K43)&amp;""),0)=0,IF(INDEX('Reguler Class Availability'!$B:$B,K43)&amp;""="","Kosong","Belum terisi"),IF(IFERROR(--(INDEX('Reguler Class Availability'!$G:$G,K43)&amp;""),0)/IFERROR(--(INDEX('Reguler Class Availability'!$F:$F,K43)&amp;""),0)&gt;=0.6,"Tinggi","Sebagian"))))))</f>
        <v>Lebih</v>
      </c>
      <c r="T43" s="0" t="str">
        <f aca="false">IF(L43="","",IF(AND(IFERROR(--(INDEX('Reguler Class Availability'!$F:$F,L43)&amp;""),0)=0,IFERROR(--(INDEX('Reguler Class Availability'!$G:$G,L43)&amp;""),0)=0),IF(OR(INDEX('Reguler Class Availability'!$B:$B,L43)&amp;""&lt;&gt;"",INDEX('Reguler Class Availability'!$I:$I,L43)&amp;""&lt;&gt;""),"Tutup","Tidak dibuka"),IF(IFERROR(--(INDEX('Reguler Class Availability'!$G:$G,L43)&amp;""),0)&gt;IFERROR(--(INDEX('Reguler Class Availability'!$F:$F,L43)&amp;""),0),"Lebih",IF(IFERROR(--(INDEX('Reguler Class Availability'!$G:$G,L43)&amp;""),0)=IFERROR(--(INDEX('Reguler Class Availability'!$F:$F,L43)&amp;""),0),"Penuh",IF(IFERROR(--(INDEX('Reguler Class Availability'!$G:$G,L43)&amp;""),0)=0,IF(INDEX('Reguler Class Availability'!$B:$B,L43)&amp;""="","Kosong","Belum terisi"),IF(IFERROR(--(INDEX('Reguler Class Availability'!$G:$G,L43)&amp;""),0)/IFERROR(--(INDEX('Reguler Class Availability'!$F:$F,L43)&amp;""),0)&gt;=0.6,"Tinggi","Sebagian"))))))</f>
        <v>Belum terisi</v>
      </c>
      <c r="U43" s="0" t="str">
        <f aca="false">IF(M43="","",IF(AND(IFERROR(--(INDEX('Reguler Class Availability'!$F:$F,M43)&amp;""),0)=0,IFERROR(--(INDEX('Reguler Class Availability'!$G:$G,M43)&amp;""),0)=0),IF(OR(INDEX('Reguler Class Availability'!$B:$B,M43)&amp;""&lt;&gt;"",INDEX('Reguler Class Availability'!$I:$I,M43)&amp;""&lt;&gt;""),"Tutup","Tidak dibuka"),IF(IFERROR(--(INDEX('Reguler Class Availability'!$G:$G,M43)&amp;""),0)&gt;IFERROR(--(INDEX('Reguler Class Availability'!$F:$F,M43)&amp;""),0),"Lebih",IF(IFERROR(--(INDEX('Reguler Class Availability'!$G:$G,M43)&amp;""),0)=IFERROR(--(INDEX('Reguler Class Availability'!$F:$F,M43)&amp;""),0),"Penuh",IF(IFERROR(--(INDEX('Reguler Class Availability'!$G:$G,M43)&amp;""),0)=0,IF(INDEX('Reguler Class Availability'!$B:$B,M43)&amp;""="","Kosong","Belum terisi"),IF(IFERROR(--(INDEX('Reguler Class Availability'!$G:$G,M43)&amp;""),0)/IFERROR(--(INDEX('Reguler Class Availability'!$F:$F,M43)&amp;""),0)&gt;=0.6,"Tinggi","Sebagian"))))))</f>
        <v>Tutup</v>
      </c>
      <c r="V43" s="0" t="str">
        <f aca="false">IF(N43="","",IF(AND(IFERROR(--(INDEX('Reguler Class Availability'!$F:$F,N43)&amp;""),0)=0,IFERROR(--(INDEX('Reguler Class Availability'!$G:$G,N43)&amp;""),0)=0),IF(OR(INDEX('Reguler Class Availability'!$B:$B,N43)&amp;""&lt;&gt;"",INDEX('Reguler Class Availability'!$I:$I,N43)&amp;""&lt;&gt;""),"Tutup","Tidak dibuka"),IF(IFERROR(--(INDEX('Reguler Class Availability'!$G:$G,N43)&amp;""),0)&gt;IFERROR(--(INDEX('Reguler Class Availability'!$F:$F,N43)&amp;""),0),"Lebih",IF(IFERROR(--(INDEX('Reguler Class Availability'!$G:$G,N43)&amp;""),0)=IFERROR(--(INDEX('Reguler Class Availability'!$F:$F,N43)&amp;""),0),"Penuh",IF(IFERROR(--(INDEX('Reguler Class Availability'!$G:$G,N43)&amp;""),0)=0,IF(INDEX('Reguler Class Availability'!$B:$B,N43)&amp;""="","Kosong","Belum terisi"),IF(IFERROR(--(INDEX('Reguler Class Availability'!$G:$G,N43)&amp;""),0)/IFERROR(--(INDEX('Reguler Class Availability'!$F:$F,N43)&amp;""),0)&gt;=0.6,"Tinggi","Sebagian"))))))</f>
        <v>Lebih</v>
      </c>
      <c r="W43" s="0" t="str">
        <f aca="false">IF(O43="","",IF(AND(IFERROR(--(INDEX('Reguler Class Availability'!$F:$F,O43)&amp;""),0)=0,IFERROR(--(INDEX('Reguler Class Availability'!$G:$G,O43)&amp;""),0)=0),IF(OR(INDEX('Reguler Class Availability'!$B:$B,O43)&amp;""&lt;&gt;"",INDEX('Reguler Class Availability'!$I:$I,O43)&amp;""&lt;&gt;""),"Tutup","Tidak dibuka"),IF(IFERROR(--(INDEX('Reguler Class Availability'!$G:$G,O43)&amp;""),0)&gt;IFERROR(--(INDEX('Reguler Class Availability'!$F:$F,O43)&amp;""),0),"Lebih",IF(IFERROR(--(INDEX('Reguler Class Availability'!$G:$G,O43)&amp;""),0)=IFERROR(--(INDEX('Reguler Class Availability'!$F:$F,O43)&amp;""),0),"Penuh",IF(IFERROR(--(INDEX('Reguler Class Availability'!$G:$G,O43)&amp;""),0)=0,IF(INDEX('Reguler Class Availability'!$B:$B,O43)&amp;""="","Kosong","Belum terisi"),IF(IFERROR(--(INDEX('Reguler Class Availability'!$G:$G,O43)&amp;""),0)/IFERROR(--(INDEX('Reguler Class Availability'!$F:$F,O43)&amp;""),0)&gt;=0.6,"Tinggi","Sebagian"))))))</f>
        <v>Penuh</v>
      </c>
      <c r="X43" s="0" t="str">
        <f aca="false">IF(P43="","",IF(AND(IFERROR(--(INDEX('Reguler Class Availability'!$F:$F,P43)&amp;""),0)=0,IFERROR(--(INDEX('Reguler Class Availability'!$G:$G,P43)&amp;""),0)=0),IF(OR(INDEX('Reguler Class Availability'!$B:$B,P43)&amp;""&lt;&gt;"",INDEX('Reguler Class Availability'!$I:$I,P43)&amp;""&lt;&gt;""),"Tutup","Tidak dibuka"),IF(IFERROR(--(INDEX('Reguler Class Availability'!$G:$G,P43)&amp;""),0)&gt;IFERROR(--(INDEX('Reguler Class Availability'!$F:$F,P43)&amp;""),0),"Lebih",IF(IFERROR(--(INDEX('Reguler Class Availability'!$G:$G,P43)&amp;""),0)=IFERROR(--(INDEX('Reguler Class Availability'!$F:$F,P43)&amp;""),0),"Penuh",IF(IFERROR(--(INDEX('Reguler Class Availability'!$G:$G,P43)&amp;""),0)=0,IF(INDEX('Reguler Class Availability'!$B:$B,P43)&amp;""="","Kosong","Belum terisi"),IF(IFERROR(--(INDEX('Reguler Class Availability'!$G:$G,P43)&amp;""),0)/IFERROR(--(INDEX('Reguler Class Availability'!$F:$F,P43)&amp;""),0)&gt;=0.6,"Tinggi","Sebagian"))))))</f>
        <v>Penuh</v>
      </c>
      <c r="Z43" s="4" t="s">
        <v>78</v>
      </c>
      <c r="AA43" s="4" t="n">
        <f aca="false">IF(COUNTIFS('Reguler Class Availability'!$L:$L,$B$4&amp;"|- Lane 1 - *|"&amp;Z43)&gt;0,1,0)</f>
        <v>0</v>
      </c>
      <c r="AB43" s="4" t="n">
        <f aca="false">AA43+AB42</f>
        <v>11</v>
      </c>
    </row>
    <row r="44" customFormat="false" ht="39.75" hidden="false" customHeight="true" outlineLevel="0" collapsed="false">
      <c r="A44" s="39" t="str">
        <f aca="false">IFERROR(INDEX($Z$62:$Z$121,MATCH(11,$AB$62:$AB$121,0)),"")</f>
        <v>16:30</v>
      </c>
      <c r="B44" s="40" t="str">
        <f aca="false">IF(J44="","",IF(R44="Tidak dibuka","–",IF(INDEX('Reguler Class Availability'!$B:$B,J44)&amp;""="","Kosong",PROPER(INDEX('Reguler Class Availability'!$B:$B,J44)&amp;""))&amp;"  "&amp;IFERROR(--(INDEX('Reguler Class Availability'!$G:$G,J44)&amp;""),0)&amp;"/"&amp;IFERROR(--(INDEX('Reguler Class Availability'!$F:$F,J44)&amp;""),0)&amp;IF(IFERROR(--(INDEX('Reguler Class Availability'!$F:$F,J44)&amp;""),0)&gt;0,"  ("&amp;TEXT(IFERROR(--(INDEX('Reguler Class Availability'!$G:$G,J44)&amp;""),0)/IFERROR(--(INDEX('Reguler Class Availability'!$F:$F,J44)&amp;""),0),"0%")&amp;")","")&amp;CHAR(10)&amp;IF(INDEX('Reguler Class Availability'!$I:$I,J44)&amp;""="","coach: –",PROPER(INDEX('Reguler Class Availability'!$I:$I,J44)&amp;""))&amp;IF(INDEX('Reguler Class Availability'!$J:$J,J44)&amp;""="","",CHAR(10)&amp;"asst: "&amp;PROPER(INDEX('Reguler Class Availability'!$J:$J,J44)&amp;""))))</f>
        <v>Tiny  0/5  (0%)
coach: –</v>
      </c>
      <c r="C44" s="40" t="str">
        <f aca="false">IF(K44="","",IF(S44="Tidak dibuka","–",IF(INDEX('Reguler Class Availability'!$B:$B,K44)&amp;""="","Kosong",PROPER(INDEX('Reguler Class Availability'!$B:$B,K44)&amp;""))&amp;"  "&amp;IFERROR(--(INDEX('Reguler Class Availability'!$G:$G,K44)&amp;""),0)&amp;"/"&amp;IFERROR(--(INDEX('Reguler Class Availability'!$F:$F,K44)&amp;""),0)&amp;IF(IFERROR(--(INDEX('Reguler Class Availability'!$F:$F,K44)&amp;""),0)&gt;0,"  ("&amp;TEXT(IFERROR(--(INDEX('Reguler Class Availability'!$G:$G,K44)&amp;""),0)/IFERROR(--(INDEX('Reguler Class Availability'!$F:$F,K44)&amp;""),0),"0%")&amp;")","")&amp;CHAR(10)&amp;IF(INDEX('Reguler Class Availability'!$I:$I,K44)&amp;""="","coach: –",PROPER(INDEX('Reguler Class Availability'!$I:$I,K44)&amp;""))&amp;IF(INDEX('Reguler Class Availability'!$J:$J,K44)&amp;""="","",CHAR(10)&amp;"asst: "&amp;PROPER(INDEX('Reguler Class Availability'!$J:$J,K44)&amp;""))))</f>
        <v>Tiny  3/5  (60%)
Zidane</v>
      </c>
      <c r="D44" s="40" t="str">
        <f aca="false">IF(L44="","",IF(T44="Tidak dibuka","–",IF(INDEX('Reguler Class Availability'!$B:$B,L44)&amp;""="","Kosong",PROPER(INDEX('Reguler Class Availability'!$B:$B,L44)&amp;""))&amp;"  "&amp;IFERROR(--(INDEX('Reguler Class Availability'!$G:$G,L44)&amp;""),0)&amp;"/"&amp;IFERROR(--(INDEX('Reguler Class Availability'!$F:$F,L44)&amp;""),0)&amp;IF(IFERROR(--(INDEX('Reguler Class Availability'!$F:$F,L44)&amp;""),0)&gt;0,"  ("&amp;TEXT(IFERROR(--(INDEX('Reguler Class Availability'!$G:$G,L44)&amp;""),0)/IFERROR(--(INDEX('Reguler Class Availability'!$F:$F,L44)&amp;""),0),"0%")&amp;")","")&amp;CHAR(10)&amp;IF(INDEX('Reguler Class Availability'!$I:$I,L44)&amp;""="","coach: –",PROPER(INDEX('Reguler Class Availability'!$I:$I,L44)&amp;""))&amp;IF(INDEX('Reguler Class Availability'!$J:$J,L44)&amp;""="","",CHAR(10)&amp;"asst: "&amp;PROPER(INDEX('Reguler Class Availability'!$J:$J,L44)&amp;""))))</f>
        <v>Tiny  5/5  (100%)
Nuky</v>
      </c>
      <c r="E44" s="40" t="str">
        <f aca="false">IF(M44="","",IF(U44="Tidak dibuka","–",IF(INDEX('Reguler Class Availability'!$B:$B,M44)&amp;""="","Kosong",PROPER(INDEX('Reguler Class Availability'!$B:$B,M44)&amp;""))&amp;"  "&amp;IFERROR(--(INDEX('Reguler Class Availability'!$G:$G,M44)&amp;""),0)&amp;"/"&amp;IFERROR(--(INDEX('Reguler Class Availability'!$F:$F,M44)&amp;""),0)&amp;IF(IFERROR(--(INDEX('Reguler Class Availability'!$F:$F,M44)&amp;""),0)&gt;0,"  ("&amp;TEXT(IFERROR(--(INDEX('Reguler Class Availability'!$G:$G,M44)&amp;""),0)/IFERROR(--(INDEX('Reguler Class Availability'!$F:$F,M44)&amp;""),0),"0%")&amp;")","")&amp;CHAR(10)&amp;IF(INDEX('Reguler Class Availability'!$I:$I,M44)&amp;""="","coach: –",PROPER(INDEX('Reguler Class Availability'!$I:$I,M44)&amp;""))&amp;IF(INDEX('Reguler Class Availability'!$J:$J,M44)&amp;""="","",CHAR(10)&amp;"asst: "&amp;PROPER(INDEX('Reguler Class Availability'!$J:$J,M44)&amp;""))))</f>
        <v>Tiny  0/5  (0%)
coach: –</v>
      </c>
      <c r="F44" s="40" t="str">
        <f aca="false">IF(N44="","",IF(V44="Tidak dibuka","–",IF(INDEX('Reguler Class Availability'!$B:$B,N44)&amp;""="","Kosong",PROPER(INDEX('Reguler Class Availability'!$B:$B,N44)&amp;""))&amp;"  "&amp;IFERROR(--(INDEX('Reguler Class Availability'!$G:$G,N44)&amp;""),0)&amp;"/"&amp;IFERROR(--(INDEX('Reguler Class Availability'!$F:$F,N44)&amp;""),0)&amp;IF(IFERROR(--(INDEX('Reguler Class Availability'!$F:$F,N44)&amp;""),0)&gt;0,"  ("&amp;TEXT(IFERROR(--(INDEX('Reguler Class Availability'!$G:$G,N44)&amp;""),0)/IFERROR(--(INDEX('Reguler Class Availability'!$F:$F,N44)&amp;""),0),"0%")&amp;")","")&amp;CHAR(10)&amp;IF(INDEX('Reguler Class Availability'!$I:$I,N44)&amp;""="","coach: –",PROPER(INDEX('Reguler Class Availability'!$I:$I,N44)&amp;""))&amp;IF(INDEX('Reguler Class Availability'!$J:$J,N44)&amp;""="","",CHAR(10)&amp;"asst: "&amp;PROPER(INDEX('Reguler Class Availability'!$J:$J,N44)&amp;""))))</f>
        <v>Tiny  4/5  (80%)
Surya</v>
      </c>
      <c r="G44" s="40" t="str">
        <f aca="false">IF(O44="","",IF(W44="Tidak dibuka","–",IF(INDEX('Reguler Class Availability'!$B:$B,O44)&amp;""="","Kosong",PROPER(INDEX('Reguler Class Availability'!$B:$B,O44)&amp;""))&amp;"  "&amp;IFERROR(--(INDEX('Reguler Class Availability'!$G:$G,O44)&amp;""),0)&amp;"/"&amp;IFERROR(--(INDEX('Reguler Class Availability'!$F:$F,O44)&amp;""),0)&amp;IF(IFERROR(--(INDEX('Reguler Class Availability'!$F:$F,O44)&amp;""),0)&gt;0,"  ("&amp;TEXT(IFERROR(--(INDEX('Reguler Class Availability'!$G:$G,O44)&amp;""),0)/IFERROR(--(INDEX('Reguler Class Availability'!$F:$F,O44)&amp;""),0),"0%")&amp;")","")&amp;CHAR(10)&amp;IF(INDEX('Reguler Class Availability'!$I:$I,O44)&amp;""="","coach: –",PROPER(INDEX('Reguler Class Availability'!$I:$I,O44)&amp;""))&amp;IF(INDEX('Reguler Class Availability'!$J:$J,O44)&amp;""="","",CHAR(10)&amp;"asst: "&amp;PROPER(INDEX('Reguler Class Availability'!$J:$J,O44)&amp;""))))</f>
        <v>Tiny  5/5  (100%)
Tessa</v>
      </c>
      <c r="H44" s="40" t="str">
        <f aca="false">IF(P44="","",IF(X44="Tidak dibuka","–",IF(INDEX('Reguler Class Availability'!$B:$B,P44)&amp;""="","Kosong",PROPER(INDEX('Reguler Class Availability'!$B:$B,P44)&amp;""))&amp;"  "&amp;IFERROR(--(INDEX('Reguler Class Availability'!$G:$G,P44)&amp;""),0)&amp;"/"&amp;IFERROR(--(INDEX('Reguler Class Availability'!$F:$F,P44)&amp;""),0)&amp;IF(IFERROR(--(INDEX('Reguler Class Availability'!$F:$F,P44)&amp;""),0)&gt;0,"  ("&amp;TEXT(IFERROR(--(INDEX('Reguler Class Availability'!$G:$G,P44)&amp;""),0)/IFERROR(--(INDEX('Reguler Class Availability'!$F:$F,P44)&amp;""),0),"0%")&amp;")","")&amp;CHAR(10)&amp;IF(INDEX('Reguler Class Availability'!$I:$I,P44)&amp;""="","coach: –",PROPER(INDEX('Reguler Class Availability'!$I:$I,P44)&amp;""))&amp;IF(INDEX('Reguler Class Availability'!$J:$J,P44)&amp;""="","",CHAR(10)&amp;"asst: "&amp;PROPER(INDEX('Reguler Class Availability'!$J:$J,P44)&amp;""))))</f>
        <v>Tiny  5/5  (100%)
Nuky</v>
      </c>
      <c r="J44" s="4" t="n">
        <f aca="false">IF($A44="","",IFERROR(MATCH($B$4&amp;"|- Lane 2 - "&amp;B$33&amp;"|"&amp;$A44,'Reguler Class Availability'!$L:$L,0),""))</f>
        <v>110</v>
      </c>
      <c r="K44" s="4" t="n">
        <f aca="false">IF($A44="","",IFERROR(MATCH($B$4&amp;"|- Lane 2 - "&amp;C$33&amp;"|"&amp;$A44,'Reguler Class Availability'!$L:$L,0),""))</f>
        <v>122</v>
      </c>
      <c r="L44" s="4" t="n">
        <f aca="false">IF($A44="","",IFERROR(MATCH($B$4&amp;"|- Lane 2 - "&amp;D$33&amp;"|"&amp;$A44,'Reguler Class Availability'!$L:$L,0),""))</f>
        <v>134</v>
      </c>
      <c r="M44" s="4" t="n">
        <f aca="false">IF($A44="","",IFERROR(MATCH($B$4&amp;"|- Lane 2 - "&amp;E$33&amp;"|"&amp;$A44,'Reguler Class Availability'!$L:$L,0),""))</f>
        <v>146</v>
      </c>
      <c r="N44" s="4" t="n">
        <f aca="false">IF($A44="","",IFERROR(MATCH($B$4&amp;"|- Lane 2 - "&amp;F$33&amp;"|"&amp;$A44,'Reguler Class Availability'!$L:$L,0),""))</f>
        <v>158</v>
      </c>
      <c r="O44" s="4" t="n">
        <f aca="false">IF($A44="","",IFERROR(MATCH($B$4&amp;"|- Lane 2 - "&amp;G$33&amp;"|"&amp;$A44,'Reguler Class Availability'!$L:$L,0),""))</f>
        <v>170</v>
      </c>
      <c r="P44" s="4" t="n">
        <f aca="false">IF($A44="","",IFERROR(MATCH($B$4&amp;"|- Lane 2 - "&amp;H$33&amp;"|"&amp;$A44,'Reguler Class Availability'!$L:$L,0),""))</f>
        <v>182</v>
      </c>
      <c r="R44" s="0" t="str">
        <f aca="false">IF(J44="","",IF(AND(IFERROR(--(INDEX('Reguler Class Availability'!$F:$F,J44)&amp;""),0)=0,IFERROR(--(INDEX('Reguler Class Availability'!$G:$G,J44)&amp;""),0)=0),IF(OR(INDEX('Reguler Class Availability'!$B:$B,J44)&amp;""&lt;&gt;"",INDEX('Reguler Class Availability'!$I:$I,J44)&amp;""&lt;&gt;""),"Tutup","Tidak dibuka"),IF(IFERROR(--(INDEX('Reguler Class Availability'!$G:$G,J44)&amp;""),0)&gt;IFERROR(--(INDEX('Reguler Class Availability'!$F:$F,J44)&amp;""),0),"Lebih",IF(IFERROR(--(INDEX('Reguler Class Availability'!$G:$G,J44)&amp;""),0)=IFERROR(--(INDEX('Reguler Class Availability'!$F:$F,J44)&amp;""),0),"Penuh",IF(IFERROR(--(INDEX('Reguler Class Availability'!$G:$G,J44)&amp;""),0)=0,IF(INDEX('Reguler Class Availability'!$B:$B,J44)&amp;""="","Kosong","Belum terisi"),IF(IFERROR(--(INDEX('Reguler Class Availability'!$G:$G,J44)&amp;""),0)/IFERROR(--(INDEX('Reguler Class Availability'!$F:$F,J44)&amp;""),0)&gt;=0.6,"Tinggi","Sebagian"))))))</f>
        <v>Belum terisi</v>
      </c>
      <c r="S44" s="0" t="str">
        <f aca="false">IF(K44="","",IF(AND(IFERROR(--(INDEX('Reguler Class Availability'!$F:$F,K44)&amp;""),0)=0,IFERROR(--(INDEX('Reguler Class Availability'!$G:$G,K44)&amp;""),0)=0),IF(OR(INDEX('Reguler Class Availability'!$B:$B,K44)&amp;""&lt;&gt;"",INDEX('Reguler Class Availability'!$I:$I,K44)&amp;""&lt;&gt;""),"Tutup","Tidak dibuka"),IF(IFERROR(--(INDEX('Reguler Class Availability'!$G:$G,K44)&amp;""),0)&gt;IFERROR(--(INDEX('Reguler Class Availability'!$F:$F,K44)&amp;""),0),"Lebih",IF(IFERROR(--(INDEX('Reguler Class Availability'!$G:$G,K44)&amp;""),0)=IFERROR(--(INDEX('Reguler Class Availability'!$F:$F,K44)&amp;""),0),"Penuh",IF(IFERROR(--(INDEX('Reguler Class Availability'!$G:$G,K44)&amp;""),0)=0,IF(INDEX('Reguler Class Availability'!$B:$B,K44)&amp;""="","Kosong","Belum terisi"),IF(IFERROR(--(INDEX('Reguler Class Availability'!$G:$G,K44)&amp;""),0)/IFERROR(--(INDEX('Reguler Class Availability'!$F:$F,K44)&amp;""),0)&gt;=0.6,"Tinggi","Sebagian"))))))</f>
        <v>Tinggi</v>
      </c>
      <c r="T44" s="0" t="str">
        <f aca="false">IF(L44="","",IF(AND(IFERROR(--(INDEX('Reguler Class Availability'!$F:$F,L44)&amp;""),0)=0,IFERROR(--(INDEX('Reguler Class Availability'!$G:$G,L44)&amp;""),0)=0),IF(OR(INDEX('Reguler Class Availability'!$B:$B,L44)&amp;""&lt;&gt;"",INDEX('Reguler Class Availability'!$I:$I,L44)&amp;""&lt;&gt;""),"Tutup","Tidak dibuka"),IF(IFERROR(--(INDEX('Reguler Class Availability'!$G:$G,L44)&amp;""),0)&gt;IFERROR(--(INDEX('Reguler Class Availability'!$F:$F,L44)&amp;""),0),"Lebih",IF(IFERROR(--(INDEX('Reguler Class Availability'!$G:$G,L44)&amp;""),0)=IFERROR(--(INDEX('Reguler Class Availability'!$F:$F,L44)&amp;""),0),"Penuh",IF(IFERROR(--(INDEX('Reguler Class Availability'!$G:$G,L44)&amp;""),0)=0,IF(INDEX('Reguler Class Availability'!$B:$B,L44)&amp;""="","Kosong","Belum terisi"),IF(IFERROR(--(INDEX('Reguler Class Availability'!$G:$G,L44)&amp;""),0)/IFERROR(--(INDEX('Reguler Class Availability'!$F:$F,L44)&amp;""),0)&gt;=0.6,"Tinggi","Sebagian"))))))</f>
        <v>Penuh</v>
      </c>
      <c r="U44" s="0" t="str">
        <f aca="false">IF(M44="","",IF(AND(IFERROR(--(INDEX('Reguler Class Availability'!$F:$F,M44)&amp;""),0)=0,IFERROR(--(INDEX('Reguler Class Availability'!$G:$G,M44)&amp;""),0)=0),IF(OR(INDEX('Reguler Class Availability'!$B:$B,M44)&amp;""&lt;&gt;"",INDEX('Reguler Class Availability'!$I:$I,M44)&amp;""&lt;&gt;""),"Tutup","Tidak dibuka"),IF(IFERROR(--(INDEX('Reguler Class Availability'!$G:$G,M44)&amp;""),0)&gt;IFERROR(--(INDEX('Reguler Class Availability'!$F:$F,M44)&amp;""),0),"Lebih",IF(IFERROR(--(INDEX('Reguler Class Availability'!$G:$G,M44)&amp;""),0)=IFERROR(--(INDEX('Reguler Class Availability'!$F:$F,M44)&amp;""),0),"Penuh",IF(IFERROR(--(INDEX('Reguler Class Availability'!$G:$G,M44)&amp;""),0)=0,IF(INDEX('Reguler Class Availability'!$B:$B,M44)&amp;""="","Kosong","Belum terisi"),IF(IFERROR(--(INDEX('Reguler Class Availability'!$G:$G,M44)&amp;""),0)/IFERROR(--(INDEX('Reguler Class Availability'!$F:$F,M44)&amp;""),0)&gt;=0.6,"Tinggi","Sebagian"))))))</f>
        <v>Belum terisi</v>
      </c>
      <c r="V44" s="0" t="str">
        <f aca="false">IF(N44="","",IF(AND(IFERROR(--(INDEX('Reguler Class Availability'!$F:$F,N44)&amp;""),0)=0,IFERROR(--(INDEX('Reguler Class Availability'!$G:$G,N44)&amp;""),0)=0),IF(OR(INDEX('Reguler Class Availability'!$B:$B,N44)&amp;""&lt;&gt;"",INDEX('Reguler Class Availability'!$I:$I,N44)&amp;""&lt;&gt;""),"Tutup","Tidak dibuka"),IF(IFERROR(--(INDEX('Reguler Class Availability'!$G:$G,N44)&amp;""),0)&gt;IFERROR(--(INDEX('Reguler Class Availability'!$F:$F,N44)&amp;""),0),"Lebih",IF(IFERROR(--(INDEX('Reguler Class Availability'!$G:$G,N44)&amp;""),0)=IFERROR(--(INDEX('Reguler Class Availability'!$F:$F,N44)&amp;""),0),"Penuh",IF(IFERROR(--(INDEX('Reguler Class Availability'!$G:$G,N44)&amp;""),0)=0,IF(INDEX('Reguler Class Availability'!$B:$B,N44)&amp;""="","Kosong","Belum terisi"),IF(IFERROR(--(INDEX('Reguler Class Availability'!$G:$G,N44)&amp;""),0)/IFERROR(--(INDEX('Reguler Class Availability'!$F:$F,N44)&amp;""),0)&gt;=0.6,"Tinggi","Sebagian"))))))</f>
        <v>Tinggi</v>
      </c>
      <c r="W44" s="0" t="str">
        <f aca="false">IF(O44="","",IF(AND(IFERROR(--(INDEX('Reguler Class Availability'!$F:$F,O44)&amp;""),0)=0,IFERROR(--(INDEX('Reguler Class Availability'!$G:$G,O44)&amp;""),0)=0),IF(OR(INDEX('Reguler Class Availability'!$B:$B,O44)&amp;""&lt;&gt;"",INDEX('Reguler Class Availability'!$I:$I,O44)&amp;""&lt;&gt;""),"Tutup","Tidak dibuka"),IF(IFERROR(--(INDEX('Reguler Class Availability'!$G:$G,O44)&amp;""),0)&gt;IFERROR(--(INDEX('Reguler Class Availability'!$F:$F,O44)&amp;""),0),"Lebih",IF(IFERROR(--(INDEX('Reguler Class Availability'!$G:$G,O44)&amp;""),0)=IFERROR(--(INDEX('Reguler Class Availability'!$F:$F,O44)&amp;""),0),"Penuh",IF(IFERROR(--(INDEX('Reguler Class Availability'!$G:$G,O44)&amp;""),0)=0,IF(INDEX('Reguler Class Availability'!$B:$B,O44)&amp;""="","Kosong","Belum terisi"),IF(IFERROR(--(INDEX('Reguler Class Availability'!$G:$G,O44)&amp;""),0)/IFERROR(--(INDEX('Reguler Class Availability'!$F:$F,O44)&amp;""),0)&gt;=0.6,"Tinggi","Sebagian"))))))</f>
        <v>Penuh</v>
      </c>
      <c r="X44" s="0" t="str">
        <f aca="false">IF(P44="","",IF(AND(IFERROR(--(INDEX('Reguler Class Availability'!$F:$F,P44)&amp;""),0)=0,IFERROR(--(INDEX('Reguler Class Availability'!$G:$G,P44)&amp;""),0)=0),IF(OR(INDEX('Reguler Class Availability'!$B:$B,P44)&amp;""&lt;&gt;"",INDEX('Reguler Class Availability'!$I:$I,P44)&amp;""&lt;&gt;""),"Tutup","Tidak dibuka"),IF(IFERROR(--(INDEX('Reguler Class Availability'!$G:$G,P44)&amp;""),0)&gt;IFERROR(--(INDEX('Reguler Class Availability'!$F:$F,P44)&amp;""),0),"Lebih",IF(IFERROR(--(INDEX('Reguler Class Availability'!$G:$G,P44)&amp;""),0)=IFERROR(--(INDEX('Reguler Class Availability'!$F:$F,P44)&amp;""),0),"Penuh",IF(IFERROR(--(INDEX('Reguler Class Availability'!$G:$G,P44)&amp;""),0)=0,IF(INDEX('Reguler Class Availability'!$B:$B,P44)&amp;""="","Kosong","Belum terisi"),IF(IFERROR(--(INDEX('Reguler Class Availability'!$G:$G,P44)&amp;""),0)/IFERROR(--(INDEX('Reguler Class Availability'!$F:$F,P44)&amp;""),0)&gt;=0.6,"Tinggi","Sebagian"))))))</f>
        <v>Penuh</v>
      </c>
      <c r="Z44" s="4" t="s">
        <v>79</v>
      </c>
      <c r="AA44" s="4" t="n">
        <f aca="false">IF(COUNTIFS('Reguler Class Availability'!$L:$L,$B$4&amp;"|- Lane 1 - *|"&amp;Z44)&gt;0,1,0)</f>
        <v>1</v>
      </c>
      <c r="AB44" s="4" t="n">
        <f aca="false">AA44+AB43</f>
        <v>12</v>
      </c>
    </row>
    <row r="45" customFormat="false" ht="39.75" hidden="false" customHeight="true" outlineLevel="0" collapsed="false">
      <c r="A45" s="39" t="str">
        <f aca="false">IFERROR(INDEX($Z$62:$Z$121,MATCH(12,$AB$62:$AB$121,0)),"")</f>
        <v>17:15</v>
      </c>
      <c r="B45" s="40" t="str">
        <f aca="false">IF(J45="","",IF(R45="Tidak dibuka","–",IF(INDEX('Reguler Class Availability'!$B:$B,J45)&amp;""="","Kosong",PROPER(INDEX('Reguler Class Availability'!$B:$B,J45)&amp;""))&amp;"  "&amp;IFERROR(--(INDEX('Reguler Class Availability'!$G:$G,J45)&amp;""),0)&amp;"/"&amp;IFERROR(--(INDEX('Reguler Class Availability'!$F:$F,J45)&amp;""),0)&amp;IF(IFERROR(--(INDEX('Reguler Class Availability'!$F:$F,J45)&amp;""),0)&gt;0,"  ("&amp;TEXT(IFERROR(--(INDEX('Reguler Class Availability'!$G:$G,J45)&amp;""),0)/IFERROR(--(INDEX('Reguler Class Availability'!$F:$F,J45)&amp;""),0),"0%")&amp;")","")&amp;CHAR(10)&amp;IF(INDEX('Reguler Class Availability'!$I:$I,J45)&amp;""="","coach: –",PROPER(INDEX('Reguler Class Availability'!$I:$I,J45)&amp;""))&amp;IF(INDEX('Reguler Class Availability'!$J:$J,J45)&amp;""="","",CHAR(10)&amp;"asst: "&amp;PROPER(INDEX('Reguler Class Availability'!$J:$J,J45)&amp;""))))</f>
        <v>Tiny  0/5  (0%)
coach: –</v>
      </c>
      <c r="C45" s="40" t="str">
        <f aca="false">IF(K45="","",IF(S45="Tidak dibuka","–",IF(INDEX('Reguler Class Availability'!$B:$B,K45)&amp;""="","Kosong",PROPER(INDEX('Reguler Class Availability'!$B:$B,K45)&amp;""))&amp;"  "&amp;IFERROR(--(INDEX('Reguler Class Availability'!$G:$G,K45)&amp;""),0)&amp;"/"&amp;IFERROR(--(INDEX('Reguler Class Availability'!$F:$F,K45)&amp;""),0)&amp;IF(IFERROR(--(INDEX('Reguler Class Availability'!$F:$F,K45)&amp;""),0)&gt;0,"  ("&amp;TEXT(IFERROR(--(INDEX('Reguler Class Availability'!$G:$G,K45)&amp;""),0)/IFERROR(--(INDEX('Reguler Class Availability'!$F:$F,K45)&amp;""),0),"0%")&amp;")","")&amp;CHAR(10)&amp;IF(INDEX('Reguler Class Availability'!$I:$I,K45)&amp;""="","coach: –",PROPER(INDEX('Reguler Class Availability'!$I:$I,K45)&amp;""))&amp;IF(INDEX('Reguler Class Availability'!$J:$J,K45)&amp;""="","",CHAR(10)&amp;"asst: "&amp;PROPER(INDEX('Reguler Class Availability'!$J:$J,K45)&amp;""))))</f>
        <v>Tiny  0/5  (0%)
coach: –</v>
      </c>
      <c r="D45" s="40" t="str">
        <f aca="false">IF(L45="","",IF(T45="Tidak dibuka","–",IF(INDEX('Reguler Class Availability'!$B:$B,L45)&amp;""="","Kosong",PROPER(INDEX('Reguler Class Availability'!$B:$B,L45)&amp;""))&amp;"  "&amp;IFERROR(--(INDEX('Reguler Class Availability'!$G:$G,L45)&amp;""),0)&amp;"/"&amp;IFERROR(--(INDEX('Reguler Class Availability'!$F:$F,L45)&amp;""),0)&amp;IF(IFERROR(--(INDEX('Reguler Class Availability'!$F:$F,L45)&amp;""),0)&gt;0,"  ("&amp;TEXT(IFERROR(--(INDEX('Reguler Class Availability'!$G:$G,L45)&amp;""),0)/IFERROR(--(INDEX('Reguler Class Availability'!$F:$F,L45)&amp;""),0),"0%")&amp;")","")&amp;CHAR(10)&amp;IF(INDEX('Reguler Class Availability'!$I:$I,L45)&amp;""="","coach: –",PROPER(INDEX('Reguler Class Availability'!$I:$I,L45)&amp;""))&amp;IF(INDEX('Reguler Class Availability'!$J:$J,L45)&amp;""="","",CHAR(10)&amp;"asst: "&amp;PROPER(INDEX('Reguler Class Availability'!$J:$J,L45)&amp;""))))</f>
        <v>Tiny  4/5  (80%)
Eka</v>
      </c>
      <c r="E45" s="40" t="str">
        <f aca="false">IF(M45="","",IF(U45="Tidak dibuka","–",IF(INDEX('Reguler Class Availability'!$B:$B,M45)&amp;""="","Kosong",PROPER(INDEX('Reguler Class Availability'!$B:$B,M45)&amp;""))&amp;"  "&amp;IFERROR(--(INDEX('Reguler Class Availability'!$G:$G,M45)&amp;""),0)&amp;"/"&amp;IFERROR(--(INDEX('Reguler Class Availability'!$F:$F,M45)&amp;""),0)&amp;IF(IFERROR(--(INDEX('Reguler Class Availability'!$F:$F,M45)&amp;""),0)&gt;0,"  ("&amp;TEXT(IFERROR(--(INDEX('Reguler Class Availability'!$G:$G,M45)&amp;""),0)/IFERROR(--(INDEX('Reguler Class Availability'!$F:$F,M45)&amp;""),0),"0%")&amp;")","")&amp;CHAR(10)&amp;IF(INDEX('Reguler Class Availability'!$I:$I,M45)&amp;""="","coach: –",PROPER(INDEX('Reguler Class Availability'!$I:$I,M45)&amp;""))&amp;IF(INDEX('Reguler Class Availability'!$J:$J,M45)&amp;""="","",CHAR(10)&amp;"asst: "&amp;PROPER(INDEX('Reguler Class Availability'!$J:$J,M45)&amp;""))))</f>
        <v>Tiny  0/5  (0%)
coach: –</v>
      </c>
      <c r="F45" s="40" t="str">
        <f aca="false">IF(N45="","",IF(V45="Tidak dibuka","–",IF(INDEX('Reguler Class Availability'!$B:$B,N45)&amp;""="","Kosong",PROPER(INDEX('Reguler Class Availability'!$B:$B,N45)&amp;""))&amp;"  "&amp;IFERROR(--(INDEX('Reguler Class Availability'!$G:$G,N45)&amp;""),0)&amp;"/"&amp;IFERROR(--(INDEX('Reguler Class Availability'!$F:$F,N45)&amp;""),0)&amp;IF(IFERROR(--(INDEX('Reguler Class Availability'!$F:$F,N45)&amp;""),0)&gt;0,"  ("&amp;TEXT(IFERROR(--(INDEX('Reguler Class Availability'!$G:$G,N45)&amp;""),0)/IFERROR(--(INDEX('Reguler Class Availability'!$F:$F,N45)&amp;""),0),"0%")&amp;")","")&amp;CHAR(10)&amp;IF(INDEX('Reguler Class Availability'!$I:$I,N45)&amp;""="","coach: –",PROPER(INDEX('Reguler Class Availability'!$I:$I,N45)&amp;""))&amp;IF(INDEX('Reguler Class Availability'!$J:$J,N45)&amp;""="","",CHAR(10)&amp;"asst: "&amp;PROPER(INDEX('Reguler Class Availability'!$J:$J,N45)&amp;""))))</f>
        <v>Tiny  3/5  (60%)
Tessa</v>
      </c>
      <c r="G45" s="40" t="str">
        <f aca="false">IF(O45="","",IF(W45="Tidak dibuka","–",IF(INDEX('Reguler Class Availability'!$B:$B,O45)&amp;""="","Kosong",PROPER(INDEX('Reguler Class Availability'!$B:$B,O45)&amp;""))&amp;"  "&amp;IFERROR(--(INDEX('Reguler Class Availability'!$G:$G,O45)&amp;""),0)&amp;"/"&amp;IFERROR(--(INDEX('Reguler Class Availability'!$F:$F,O45)&amp;""),0)&amp;IF(IFERROR(--(INDEX('Reguler Class Availability'!$F:$F,O45)&amp;""),0)&gt;0,"  ("&amp;TEXT(IFERROR(--(INDEX('Reguler Class Availability'!$G:$G,O45)&amp;""),0)/IFERROR(--(INDEX('Reguler Class Availability'!$F:$F,O45)&amp;""),0),"0%")&amp;")","")&amp;CHAR(10)&amp;IF(INDEX('Reguler Class Availability'!$I:$I,O45)&amp;""="","coach: –",PROPER(INDEX('Reguler Class Availability'!$I:$I,O45)&amp;""))&amp;IF(INDEX('Reguler Class Availability'!$J:$J,O45)&amp;""="","",CHAR(10)&amp;"asst: "&amp;PROPER(INDEX('Reguler Class Availability'!$J:$J,O45)&amp;""))))</f>
        <v>Tiny  0/5  (0%)
coach: –</v>
      </c>
      <c r="H45" s="40" t="str">
        <f aca="false">IF(P45="","",IF(X45="Tidak dibuka","–",IF(INDEX('Reguler Class Availability'!$B:$B,P45)&amp;""="","Kosong",PROPER(INDEX('Reguler Class Availability'!$B:$B,P45)&amp;""))&amp;"  "&amp;IFERROR(--(INDEX('Reguler Class Availability'!$G:$G,P45)&amp;""),0)&amp;"/"&amp;IFERROR(--(INDEX('Reguler Class Availability'!$F:$F,P45)&amp;""),0)&amp;IF(IFERROR(--(INDEX('Reguler Class Availability'!$F:$F,P45)&amp;""),0)&gt;0,"  ("&amp;TEXT(IFERROR(--(INDEX('Reguler Class Availability'!$G:$G,P45)&amp;""),0)/IFERROR(--(INDEX('Reguler Class Availability'!$F:$F,P45)&amp;""),0),"0%")&amp;")","")&amp;CHAR(10)&amp;IF(INDEX('Reguler Class Availability'!$I:$I,P45)&amp;""="","coach: –",PROPER(INDEX('Reguler Class Availability'!$I:$I,P45)&amp;""))&amp;IF(INDEX('Reguler Class Availability'!$J:$J,P45)&amp;""="","",CHAR(10)&amp;"asst: "&amp;PROPER(INDEX('Reguler Class Availability'!$J:$J,P45)&amp;""))))</f>
        <v>Tiny  0/5  (0%)
coach: –</v>
      </c>
      <c r="J45" s="4" t="n">
        <f aca="false">IF($A45="","",IFERROR(MATCH($B$4&amp;"|- Lane 2 - "&amp;B$33&amp;"|"&amp;$A45,'Reguler Class Availability'!$L:$L,0),""))</f>
        <v>111</v>
      </c>
      <c r="K45" s="4" t="n">
        <f aca="false">IF($A45="","",IFERROR(MATCH($B$4&amp;"|- Lane 2 - "&amp;C$33&amp;"|"&amp;$A45,'Reguler Class Availability'!$L:$L,0),""))</f>
        <v>123</v>
      </c>
      <c r="L45" s="4" t="n">
        <f aca="false">IF($A45="","",IFERROR(MATCH($B$4&amp;"|- Lane 2 - "&amp;D$33&amp;"|"&amp;$A45,'Reguler Class Availability'!$L:$L,0),""))</f>
        <v>135</v>
      </c>
      <c r="M45" s="4" t="n">
        <f aca="false">IF($A45="","",IFERROR(MATCH($B$4&amp;"|- Lane 2 - "&amp;E$33&amp;"|"&amp;$A45,'Reguler Class Availability'!$L:$L,0),""))</f>
        <v>147</v>
      </c>
      <c r="N45" s="4" t="n">
        <f aca="false">IF($A45="","",IFERROR(MATCH($B$4&amp;"|- Lane 2 - "&amp;F$33&amp;"|"&amp;$A45,'Reguler Class Availability'!$L:$L,0),""))</f>
        <v>159</v>
      </c>
      <c r="O45" s="4" t="n">
        <f aca="false">IF($A45="","",IFERROR(MATCH($B$4&amp;"|- Lane 2 - "&amp;G$33&amp;"|"&amp;$A45,'Reguler Class Availability'!$L:$L,0),""))</f>
        <v>171</v>
      </c>
      <c r="P45" s="4" t="n">
        <f aca="false">IF($A45="","",IFERROR(MATCH($B$4&amp;"|- Lane 2 - "&amp;H$33&amp;"|"&amp;$A45,'Reguler Class Availability'!$L:$L,0),""))</f>
        <v>183</v>
      </c>
      <c r="R45" s="0" t="str">
        <f aca="false">IF(J45="","",IF(AND(IFERROR(--(INDEX('Reguler Class Availability'!$F:$F,J45)&amp;""),0)=0,IFERROR(--(INDEX('Reguler Class Availability'!$G:$G,J45)&amp;""),0)=0),IF(OR(INDEX('Reguler Class Availability'!$B:$B,J45)&amp;""&lt;&gt;"",INDEX('Reguler Class Availability'!$I:$I,J45)&amp;""&lt;&gt;""),"Tutup","Tidak dibuka"),IF(IFERROR(--(INDEX('Reguler Class Availability'!$G:$G,J45)&amp;""),0)&gt;IFERROR(--(INDEX('Reguler Class Availability'!$F:$F,J45)&amp;""),0),"Lebih",IF(IFERROR(--(INDEX('Reguler Class Availability'!$G:$G,J45)&amp;""),0)=IFERROR(--(INDEX('Reguler Class Availability'!$F:$F,J45)&amp;""),0),"Penuh",IF(IFERROR(--(INDEX('Reguler Class Availability'!$G:$G,J45)&amp;""),0)=0,IF(INDEX('Reguler Class Availability'!$B:$B,J45)&amp;""="","Kosong","Belum terisi"),IF(IFERROR(--(INDEX('Reguler Class Availability'!$G:$G,J45)&amp;""),0)/IFERROR(--(INDEX('Reguler Class Availability'!$F:$F,J45)&amp;""),0)&gt;=0.6,"Tinggi","Sebagian"))))))</f>
        <v>Belum terisi</v>
      </c>
      <c r="S45" s="0" t="str">
        <f aca="false">IF(K45="","",IF(AND(IFERROR(--(INDEX('Reguler Class Availability'!$F:$F,K45)&amp;""),0)=0,IFERROR(--(INDEX('Reguler Class Availability'!$G:$G,K45)&amp;""),0)=0),IF(OR(INDEX('Reguler Class Availability'!$B:$B,K45)&amp;""&lt;&gt;"",INDEX('Reguler Class Availability'!$I:$I,K45)&amp;""&lt;&gt;""),"Tutup","Tidak dibuka"),IF(IFERROR(--(INDEX('Reguler Class Availability'!$G:$G,K45)&amp;""),0)&gt;IFERROR(--(INDEX('Reguler Class Availability'!$F:$F,K45)&amp;""),0),"Lebih",IF(IFERROR(--(INDEX('Reguler Class Availability'!$G:$G,K45)&amp;""),0)=IFERROR(--(INDEX('Reguler Class Availability'!$F:$F,K45)&amp;""),0),"Penuh",IF(IFERROR(--(INDEX('Reguler Class Availability'!$G:$G,K45)&amp;""),0)=0,IF(INDEX('Reguler Class Availability'!$B:$B,K45)&amp;""="","Kosong","Belum terisi"),IF(IFERROR(--(INDEX('Reguler Class Availability'!$G:$G,K45)&amp;""),0)/IFERROR(--(INDEX('Reguler Class Availability'!$F:$F,K45)&amp;""),0)&gt;=0.6,"Tinggi","Sebagian"))))))</f>
        <v>Belum terisi</v>
      </c>
      <c r="T45" s="0" t="str">
        <f aca="false">IF(L45="","",IF(AND(IFERROR(--(INDEX('Reguler Class Availability'!$F:$F,L45)&amp;""),0)=0,IFERROR(--(INDEX('Reguler Class Availability'!$G:$G,L45)&amp;""),0)=0),IF(OR(INDEX('Reguler Class Availability'!$B:$B,L45)&amp;""&lt;&gt;"",INDEX('Reguler Class Availability'!$I:$I,L45)&amp;""&lt;&gt;""),"Tutup","Tidak dibuka"),IF(IFERROR(--(INDEX('Reguler Class Availability'!$G:$G,L45)&amp;""),0)&gt;IFERROR(--(INDEX('Reguler Class Availability'!$F:$F,L45)&amp;""),0),"Lebih",IF(IFERROR(--(INDEX('Reguler Class Availability'!$G:$G,L45)&amp;""),0)=IFERROR(--(INDEX('Reguler Class Availability'!$F:$F,L45)&amp;""),0),"Penuh",IF(IFERROR(--(INDEX('Reguler Class Availability'!$G:$G,L45)&amp;""),0)=0,IF(INDEX('Reguler Class Availability'!$B:$B,L45)&amp;""="","Kosong","Belum terisi"),IF(IFERROR(--(INDEX('Reguler Class Availability'!$G:$G,L45)&amp;""),0)/IFERROR(--(INDEX('Reguler Class Availability'!$F:$F,L45)&amp;""),0)&gt;=0.6,"Tinggi","Sebagian"))))))</f>
        <v>Tinggi</v>
      </c>
      <c r="U45" s="0" t="str">
        <f aca="false">IF(M45="","",IF(AND(IFERROR(--(INDEX('Reguler Class Availability'!$F:$F,M45)&amp;""),0)=0,IFERROR(--(INDEX('Reguler Class Availability'!$G:$G,M45)&amp;""),0)=0),IF(OR(INDEX('Reguler Class Availability'!$B:$B,M45)&amp;""&lt;&gt;"",INDEX('Reguler Class Availability'!$I:$I,M45)&amp;""&lt;&gt;""),"Tutup","Tidak dibuka"),IF(IFERROR(--(INDEX('Reguler Class Availability'!$G:$G,M45)&amp;""),0)&gt;IFERROR(--(INDEX('Reguler Class Availability'!$F:$F,M45)&amp;""),0),"Lebih",IF(IFERROR(--(INDEX('Reguler Class Availability'!$G:$G,M45)&amp;""),0)=IFERROR(--(INDEX('Reguler Class Availability'!$F:$F,M45)&amp;""),0),"Penuh",IF(IFERROR(--(INDEX('Reguler Class Availability'!$G:$G,M45)&amp;""),0)=0,IF(INDEX('Reguler Class Availability'!$B:$B,M45)&amp;""="","Kosong","Belum terisi"),IF(IFERROR(--(INDEX('Reguler Class Availability'!$G:$G,M45)&amp;""),0)/IFERROR(--(INDEX('Reguler Class Availability'!$F:$F,M45)&amp;""),0)&gt;=0.6,"Tinggi","Sebagian"))))))</f>
        <v>Belum terisi</v>
      </c>
      <c r="V45" s="0" t="str">
        <f aca="false">IF(N45="","",IF(AND(IFERROR(--(INDEX('Reguler Class Availability'!$F:$F,N45)&amp;""),0)=0,IFERROR(--(INDEX('Reguler Class Availability'!$G:$G,N45)&amp;""),0)=0),IF(OR(INDEX('Reguler Class Availability'!$B:$B,N45)&amp;""&lt;&gt;"",INDEX('Reguler Class Availability'!$I:$I,N45)&amp;""&lt;&gt;""),"Tutup","Tidak dibuka"),IF(IFERROR(--(INDEX('Reguler Class Availability'!$G:$G,N45)&amp;""),0)&gt;IFERROR(--(INDEX('Reguler Class Availability'!$F:$F,N45)&amp;""),0),"Lebih",IF(IFERROR(--(INDEX('Reguler Class Availability'!$G:$G,N45)&amp;""),0)=IFERROR(--(INDEX('Reguler Class Availability'!$F:$F,N45)&amp;""),0),"Penuh",IF(IFERROR(--(INDEX('Reguler Class Availability'!$G:$G,N45)&amp;""),0)=0,IF(INDEX('Reguler Class Availability'!$B:$B,N45)&amp;""="","Kosong","Belum terisi"),IF(IFERROR(--(INDEX('Reguler Class Availability'!$G:$G,N45)&amp;""),0)/IFERROR(--(INDEX('Reguler Class Availability'!$F:$F,N45)&amp;""),0)&gt;=0.6,"Tinggi","Sebagian"))))))</f>
        <v>Tinggi</v>
      </c>
      <c r="W45" s="0" t="str">
        <f aca="false">IF(O45="","",IF(AND(IFERROR(--(INDEX('Reguler Class Availability'!$F:$F,O45)&amp;""),0)=0,IFERROR(--(INDEX('Reguler Class Availability'!$G:$G,O45)&amp;""),0)=0),IF(OR(INDEX('Reguler Class Availability'!$B:$B,O45)&amp;""&lt;&gt;"",INDEX('Reguler Class Availability'!$I:$I,O45)&amp;""&lt;&gt;""),"Tutup","Tidak dibuka"),IF(IFERROR(--(INDEX('Reguler Class Availability'!$G:$G,O45)&amp;""),0)&gt;IFERROR(--(INDEX('Reguler Class Availability'!$F:$F,O45)&amp;""),0),"Lebih",IF(IFERROR(--(INDEX('Reguler Class Availability'!$G:$G,O45)&amp;""),0)=IFERROR(--(INDEX('Reguler Class Availability'!$F:$F,O45)&amp;""),0),"Penuh",IF(IFERROR(--(INDEX('Reguler Class Availability'!$G:$G,O45)&amp;""),0)=0,IF(INDEX('Reguler Class Availability'!$B:$B,O45)&amp;""="","Kosong","Belum terisi"),IF(IFERROR(--(INDEX('Reguler Class Availability'!$G:$G,O45)&amp;""),0)/IFERROR(--(INDEX('Reguler Class Availability'!$F:$F,O45)&amp;""),0)&gt;=0.6,"Tinggi","Sebagian"))))))</f>
        <v>Belum terisi</v>
      </c>
      <c r="X45" s="0" t="str">
        <f aca="false">IF(P45="","",IF(AND(IFERROR(--(INDEX('Reguler Class Availability'!$F:$F,P45)&amp;""),0)=0,IFERROR(--(INDEX('Reguler Class Availability'!$G:$G,P45)&amp;""),0)=0),IF(OR(INDEX('Reguler Class Availability'!$B:$B,P45)&amp;""&lt;&gt;"",INDEX('Reguler Class Availability'!$I:$I,P45)&amp;""&lt;&gt;""),"Tutup","Tidak dibuka"),IF(IFERROR(--(INDEX('Reguler Class Availability'!$G:$G,P45)&amp;""),0)&gt;IFERROR(--(INDEX('Reguler Class Availability'!$F:$F,P45)&amp;""),0),"Lebih",IF(IFERROR(--(INDEX('Reguler Class Availability'!$G:$G,P45)&amp;""),0)=IFERROR(--(INDEX('Reguler Class Availability'!$F:$F,P45)&amp;""),0),"Penuh",IF(IFERROR(--(INDEX('Reguler Class Availability'!$G:$G,P45)&amp;""),0)=0,IF(INDEX('Reguler Class Availability'!$B:$B,P45)&amp;""="","Kosong","Belum terisi"),IF(IFERROR(--(INDEX('Reguler Class Availability'!$G:$G,P45)&amp;""),0)/IFERROR(--(INDEX('Reguler Class Availability'!$F:$F,P45)&amp;""),0)&gt;=0.6,"Tinggi","Sebagian"))))))</f>
        <v>Belum terisi</v>
      </c>
      <c r="Z45" s="4" t="s">
        <v>80</v>
      </c>
      <c r="AA45" s="4" t="n">
        <f aca="false">IF(COUNTIFS('Reguler Class Availability'!$L:$L,$B$4&amp;"|- Lane 1 - *|"&amp;Z45)&gt;0,1,0)</f>
        <v>0</v>
      </c>
      <c r="AB45" s="4" t="n">
        <f aca="false">AA45+AB44</f>
        <v>12</v>
      </c>
    </row>
    <row r="46" customFormat="false" ht="39.75" hidden="false" customHeight="true" outlineLevel="0" collapsed="false">
      <c r="A46" s="39" t="str">
        <f aca="false">IFERROR(INDEX($Z$62:$Z$121,MATCH(13,$AB$62:$AB$121,0)),"")</f>
        <v/>
      </c>
      <c r="B46" s="40" t="str">
        <f aca="false">IF(J46="","",IF(R46="Tidak dibuka","–",IF(INDEX('Reguler Class Availability'!$B:$B,J46)&amp;""="","Kosong",PROPER(INDEX('Reguler Class Availability'!$B:$B,J46)&amp;""))&amp;"  "&amp;IFERROR(--(INDEX('Reguler Class Availability'!$G:$G,J46)&amp;""),0)&amp;"/"&amp;IFERROR(--(INDEX('Reguler Class Availability'!$F:$F,J46)&amp;""),0)&amp;IF(IFERROR(--(INDEX('Reguler Class Availability'!$F:$F,J46)&amp;""),0)&gt;0,"  ("&amp;TEXT(IFERROR(--(INDEX('Reguler Class Availability'!$G:$G,J46)&amp;""),0)/IFERROR(--(INDEX('Reguler Class Availability'!$F:$F,J46)&amp;""),0),"0%")&amp;")","")&amp;CHAR(10)&amp;IF(INDEX('Reguler Class Availability'!$I:$I,J46)&amp;""="","coach: –",PROPER(INDEX('Reguler Class Availability'!$I:$I,J46)&amp;""))&amp;IF(INDEX('Reguler Class Availability'!$J:$J,J46)&amp;""="","",CHAR(10)&amp;"asst: "&amp;PROPER(INDEX('Reguler Class Availability'!$J:$J,J46)&amp;""))))</f>
        <v/>
      </c>
      <c r="C46" s="40" t="str">
        <f aca="false">IF(K46="","",IF(S46="Tidak dibuka","–",IF(INDEX('Reguler Class Availability'!$B:$B,K46)&amp;""="","Kosong",PROPER(INDEX('Reguler Class Availability'!$B:$B,K46)&amp;""))&amp;"  "&amp;IFERROR(--(INDEX('Reguler Class Availability'!$G:$G,K46)&amp;""),0)&amp;"/"&amp;IFERROR(--(INDEX('Reguler Class Availability'!$F:$F,K46)&amp;""),0)&amp;IF(IFERROR(--(INDEX('Reguler Class Availability'!$F:$F,K46)&amp;""),0)&gt;0,"  ("&amp;TEXT(IFERROR(--(INDEX('Reguler Class Availability'!$G:$G,K46)&amp;""),0)/IFERROR(--(INDEX('Reguler Class Availability'!$F:$F,K46)&amp;""),0),"0%")&amp;")","")&amp;CHAR(10)&amp;IF(INDEX('Reguler Class Availability'!$I:$I,K46)&amp;""="","coach: –",PROPER(INDEX('Reguler Class Availability'!$I:$I,K46)&amp;""))&amp;IF(INDEX('Reguler Class Availability'!$J:$J,K46)&amp;""="","",CHAR(10)&amp;"asst: "&amp;PROPER(INDEX('Reguler Class Availability'!$J:$J,K46)&amp;""))))</f>
        <v/>
      </c>
      <c r="D46" s="40" t="str">
        <f aca="false">IF(L46="","",IF(T46="Tidak dibuka","–",IF(INDEX('Reguler Class Availability'!$B:$B,L46)&amp;""="","Kosong",PROPER(INDEX('Reguler Class Availability'!$B:$B,L46)&amp;""))&amp;"  "&amp;IFERROR(--(INDEX('Reguler Class Availability'!$G:$G,L46)&amp;""),0)&amp;"/"&amp;IFERROR(--(INDEX('Reguler Class Availability'!$F:$F,L46)&amp;""),0)&amp;IF(IFERROR(--(INDEX('Reguler Class Availability'!$F:$F,L46)&amp;""),0)&gt;0,"  ("&amp;TEXT(IFERROR(--(INDEX('Reguler Class Availability'!$G:$G,L46)&amp;""),0)/IFERROR(--(INDEX('Reguler Class Availability'!$F:$F,L46)&amp;""),0),"0%")&amp;")","")&amp;CHAR(10)&amp;IF(INDEX('Reguler Class Availability'!$I:$I,L46)&amp;""="","coach: –",PROPER(INDEX('Reguler Class Availability'!$I:$I,L46)&amp;""))&amp;IF(INDEX('Reguler Class Availability'!$J:$J,L46)&amp;""="","",CHAR(10)&amp;"asst: "&amp;PROPER(INDEX('Reguler Class Availability'!$J:$J,L46)&amp;""))))</f>
        <v/>
      </c>
      <c r="E46" s="40" t="str">
        <f aca="false">IF(M46="","",IF(U46="Tidak dibuka","–",IF(INDEX('Reguler Class Availability'!$B:$B,M46)&amp;""="","Kosong",PROPER(INDEX('Reguler Class Availability'!$B:$B,M46)&amp;""))&amp;"  "&amp;IFERROR(--(INDEX('Reguler Class Availability'!$G:$G,M46)&amp;""),0)&amp;"/"&amp;IFERROR(--(INDEX('Reguler Class Availability'!$F:$F,M46)&amp;""),0)&amp;IF(IFERROR(--(INDEX('Reguler Class Availability'!$F:$F,M46)&amp;""),0)&gt;0,"  ("&amp;TEXT(IFERROR(--(INDEX('Reguler Class Availability'!$G:$G,M46)&amp;""),0)/IFERROR(--(INDEX('Reguler Class Availability'!$F:$F,M46)&amp;""),0),"0%")&amp;")","")&amp;CHAR(10)&amp;IF(INDEX('Reguler Class Availability'!$I:$I,M46)&amp;""="","coach: –",PROPER(INDEX('Reguler Class Availability'!$I:$I,M46)&amp;""))&amp;IF(INDEX('Reguler Class Availability'!$J:$J,M46)&amp;""="","",CHAR(10)&amp;"asst: "&amp;PROPER(INDEX('Reguler Class Availability'!$J:$J,M46)&amp;""))))</f>
        <v/>
      </c>
      <c r="F46" s="40" t="str">
        <f aca="false">IF(N46="","",IF(V46="Tidak dibuka","–",IF(INDEX('Reguler Class Availability'!$B:$B,N46)&amp;""="","Kosong",PROPER(INDEX('Reguler Class Availability'!$B:$B,N46)&amp;""))&amp;"  "&amp;IFERROR(--(INDEX('Reguler Class Availability'!$G:$G,N46)&amp;""),0)&amp;"/"&amp;IFERROR(--(INDEX('Reguler Class Availability'!$F:$F,N46)&amp;""),0)&amp;IF(IFERROR(--(INDEX('Reguler Class Availability'!$F:$F,N46)&amp;""),0)&gt;0,"  ("&amp;TEXT(IFERROR(--(INDEX('Reguler Class Availability'!$G:$G,N46)&amp;""),0)/IFERROR(--(INDEX('Reguler Class Availability'!$F:$F,N46)&amp;""),0),"0%")&amp;")","")&amp;CHAR(10)&amp;IF(INDEX('Reguler Class Availability'!$I:$I,N46)&amp;""="","coach: –",PROPER(INDEX('Reguler Class Availability'!$I:$I,N46)&amp;""))&amp;IF(INDEX('Reguler Class Availability'!$J:$J,N46)&amp;""="","",CHAR(10)&amp;"asst: "&amp;PROPER(INDEX('Reguler Class Availability'!$J:$J,N46)&amp;""))))</f>
        <v/>
      </c>
      <c r="G46" s="40" t="str">
        <f aca="false">IF(O46="","",IF(W46="Tidak dibuka","–",IF(INDEX('Reguler Class Availability'!$B:$B,O46)&amp;""="","Kosong",PROPER(INDEX('Reguler Class Availability'!$B:$B,O46)&amp;""))&amp;"  "&amp;IFERROR(--(INDEX('Reguler Class Availability'!$G:$G,O46)&amp;""),0)&amp;"/"&amp;IFERROR(--(INDEX('Reguler Class Availability'!$F:$F,O46)&amp;""),0)&amp;IF(IFERROR(--(INDEX('Reguler Class Availability'!$F:$F,O46)&amp;""),0)&gt;0,"  ("&amp;TEXT(IFERROR(--(INDEX('Reguler Class Availability'!$G:$G,O46)&amp;""),0)/IFERROR(--(INDEX('Reguler Class Availability'!$F:$F,O46)&amp;""),0),"0%")&amp;")","")&amp;CHAR(10)&amp;IF(INDEX('Reguler Class Availability'!$I:$I,O46)&amp;""="","coach: –",PROPER(INDEX('Reguler Class Availability'!$I:$I,O46)&amp;""))&amp;IF(INDEX('Reguler Class Availability'!$J:$J,O46)&amp;""="","",CHAR(10)&amp;"asst: "&amp;PROPER(INDEX('Reguler Class Availability'!$J:$J,O46)&amp;""))))</f>
        <v/>
      </c>
      <c r="H46" s="40" t="str">
        <f aca="false">IF(P46="","",IF(X46="Tidak dibuka","–",IF(INDEX('Reguler Class Availability'!$B:$B,P46)&amp;""="","Kosong",PROPER(INDEX('Reguler Class Availability'!$B:$B,P46)&amp;""))&amp;"  "&amp;IFERROR(--(INDEX('Reguler Class Availability'!$G:$G,P46)&amp;""),0)&amp;"/"&amp;IFERROR(--(INDEX('Reguler Class Availability'!$F:$F,P46)&amp;""),0)&amp;IF(IFERROR(--(INDEX('Reguler Class Availability'!$F:$F,P46)&amp;""),0)&gt;0,"  ("&amp;TEXT(IFERROR(--(INDEX('Reguler Class Availability'!$G:$G,P46)&amp;""),0)/IFERROR(--(INDEX('Reguler Class Availability'!$F:$F,P46)&amp;""),0),"0%")&amp;")","")&amp;CHAR(10)&amp;IF(INDEX('Reguler Class Availability'!$I:$I,P46)&amp;""="","coach: –",PROPER(INDEX('Reguler Class Availability'!$I:$I,P46)&amp;""))&amp;IF(INDEX('Reguler Class Availability'!$J:$J,P46)&amp;""="","",CHAR(10)&amp;"asst: "&amp;PROPER(INDEX('Reguler Class Availability'!$J:$J,P46)&amp;""))))</f>
        <v/>
      </c>
      <c r="J46" s="0" t="str">
        <f aca="false">IF($A46="","",IFERROR(MATCH($B$4&amp;"|- Lane 2 - "&amp;B$33&amp;"|"&amp;$A46,'Reguler Class Availability'!$L:$L,0),""))</f>
        <v/>
      </c>
      <c r="K46" s="0" t="str">
        <f aca="false">IF($A46="","",IFERROR(MATCH($B$4&amp;"|- Lane 2 - "&amp;C$33&amp;"|"&amp;$A46,'Reguler Class Availability'!$L:$L,0),""))</f>
        <v/>
      </c>
      <c r="L46" s="0" t="str">
        <f aca="false">IF($A46="","",IFERROR(MATCH($B$4&amp;"|- Lane 2 - "&amp;D$33&amp;"|"&amp;$A46,'Reguler Class Availability'!$L:$L,0),""))</f>
        <v/>
      </c>
      <c r="M46" s="0" t="str">
        <f aca="false">IF($A46="","",IFERROR(MATCH($B$4&amp;"|- Lane 2 - "&amp;E$33&amp;"|"&amp;$A46,'Reguler Class Availability'!$L:$L,0),""))</f>
        <v/>
      </c>
      <c r="N46" s="0" t="str">
        <f aca="false">IF($A46="","",IFERROR(MATCH($B$4&amp;"|- Lane 2 - "&amp;F$33&amp;"|"&amp;$A46,'Reguler Class Availability'!$L:$L,0),""))</f>
        <v/>
      </c>
      <c r="O46" s="0" t="str">
        <f aca="false">IF($A46="","",IFERROR(MATCH($B$4&amp;"|- Lane 2 - "&amp;G$33&amp;"|"&amp;$A46,'Reguler Class Availability'!$L:$L,0),""))</f>
        <v/>
      </c>
      <c r="P46" s="0" t="str">
        <f aca="false">IF($A46="","",IFERROR(MATCH($B$4&amp;"|- Lane 2 - "&amp;H$33&amp;"|"&amp;$A46,'Reguler Class Availability'!$L:$L,0),""))</f>
        <v/>
      </c>
      <c r="R46" s="0" t="str">
        <f aca="false">IF(J46="","",IF(AND(IFERROR(--(INDEX('Reguler Class Availability'!$F:$F,J46)&amp;""),0)=0,IFERROR(--(INDEX('Reguler Class Availability'!$G:$G,J46)&amp;""),0)=0),IF(OR(INDEX('Reguler Class Availability'!$B:$B,J46)&amp;""&lt;&gt;"",INDEX('Reguler Class Availability'!$I:$I,J46)&amp;""&lt;&gt;""),"Tutup","Tidak dibuka"),IF(IFERROR(--(INDEX('Reguler Class Availability'!$G:$G,J46)&amp;""),0)&gt;IFERROR(--(INDEX('Reguler Class Availability'!$F:$F,J46)&amp;""),0),"Lebih",IF(IFERROR(--(INDEX('Reguler Class Availability'!$G:$G,J46)&amp;""),0)=IFERROR(--(INDEX('Reguler Class Availability'!$F:$F,J46)&amp;""),0),"Penuh",IF(IFERROR(--(INDEX('Reguler Class Availability'!$G:$G,J46)&amp;""),0)=0,IF(INDEX('Reguler Class Availability'!$B:$B,J46)&amp;""="","Kosong","Belum terisi"),IF(IFERROR(--(INDEX('Reguler Class Availability'!$G:$G,J46)&amp;""),0)/IFERROR(--(INDEX('Reguler Class Availability'!$F:$F,J46)&amp;""),0)&gt;=0.6,"Tinggi","Sebagian"))))))</f>
        <v/>
      </c>
      <c r="S46" s="0" t="str">
        <f aca="false">IF(K46="","",IF(AND(IFERROR(--(INDEX('Reguler Class Availability'!$F:$F,K46)&amp;""),0)=0,IFERROR(--(INDEX('Reguler Class Availability'!$G:$G,K46)&amp;""),0)=0),IF(OR(INDEX('Reguler Class Availability'!$B:$B,K46)&amp;""&lt;&gt;"",INDEX('Reguler Class Availability'!$I:$I,K46)&amp;""&lt;&gt;""),"Tutup","Tidak dibuka"),IF(IFERROR(--(INDEX('Reguler Class Availability'!$G:$G,K46)&amp;""),0)&gt;IFERROR(--(INDEX('Reguler Class Availability'!$F:$F,K46)&amp;""),0),"Lebih",IF(IFERROR(--(INDEX('Reguler Class Availability'!$G:$G,K46)&amp;""),0)=IFERROR(--(INDEX('Reguler Class Availability'!$F:$F,K46)&amp;""),0),"Penuh",IF(IFERROR(--(INDEX('Reguler Class Availability'!$G:$G,K46)&amp;""),0)=0,IF(INDEX('Reguler Class Availability'!$B:$B,K46)&amp;""="","Kosong","Belum terisi"),IF(IFERROR(--(INDEX('Reguler Class Availability'!$G:$G,K46)&amp;""),0)/IFERROR(--(INDEX('Reguler Class Availability'!$F:$F,K46)&amp;""),0)&gt;=0.6,"Tinggi","Sebagian"))))))</f>
        <v/>
      </c>
      <c r="T46" s="0" t="str">
        <f aca="false">IF(L46="","",IF(AND(IFERROR(--(INDEX('Reguler Class Availability'!$F:$F,L46)&amp;""),0)=0,IFERROR(--(INDEX('Reguler Class Availability'!$G:$G,L46)&amp;""),0)=0),IF(OR(INDEX('Reguler Class Availability'!$B:$B,L46)&amp;""&lt;&gt;"",INDEX('Reguler Class Availability'!$I:$I,L46)&amp;""&lt;&gt;""),"Tutup","Tidak dibuka"),IF(IFERROR(--(INDEX('Reguler Class Availability'!$G:$G,L46)&amp;""),0)&gt;IFERROR(--(INDEX('Reguler Class Availability'!$F:$F,L46)&amp;""),0),"Lebih",IF(IFERROR(--(INDEX('Reguler Class Availability'!$G:$G,L46)&amp;""),0)=IFERROR(--(INDEX('Reguler Class Availability'!$F:$F,L46)&amp;""),0),"Penuh",IF(IFERROR(--(INDEX('Reguler Class Availability'!$G:$G,L46)&amp;""),0)=0,IF(INDEX('Reguler Class Availability'!$B:$B,L46)&amp;""="","Kosong","Belum terisi"),IF(IFERROR(--(INDEX('Reguler Class Availability'!$G:$G,L46)&amp;""),0)/IFERROR(--(INDEX('Reguler Class Availability'!$F:$F,L46)&amp;""),0)&gt;=0.6,"Tinggi","Sebagian"))))))</f>
        <v/>
      </c>
      <c r="U46" s="0" t="str">
        <f aca="false">IF(M46="","",IF(AND(IFERROR(--(INDEX('Reguler Class Availability'!$F:$F,M46)&amp;""),0)=0,IFERROR(--(INDEX('Reguler Class Availability'!$G:$G,M46)&amp;""),0)=0),IF(OR(INDEX('Reguler Class Availability'!$B:$B,M46)&amp;""&lt;&gt;"",INDEX('Reguler Class Availability'!$I:$I,M46)&amp;""&lt;&gt;""),"Tutup","Tidak dibuka"),IF(IFERROR(--(INDEX('Reguler Class Availability'!$G:$G,M46)&amp;""),0)&gt;IFERROR(--(INDEX('Reguler Class Availability'!$F:$F,M46)&amp;""),0),"Lebih",IF(IFERROR(--(INDEX('Reguler Class Availability'!$G:$G,M46)&amp;""),0)=IFERROR(--(INDEX('Reguler Class Availability'!$F:$F,M46)&amp;""),0),"Penuh",IF(IFERROR(--(INDEX('Reguler Class Availability'!$G:$G,M46)&amp;""),0)=0,IF(INDEX('Reguler Class Availability'!$B:$B,M46)&amp;""="","Kosong","Belum terisi"),IF(IFERROR(--(INDEX('Reguler Class Availability'!$G:$G,M46)&amp;""),0)/IFERROR(--(INDEX('Reguler Class Availability'!$F:$F,M46)&amp;""),0)&gt;=0.6,"Tinggi","Sebagian"))))))</f>
        <v/>
      </c>
      <c r="V46" s="0" t="str">
        <f aca="false">IF(N46="","",IF(AND(IFERROR(--(INDEX('Reguler Class Availability'!$F:$F,N46)&amp;""),0)=0,IFERROR(--(INDEX('Reguler Class Availability'!$G:$G,N46)&amp;""),0)=0),IF(OR(INDEX('Reguler Class Availability'!$B:$B,N46)&amp;""&lt;&gt;"",INDEX('Reguler Class Availability'!$I:$I,N46)&amp;""&lt;&gt;""),"Tutup","Tidak dibuka"),IF(IFERROR(--(INDEX('Reguler Class Availability'!$G:$G,N46)&amp;""),0)&gt;IFERROR(--(INDEX('Reguler Class Availability'!$F:$F,N46)&amp;""),0),"Lebih",IF(IFERROR(--(INDEX('Reguler Class Availability'!$G:$G,N46)&amp;""),0)=IFERROR(--(INDEX('Reguler Class Availability'!$F:$F,N46)&amp;""),0),"Penuh",IF(IFERROR(--(INDEX('Reguler Class Availability'!$G:$G,N46)&amp;""),0)=0,IF(INDEX('Reguler Class Availability'!$B:$B,N46)&amp;""="","Kosong","Belum terisi"),IF(IFERROR(--(INDEX('Reguler Class Availability'!$G:$G,N46)&amp;""),0)/IFERROR(--(INDEX('Reguler Class Availability'!$F:$F,N46)&amp;""),0)&gt;=0.6,"Tinggi","Sebagian"))))))</f>
        <v/>
      </c>
      <c r="W46" s="0" t="str">
        <f aca="false">IF(O46="","",IF(AND(IFERROR(--(INDEX('Reguler Class Availability'!$F:$F,O46)&amp;""),0)=0,IFERROR(--(INDEX('Reguler Class Availability'!$G:$G,O46)&amp;""),0)=0),IF(OR(INDEX('Reguler Class Availability'!$B:$B,O46)&amp;""&lt;&gt;"",INDEX('Reguler Class Availability'!$I:$I,O46)&amp;""&lt;&gt;""),"Tutup","Tidak dibuka"),IF(IFERROR(--(INDEX('Reguler Class Availability'!$G:$G,O46)&amp;""),0)&gt;IFERROR(--(INDEX('Reguler Class Availability'!$F:$F,O46)&amp;""),0),"Lebih",IF(IFERROR(--(INDEX('Reguler Class Availability'!$G:$G,O46)&amp;""),0)=IFERROR(--(INDEX('Reguler Class Availability'!$F:$F,O46)&amp;""),0),"Penuh",IF(IFERROR(--(INDEX('Reguler Class Availability'!$G:$G,O46)&amp;""),0)=0,IF(INDEX('Reguler Class Availability'!$B:$B,O46)&amp;""="","Kosong","Belum terisi"),IF(IFERROR(--(INDEX('Reguler Class Availability'!$G:$G,O46)&amp;""),0)/IFERROR(--(INDEX('Reguler Class Availability'!$F:$F,O46)&amp;""),0)&gt;=0.6,"Tinggi","Sebagian"))))))</f>
        <v/>
      </c>
      <c r="X46" s="0" t="str">
        <f aca="false">IF(P46="","",IF(AND(IFERROR(--(INDEX('Reguler Class Availability'!$F:$F,P46)&amp;""),0)=0,IFERROR(--(INDEX('Reguler Class Availability'!$G:$G,P46)&amp;""),0)=0),IF(OR(INDEX('Reguler Class Availability'!$B:$B,P46)&amp;""&lt;&gt;"",INDEX('Reguler Class Availability'!$I:$I,P46)&amp;""&lt;&gt;""),"Tutup","Tidak dibuka"),IF(IFERROR(--(INDEX('Reguler Class Availability'!$G:$G,P46)&amp;""),0)&gt;IFERROR(--(INDEX('Reguler Class Availability'!$F:$F,P46)&amp;""),0),"Lebih",IF(IFERROR(--(INDEX('Reguler Class Availability'!$G:$G,P46)&amp;""),0)=IFERROR(--(INDEX('Reguler Class Availability'!$F:$F,P46)&amp;""),0),"Penuh",IF(IFERROR(--(INDEX('Reguler Class Availability'!$G:$G,P46)&amp;""),0)=0,IF(INDEX('Reguler Class Availability'!$B:$B,P46)&amp;""="","Kosong","Belum terisi"),IF(IFERROR(--(INDEX('Reguler Class Availability'!$G:$G,P46)&amp;""),0)/IFERROR(--(INDEX('Reguler Class Availability'!$F:$F,P46)&amp;""),0)&gt;=0.6,"Tinggi","Sebagian"))))))</f>
        <v/>
      </c>
      <c r="Z46" s="4" t="s">
        <v>81</v>
      </c>
      <c r="AA46" s="4" t="n">
        <f aca="false">IF(COUNTIFS('Reguler Class Availability'!$L:$L,$B$4&amp;"|- Lane 1 - *|"&amp;Z46)&gt;0,1,0)</f>
        <v>0</v>
      </c>
      <c r="AB46" s="4" t="n">
        <f aca="false">AA46+AB45</f>
        <v>12</v>
      </c>
    </row>
    <row r="47" customFormat="false" ht="39.75" hidden="false" customHeight="true" outlineLevel="0" collapsed="false">
      <c r="A47" s="39" t="str">
        <f aca="false">IFERROR(INDEX($Z$62:$Z$121,MATCH(14,$AB$62:$AB$121,0)),"")</f>
        <v/>
      </c>
      <c r="B47" s="40" t="str">
        <f aca="false">IF(J47="","",IF(R47="Tidak dibuka","–",IF(INDEX('Reguler Class Availability'!$B:$B,J47)&amp;""="","Kosong",PROPER(INDEX('Reguler Class Availability'!$B:$B,J47)&amp;""))&amp;"  "&amp;IFERROR(--(INDEX('Reguler Class Availability'!$G:$G,J47)&amp;""),0)&amp;"/"&amp;IFERROR(--(INDEX('Reguler Class Availability'!$F:$F,J47)&amp;""),0)&amp;IF(IFERROR(--(INDEX('Reguler Class Availability'!$F:$F,J47)&amp;""),0)&gt;0,"  ("&amp;TEXT(IFERROR(--(INDEX('Reguler Class Availability'!$G:$G,J47)&amp;""),0)/IFERROR(--(INDEX('Reguler Class Availability'!$F:$F,J47)&amp;""),0),"0%")&amp;")","")&amp;CHAR(10)&amp;IF(INDEX('Reguler Class Availability'!$I:$I,J47)&amp;""="","coach: –",PROPER(INDEX('Reguler Class Availability'!$I:$I,J47)&amp;""))&amp;IF(INDEX('Reguler Class Availability'!$J:$J,J47)&amp;""="","",CHAR(10)&amp;"asst: "&amp;PROPER(INDEX('Reguler Class Availability'!$J:$J,J47)&amp;""))))</f>
        <v/>
      </c>
      <c r="C47" s="40" t="str">
        <f aca="false">IF(K47="","",IF(S47="Tidak dibuka","–",IF(INDEX('Reguler Class Availability'!$B:$B,K47)&amp;""="","Kosong",PROPER(INDEX('Reguler Class Availability'!$B:$B,K47)&amp;""))&amp;"  "&amp;IFERROR(--(INDEX('Reguler Class Availability'!$G:$G,K47)&amp;""),0)&amp;"/"&amp;IFERROR(--(INDEX('Reguler Class Availability'!$F:$F,K47)&amp;""),0)&amp;IF(IFERROR(--(INDEX('Reguler Class Availability'!$F:$F,K47)&amp;""),0)&gt;0,"  ("&amp;TEXT(IFERROR(--(INDEX('Reguler Class Availability'!$G:$G,K47)&amp;""),0)/IFERROR(--(INDEX('Reguler Class Availability'!$F:$F,K47)&amp;""),0),"0%")&amp;")","")&amp;CHAR(10)&amp;IF(INDEX('Reguler Class Availability'!$I:$I,K47)&amp;""="","coach: –",PROPER(INDEX('Reguler Class Availability'!$I:$I,K47)&amp;""))&amp;IF(INDEX('Reguler Class Availability'!$J:$J,K47)&amp;""="","",CHAR(10)&amp;"asst: "&amp;PROPER(INDEX('Reguler Class Availability'!$J:$J,K47)&amp;""))))</f>
        <v/>
      </c>
      <c r="D47" s="40" t="str">
        <f aca="false">IF(L47="","",IF(T47="Tidak dibuka","–",IF(INDEX('Reguler Class Availability'!$B:$B,L47)&amp;""="","Kosong",PROPER(INDEX('Reguler Class Availability'!$B:$B,L47)&amp;""))&amp;"  "&amp;IFERROR(--(INDEX('Reguler Class Availability'!$G:$G,L47)&amp;""),0)&amp;"/"&amp;IFERROR(--(INDEX('Reguler Class Availability'!$F:$F,L47)&amp;""),0)&amp;IF(IFERROR(--(INDEX('Reguler Class Availability'!$F:$F,L47)&amp;""),0)&gt;0,"  ("&amp;TEXT(IFERROR(--(INDEX('Reguler Class Availability'!$G:$G,L47)&amp;""),0)/IFERROR(--(INDEX('Reguler Class Availability'!$F:$F,L47)&amp;""),0),"0%")&amp;")","")&amp;CHAR(10)&amp;IF(INDEX('Reguler Class Availability'!$I:$I,L47)&amp;""="","coach: –",PROPER(INDEX('Reguler Class Availability'!$I:$I,L47)&amp;""))&amp;IF(INDEX('Reguler Class Availability'!$J:$J,L47)&amp;""="","",CHAR(10)&amp;"asst: "&amp;PROPER(INDEX('Reguler Class Availability'!$J:$J,L47)&amp;""))))</f>
        <v/>
      </c>
      <c r="E47" s="40" t="str">
        <f aca="false">IF(M47="","",IF(U47="Tidak dibuka","–",IF(INDEX('Reguler Class Availability'!$B:$B,M47)&amp;""="","Kosong",PROPER(INDEX('Reguler Class Availability'!$B:$B,M47)&amp;""))&amp;"  "&amp;IFERROR(--(INDEX('Reguler Class Availability'!$G:$G,M47)&amp;""),0)&amp;"/"&amp;IFERROR(--(INDEX('Reguler Class Availability'!$F:$F,M47)&amp;""),0)&amp;IF(IFERROR(--(INDEX('Reguler Class Availability'!$F:$F,M47)&amp;""),0)&gt;0,"  ("&amp;TEXT(IFERROR(--(INDEX('Reguler Class Availability'!$G:$G,M47)&amp;""),0)/IFERROR(--(INDEX('Reguler Class Availability'!$F:$F,M47)&amp;""),0),"0%")&amp;")","")&amp;CHAR(10)&amp;IF(INDEX('Reguler Class Availability'!$I:$I,M47)&amp;""="","coach: –",PROPER(INDEX('Reguler Class Availability'!$I:$I,M47)&amp;""))&amp;IF(INDEX('Reguler Class Availability'!$J:$J,M47)&amp;""="","",CHAR(10)&amp;"asst: "&amp;PROPER(INDEX('Reguler Class Availability'!$J:$J,M47)&amp;""))))</f>
        <v/>
      </c>
      <c r="F47" s="40" t="str">
        <f aca="false">IF(N47="","",IF(V47="Tidak dibuka","–",IF(INDEX('Reguler Class Availability'!$B:$B,N47)&amp;""="","Kosong",PROPER(INDEX('Reguler Class Availability'!$B:$B,N47)&amp;""))&amp;"  "&amp;IFERROR(--(INDEX('Reguler Class Availability'!$G:$G,N47)&amp;""),0)&amp;"/"&amp;IFERROR(--(INDEX('Reguler Class Availability'!$F:$F,N47)&amp;""),0)&amp;IF(IFERROR(--(INDEX('Reguler Class Availability'!$F:$F,N47)&amp;""),0)&gt;0,"  ("&amp;TEXT(IFERROR(--(INDEX('Reguler Class Availability'!$G:$G,N47)&amp;""),0)/IFERROR(--(INDEX('Reguler Class Availability'!$F:$F,N47)&amp;""),0),"0%")&amp;")","")&amp;CHAR(10)&amp;IF(INDEX('Reguler Class Availability'!$I:$I,N47)&amp;""="","coach: –",PROPER(INDEX('Reguler Class Availability'!$I:$I,N47)&amp;""))&amp;IF(INDEX('Reguler Class Availability'!$J:$J,N47)&amp;""="","",CHAR(10)&amp;"asst: "&amp;PROPER(INDEX('Reguler Class Availability'!$J:$J,N47)&amp;""))))</f>
        <v/>
      </c>
      <c r="G47" s="40" t="str">
        <f aca="false">IF(O47="","",IF(W47="Tidak dibuka","–",IF(INDEX('Reguler Class Availability'!$B:$B,O47)&amp;""="","Kosong",PROPER(INDEX('Reguler Class Availability'!$B:$B,O47)&amp;""))&amp;"  "&amp;IFERROR(--(INDEX('Reguler Class Availability'!$G:$G,O47)&amp;""),0)&amp;"/"&amp;IFERROR(--(INDEX('Reguler Class Availability'!$F:$F,O47)&amp;""),0)&amp;IF(IFERROR(--(INDEX('Reguler Class Availability'!$F:$F,O47)&amp;""),0)&gt;0,"  ("&amp;TEXT(IFERROR(--(INDEX('Reguler Class Availability'!$G:$G,O47)&amp;""),0)/IFERROR(--(INDEX('Reguler Class Availability'!$F:$F,O47)&amp;""),0),"0%")&amp;")","")&amp;CHAR(10)&amp;IF(INDEX('Reguler Class Availability'!$I:$I,O47)&amp;""="","coach: –",PROPER(INDEX('Reguler Class Availability'!$I:$I,O47)&amp;""))&amp;IF(INDEX('Reguler Class Availability'!$J:$J,O47)&amp;""="","",CHAR(10)&amp;"asst: "&amp;PROPER(INDEX('Reguler Class Availability'!$J:$J,O47)&amp;""))))</f>
        <v/>
      </c>
      <c r="H47" s="40" t="str">
        <f aca="false">IF(P47="","",IF(X47="Tidak dibuka","–",IF(INDEX('Reguler Class Availability'!$B:$B,P47)&amp;""="","Kosong",PROPER(INDEX('Reguler Class Availability'!$B:$B,P47)&amp;""))&amp;"  "&amp;IFERROR(--(INDEX('Reguler Class Availability'!$G:$G,P47)&amp;""),0)&amp;"/"&amp;IFERROR(--(INDEX('Reguler Class Availability'!$F:$F,P47)&amp;""),0)&amp;IF(IFERROR(--(INDEX('Reguler Class Availability'!$F:$F,P47)&amp;""),0)&gt;0,"  ("&amp;TEXT(IFERROR(--(INDEX('Reguler Class Availability'!$G:$G,P47)&amp;""),0)/IFERROR(--(INDEX('Reguler Class Availability'!$F:$F,P47)&amp;""),0),"0%")&amp;")","")&amp;CHAR(10)&amp;IF(INDEX('Reguler Class Availability'!$I:$I,P47)&amp;""="","coach: –",PROPER(INDEX('Reguler Class Availability'!$I:$I,P47)&amp;""))&amp;IF(INDEX('Reguler Class Availability'!$J:$J,P47)&amp;""="","",CHAR(10)&amp;"asst: "&amp;PROPER(INDEX('Reguler Class Availability'!$J:$J,P47)&amp;""))))</f>
        <v/>
      </c>
      <c r="J47" s="0" t="str">
        <f aca="false">IF($A47="","",IFERROR(MATCH($B$4&amp;"|- Lane 2 - "&amp;B$33&amp;"|"&amp;$A47,'Reguler Class Availability'!$L:$L,0),""))</f>
        <v/>
      </c>
      <c r="K47" s="0" t="str">
        <f aca="false">IF($A47="","",IFERROR(MATCH($B$4&amp;"|- Lane 2 - "&amp;C$33&amp;"|"&amp;$A47,'Reguler Class Availability'!$L:$L,0),""))</f>
        <v/>
      </c>
      <c r="L47" s="0" t="str">
        <f aca="false">IF($A47="","",IFERROR(MATCH($B$4&amp;"|- Lane 2 - "&amp;D$33&amp;"|"&amp;$A47,'Reguler Class Availability'!$L:$L,0),""))</f>
        <v/>
      </c>
      <c r="M47" s="0" t="str">
        <f aca="false">IF($A47="","",IFERROR(MATCH($B$4&amp;"|- Lane 2 - "&amp;E$33&amp;"|"&amp;$A47,'Reguler Class Availability'!$L:$L,0),""))</f>
        <v/>
      </c>
      <c r="N47" s="0" t="str">
        <f aca="false">IF($A47="","",IFERROR(MATCH($B$4&amp;"|- Lane 2 - "&amp;F$33&amp;"|"&amp;$A47,'Reguler Class Availability'!$L:$L,0),""))</f>
        <v/>
      </c>
      <c r="O47" s="0" t="str">
        <f aca="false">IF($A47="","",IFERROR(MATCH($B$4&amp;"|- Lane 2 - "&amp;G$33&amp;"|"&amp;$A47,'Reguler Class Availability'!$L:$L,0),""))</f>
        <v/>
      </c>
      <c r="P47" s="0" t="str">
        <f aca="false">IF($A47="","",IFERROR(MATCH($B$4&amp;"|- Lane 2 - "&amp;H$33&amp;"|"&amp;$A47,'Reguler Class Availability'!$L:$L,0),""))</f>
        <v/>
      </c>
      <c r="R47" s="0" t="str">
        <f aca="false">IF(J47="","",IF(AND(IFERROR(--(INDEX('Reguler Class Availability'!$F:$F,J47)&amp;""),0)=0,IFERROR(--(INDEX('Reguler Class Availability'!$G:$G,J47)&amp;""),0)=0),IF(OR(INDEX('Reguler Class Availability'!$B:$B,J47)&amp;""&lt;&gt;"",INDEX('Reguler Class Availability'!$I:$I,J47)&amp;""&lt;&gt;""),"Tutup","Tidak dibuka"),IF(IFERROR(--(INDEX('Reguler Class Availability'!$G:$G,J47)&amp;""),0)&gt;IFERROR(--(INDEX('Reguler Class Availability'!$F:$F,J47)&amp;""),0),"Lebih",IF(IFERROR(--(INDEX('Reguler Class Availability'!$G:$G,J47)&amp;""),0)=IFERROR(--(INDEX('Reguler Class Availability'!$F:$F,J47)&amp;""),0),"Penuh",IF(IFERROR(--(INDEX('Reguler Class Availability'!$G:$G,J47)&amp;""),0)=0,IF(INDEX('Reguler Class Availability'!$B:$B,J47)&amp;""="","Kosong","Belum terisi"),IF(IFERROR(--(INDEX('Reguler Class Availability'!$G:$G,J47)&amp;""),0)/IFERROR(--(INDEX('Reguler Class Availability'!$F:$F,J47)&amp;""),0)&gt;=0.6,"Tinggi","Sebagian"))))))</f>
        <v/>
      </c>
      <c r="S47" s="0" t="str">
        <f aca="false">IF(K47="","",IF(AND(IFERROR(--(INDEX('Reguler Class Availability'!$F:$F,K47)&amp;""),0)=0,IFERROR(--(INDEX('Reguler Class Availability'!$G:$G,K47)&amp;""),0)=0),IF(OR(INDEX('Reguler Class Availability'!$B:$B,K47)&amp;""&lt;&gt;"",INDEX('Reguler Class Availability'!$I:$I,K47)&amp;""&lt;&gt;""),"Tutup","Tidak dibuka"),IF(IFERROR(--(INDEX('Reguler Class Availability'!$G:$G,K47)&amp;""),0)&gt;IFERROR(--(INDEX('Reguler Class Availability'!$F:$F,K47)&amp;""),0),"Lebih",IF(IFERROR(--(INDEX('Reguler Class Availability'!$G:$G,K47)&amp;""),0)=IFERROR(--(INDEX('Reguler Class Availability'!$F:$F,K47)&amp;""),0),"Penuh",IF(IFERROR(--(INDEX('Reguler Class Availability'!$G:$G,K47)&amp;""),0)=0,IF(INDEX('Reguler Class Availability'!$B:$B,K47)&amp;""="","Kosong","Belum terisi"),IF(IFERROR(--(INDEX('Reguler Class Availability'!$G:$G,K47)&amp;""),0)/IFERROR(--(INDEX('Reguler Class Availability'!$F:$F,K47)&amp;""),0)&gt;=0.6,"Tinggi","Sebagian"))))))</f>
        <v/>
      </c>
      <c r="T47" s="0" t="str">
        <f aca="false">IF(L47="","",IF(AND(IFERROR(--(INDEX('Reguler Class Availability'!$F:$F,L47)&amp;""),0)=0,IFERROR(--(INDEX('Reguler Class Availability'!$G:$G,L47)&amp;""),0)=0),IF(OR(INDEX('Reguler Class Availability'!$B:$B,L47)&amp;""&lt;&gt;"",INDEX('Reguler Class Availability'!$I:$I,L47)&amp;""&lt;&gt;""),"Tutup","Tidak dibuka"),IF(IFERROR(--(INDEX('Reguler Class Availability'!$G:$G,L47)&amp;""),0)&gt;IFERROR(--(INDEX('Reguler Class Availability'!$F:$F,L47)&amp;""),0),"Lebih",IF(IFERROR(--(INDEX('Reguler Class Availability'!$G:$G,L47)&amp;""),0)=IFERROR(--(INDEX('Reguler Class Availability'!$F:$F,L47)&amp;""),0),"Penuh",IF(IFERROR(--(INDEX('Reguler Class Availability'!$G:$G,L47)&amp;""),0)=0,IF(INDEX('Reguler Class Availability'!$B:$B,L47)&amp;""="","Kosong","Belum terisi"),IF(IFERROR(--(INDEX('Reguler Class Availability'!$G:$G,L47)&amp;""),0)/IFERROR(--(INDEX('Reguler Class Availability'!$F:$F,L47)&amp;""),0)&gt;=0.6,"Tinggi","Sebagian"))))))</f>
        <v/>
      </c>
      <c r="U47" s="0" t="str">
        <f aca="false">IF(M47="","",IF(AND(IFERROR(--(INDEX('Reguler Class Availability'!$F:$F,M47)&amp;""),0)=0,IFERROR(--(INDEX('Reguler Class Availability'!$G:$G,M47)&amp;""),0)=0),IF(OR(INDEX('Reguler Class Availability'!$B:$B,M47)&amp;""&lt;&gt;"",INDEX('Reguler Class Availability'!$I:$I,M47)&amp;""&lt;&gt;""),"Tutup","Tidak dibuka"),IF(IFERROR(--(INDEX('Reguler Class Availability'!$G:$G,M47)&amp;""),0)&gt;IFERROR(--(INDEX('Reguler Class Availability'!$F:$F,M47)&amp;""),0),"Lebih",IF(IFERROR(--(INDEX('Reguler Class Availability'!$G:$G,M47)&amp;""),0)=IFERROR(--(INDEX('Reguler Class Availability'!$F:$F,M47)&amp;""),0),"Penuh",IF(IFERROR(--(INDEX('Reguler Class Availability'!$G:$G,M47)&amp;""),0)=0,IF(INDEX('Reguler Class Availability'!$B:$B,M47)&amp;""="","Kosong","Belum terisi"),IF(IFERROR(--(INDEX('Reguler Class Availability'!$G:$G,M47)&amp;""),0)/IFERROR(--(INDEX('Reguler Class Availability'!$F:$F,M47)&amp;""),0)&gt;=0.6,"Tinggi","Sebagian"))))))</f>
        <v/>
      </c>
      <c r="V47" s="0" t="str">
        <f aca="false">IF(N47="","",IF(AND(IFERROR(--(INDEX('Reguler Class Availability'!$F:$F,N47)&amp;""),0)=0,IFERROR(--(INDEX('Reguler Class Availability'!$G:$G,N47)&amp;""),0)=0),IF(OR(INDEX('Reguler Class Availability'!$B:$B,N47)&amp;""&lt;&gt;"",INDEX('Reguler Class Availability'!$I:$I,N47)&amp;""&lt;&gt;""),"Tutup","Tidak dibuka"),IF(IFERROR(--(INDEX('Reguler Class Availability'!$G:$G,N47)&amp;""),0)&gt;IFERROR(--(INDEX('Reguler Class Availability'!$F:$F,N47)&amp;""),0),"Lebih",IF(IFERROR(--(INDEX('Reguler Class Availability'!$G:$G,N47)&amp;""),0)=IFERROR(--(INDEX('Reguler Class Availability'!$F:$F,N47)&amp;""),0),"Penuh",IF(IFERROR(--(INDEX('Reguler Class Availability'!$G:$G,N47)&amp;""),0)=0,IF(INDEX('Reguler Class Availability'!$B:$B,N47)&amp;""="","Kosong","Belum terisi"),IF(IFERROR(--(INDEX('Reguler Class Availability'!$G:$G,N47)&amp;""),0)/IFERROR(--(INDEX('Reguler Class Availability'!$F:$F,N47)&amp;""),0)&gt;=0.6,"Tinggi","Sebagian"))))))</f>
        <v/>
      </c>
      <c r="W47" s="0" t="str">
        <f aca="false">IF(O47="","",IF(AND(IFERROR(--(INDEX('Reguler Class Availability'!$F:$F,O47)&amp;""),0)=0,IFERROR(--(INDEX('Reguler Class Availability'!$G:$G,O47)&amp;""),0)=0),IF(OR(INDEX('Reguler Class Availability'!$B:$B,O47)&amp;""&lt;&gt;"",INDEX('Reguler Class Availability'!$I:$I,O47)&amp;""&lt;&gt;""),"Tutup","Tidak dibuka"),IF(IFERROR(--(INDEX('Reguler Class Availability'!$G:$G,O47)&amp;""),0)&gt;IFERROR(--(INDEX('Reguler Class Availability'!$F:$F,O47)&amp;""),0),"Lebih",IF(IFERROR(--(INDEX('Reguler Class Availability'!$G:$G,O47)&amp;""),0)=IFERROR(--(INDEX('Reguler Class Availability'!$F:$F,O47)&amp;""),0),"Penuh",IF(IFERROR(--(INDEX('Reguler Class Availability'!$G:$G,O47)&amp;""),0)=0,IF(INDEX('Reguler Class Availability'!$B:$B,O47)&amp;""="","Kosong","Belum terisi"),IF(IFERROR(--(INDEX('Reguler Class Availability'!$G:$G,O47)&amp;""),0)/IFERROR(--(INDEX('Reguler Class Availability'!$F:$F,O47)&amp;""),0)&gt;=0.6,"Tinggi","Sebagian"))))))</f>
        <v/>
      </c>
      <c r="X47" s="0" t="str">
        <f aca="false">IF(P47="","",IF(AND(IFERROR(--(INDEX('Reguler Class Availability'!$F:$F,P47)&amp;""),0)=0,IFERROR(--(INDEX('Reguler Class Availability'!$G:$G,P47)&amp;""),0)=0),IF(OR(INDEX('Reguler Class Availability'!$B:$B,P47)&amp;""&lt;&gt;"",INDEX('Reguler Class Availability'!$I:$I,P47)&amp;""&lt;&gt;""),"Tutup","Tidak dibuka"),IF(IFERROR(--(INDEX('Reguler Class Availability'!$G:$G,P47)&amp;""),0)&gt;IFERROR(--(INDEX('Reguler Class Availability'!$F:$F,P47)&amp;""),0),"Lebih",IF(IFERROR(--(INDEX('Reguler Class Availability'!$G:$G,P47)&amp;""),0)=IFERROR(--(INDEX('Reguler Class Availability'!$F:$F,P47)&amp;""),0),"Penuh",IF(IFERROR(--(INDEX('Reguler Class Availability'!$G:$G,P47)&amp;""),0)=0,IF(INDEX('Reguler Class Availability'!$B:$B,P47)&amp;""="","Kosong","Belum terisi"),IF(IFERROR(--(INDEX('Reguler Class Availability'!$G:$G,P47)&amp;""),0)/IFERROR(--(INDEX('Reguler Class Availability'!$F:$F,P47)&amp;""),0)&gt;=0.6,"Tinggi","Sebagian"))))))</f>
        <v/>
      </c>
      <c r="Z47" s="4" t="s">
        <v>82</v>
      </c>
      <c r="AA47" s="4" t="n">
        <f aca="false">IF(COUNTIFS('Reguler Class Availability'!$L:$L,$B$4&amp;"|- Lane 1 - *|"&amp;Z47)&gt;0,1,0)</f>
        <v>1</v>
      </c>
      <c r="AB47" s="4" t="n">
        <f aca="false">AA47+AB46</f>
        <v>13</v>
      </c>
    </row>
    <row r="48" customFormat="false" ht="15" hidden="false" customHeight="false" outlineLevel="0" collapsed="false">
      <c r="A48" s="41" t="s">
        <v>63</v>
      </c>
      <c r="B48" s="42" t="str">
        <f aca="false">IFERROR(TEXT(SUMIFS('Reguler Class Availability'!$G:$G,'Reguler Class Availability'!$A:$A,$B$4,'Reguler Class Availability'!$C:$C,"- Lane 2 - "&amp;B$33,'Reguler Class Availability'!$F:$F,"&gt;0")/SUMIFS('Reguler Class Availability'!$F:$F,'Reguler Class Availability'!$A:$A,$B$4,'Reguler Class Availability'!$C:$C,"- Lane 2 - "&amp;B$33,'Reguler Class Availability'!$F:$F,"&gt;0"),"0%"),"–")</f>
        <v>18%</v>
      </c>
      <c r="C48" s="42" t="str">
        <f aca="false">IFERROR(TEXT(SUMIFS('Reguler Class Availability'!$G:$G,'Reguler Class Availability'!$A:$A,$B$4,'Reguler Class Availability'!$C:$C,"- Lane 2 - "&amp;C$33,'Reguler Class Availability'!$F:$F,"&gt;0")/SUMIFS('Reguler Class Availability'!$F:$F,'Reguler Class Availability'!$A:$A,$B$4,'Reguler Class Availability'!$C:$C,"- Lane 2 - "&amp;C$33,'Reguler Class Availability'!$F:$F,"&gt;0"),"0%"),"–")</f>
        <v>43%</v>
      </c>
      <c r="D48" s="42" t="str">
        <f aca="false">IFERROR(TEXT(SUMIFS('Reguler Class Availability'!$G:$G,'Reguler Class Availability'!$A:$A,$B$4,'Reguler Class Availability'!$C:$C,"- Lane 2 - "&amp;D$33,'Reguler Class Availability'!$F:$F,"&gt;0")/SUMIFS('Reguler Class Availability'!$F:$F,'Reguler Class Availability'!$A:$A,$B$4,'Reguler Class Availability'!$C:$C,"- Lane 2 - "&amp;D$33,'Reguler Class Availability'!$F:$F,"&gt;0"),"0%"),"–")</f>
        <v>49%</v>
      </c>
      <c r="E48" s="42" t="str">
        <f aca="false">IFERROR(TEXT(SUMIFS('Reguler Class Availability'!$G:$G,'Reguler Class Availability'!$A:$A,$B$4,'Reguler Class Availability'!$C:$C,"- Lane 2 - "&amp;E$33,'Reguler Class Availability'!$F:$F,"&gt;0")/SUMIFS('Reguler Class Availability'!$F:$F,'Reguler Class Availability'!$A:$A,$B$4,'Reguler Class Availability'!$C:$C,"- Lane 2 - "&amp;E$33,'Reguler Class Availability'!$F:$F,"&gt;0"),"0%"),"–")</f>
        <v>10%</v>
      </c>
      <c r="F48" s="42" t="str">
        <f aca="false">IFERROR(TEXT(SUMIFS('Reguler Class Availability'!$G:$G,'Reguler Class Availability'!$A:$A,$B$4,'Reguler Class Availability'!$C:$C,"- Lane 2 - "&amp;F$33,'Reguler Class Availability'!$F:$F,"&gt;0")/SUMIFS('Reguler Class Availability'!$F:$F,'Reguler Class Availability'!$A:$A,$B$4,'Reguler Class Availability'!$C:$C,"- Lane 2 - "&amp;F$33,'Reguler Class Availability'!$F:$F,"&gt;0"),"0%"),"–")</f>
        <v>43%</v>
      </c>
      <c r="G48" s="42" t="str">
        <f aca="false">IFERROR(TEXT(SUMIFS('Reguler Class Availability'!$G:$G,'Reguler Class Availability'!$A:$A,$B$4,'Reguler Class Availability'!$C:$C,"- Lane 2 - "&amp;G$33,'Reguler Class Availability'!$F:$F,"&gt;0")/SUMIFS('Reguler Class Availability'!$F:$F,'Reguler Class Availability'!$A:$A,$B$4,'Reguler Class Availability'!$C:$C,"- Lane 2 - "&amp;G$33,'Reguler Class Availability'!$F:$F,"&gt;0"),"0%"),"–")</f>
        <v>85%</v>
      </c>
      <c r="H48" s="42" t="str">
        <f aca="false">IFERROR(TEXT(SUMIFS('Reguler Class Availability'!$G:$G,'Reguler Class Availability'!$A:$A,$B$4,'Reguler Class Availability'!$C:$C,"- Lane 2 - "&amp;H$33,'Reguler Class Availability'!$F:$F,"&gt;0")/SUMIFS('Reguler Class Availability'!$F:$F,'Reguler Class Availability'!$A:$A,$B$4,'Reguler Class Availability'!$C:$C,"- Lane 2 - "&amp;H$33,'Reguler Class Availability'!$F:$F,"&gt;0"),"0%"),"–")</f>
        <v>72%</v>
      </c>
      <c r="Z48" s="4" t="s">
        <v>83</v>
      </c>
      <c r="AA48" s="4" t="n">
        <f aca="false">IF(COUNTIFS('Reguler Class Availability'!$L:$L,$B$4&amp;"|- Lane 1 - *|"&amp;Z48)&gt;0,1,0)</f>
        <v>0</v>
      </c>
      <c r="AB48" s="4" t="n">
        <f aca="false">AA48+AB47</f>
        <v>13</v>
      </c>
    </row>
    <row r="49" customFormat="false" ht="15" hidden="false" customHeight="false" outlineLevel="0" collapsed="false">
      <c r="Z49" s="0" t="s">
        <v>84</v>
      </c>
      <c r="AA49" s="0" t="n">
        <f aca="false">IF(COUNTIFS('Reguler Class Availability'!$L:$L,$B$4&amp;"|- Lane 1 - *|"&amp;Z49)&gt;0,1,0)</f>
        <v>0</v>
      </c>
      <c r="AB49" s="0" t="n">
        <f aca="false">AA49+AB48</f>
        <v>13</v>
      </c>
    </row>
    <row r="50" customFormat="false" ht="15" hidden="false" customHeight="false" outlineLevel="0" collapsed="false">
      <c r="A50" s="34" t="s">
        <v>85</v>
      </c>
      <c r="B50" s="35"/>
      <c r="C50" s="36" t="str">
        <f aca="false">"Utilisasi lane: "&amp;IFERROR(TEXT(SUMIFS('Reguler Class Availability'!$G:$G,'Reguler Class Availability'!$A:$A,$B$4,'Reguler Class Availability'!$C:$C,"- Lane 3 - *",'Reguler Class Availability'!$F:$F,"&gt;0")/SUMIFS('Reguler Class Availability'!$F:$F,'Reguler Class Availability'!$A:$A,$B$4,'Reguler Class Availability'!$C:$C,"- Lane 3 - *",'Reguler Class Availability'!$F:$F,"&gt;0"),"0%"),"–")&amp;"   ·   Belum terisi: "&amp;COUNTIF($R$52:$X$65,"Belum terisi")&amp;"   ·   Slot kosong: "&amp;COUNTIF($R$52:$X$65,"Kosong")</f>
        <v>Utilisasi lane: 77%   ·   Belum terisi: 6   ·   Slot kosong: 0</v>
      </c>
      <c r="D50" s="35"/>
      <c r="E50" s="35"/>
      <c r="F50" s="35"/>
      <c r="G50" s="35"/>
      <c r="H50" s="35"/>
      <c r="Z50" s="4" t="s">
        <v>86</v>
      </c>
      <c r="AA50" s="4" t="n">
        <f aca="false">IF(COUNTIFS('Reguler Class Availability'!$L:$L,$B$4&amp;"|- Lane 1 - *|"&amp;Z50)&gt;0,1,0)</f>
        <v>1</v>
      </c>
      <c r="AB50" s="4" t="n">
        <f aca="false">AA50+AB49</f>
        <v>14</v>
      </c>
    </row>
    <row r="51" customFormat="false" ht="15" hidden="false" customHeight="false" outlineLevel="0" collapsed="false">
      <c r="A51" s="37" t="s">
        <v>38</v>
      </c>
      <c r="B51" s="38" t="s">
        <v>39</v>
      </c>
      <c r="C51" s="38" t="s">
        <v>40</v>
      </c>
      <c r="D51" s="38" t="s">
        <v>41</v>
      </c>
      <c r="E51" s="38" t="s">
        <v>42</v>
      </c>
      <c r="F51" s="38" t="s">
        <v>43</v>
      </c>
      <c r="G51" s="38" t="s">
        <v>44</v>
      </c>
      <c r="H51" s="38" t="s">
        <v>45</v>
      </c>
      <c r="Z51" s="4" t="s">
        <v>87</v>
      </c>
      <c r="AA51" s="4" t="n">
        <f aca="false">IF(COUNTIFS('Reguler Class Availability'!$L:$L,$B$4&amp;"|- Lane 1 - *|"&amp;Z51)&gt;0,1,0)</f>
        <v>0</v>
      </c>
      <c r="AB51" s="4" t="n">
        <f aca="false">AA51+AB50</f>
        <v>14</v>
      </c>
    </row>
    <row r="52" customFormat="false" ht="39.75" hidden="false" customHeight="true" outlineLevel="0" collapsed="false">
      <c r="A52" s="39" t="str">
        <f aca="false">IFERROR(INDEX($Z$122:$Z$181,MATCH(1,$AB$122:$AB$181,0)),"")</f>
        <v>08:00</v>
      </c>
      <c r="B52" s="40" t="str">
        <f aca="false">IF(J52="","",IF(R52="Tidak dibuka","–",IF(INDEX('Reguler Class Availability'!$B:$B,J52)&amp;""="","Kosong",PROPER(INDEX('Reguler Class Availability'!$B:$B,J52)&amp;""))&amp;"  "&amp;IFERROR(--(INDEX('Reguler Class Availability'!$G:$G,J52)&amp;""),0)&amp;"/"&amp;IFERROR(--(INDEX('Reguler Class Availability'!$F:$F,J52)&amp;""),0)&amp;IF(IFERROR(--(INDEX('Reguler Class Availability'!$F:$F,J52)&amp;""),0)&gt;0,"  ("&amp;TEXT(IFERROR(--(INDEX('Reguler Class Availability'!$G:$G,J52)&amp;""),0)/IFERROR(--(INDEX('Reguler Class Availability'!$F:$F,J52)&amp;""),0),"0%")&amp;")","")&amp;CHAR(10)&amp;IF(INDEX('Reguler Class Availability'!$I:$I,J52)&amp;""="","coach: –",PROPER(INDEX('Reguler Class Availability'!$I:$I,J52)&amp;""))&amp;IF(INDEX('Reguler Class Availability'!$J:$J,J52)&amp;""="","",CHAR(10)&amp;"asst: "&amp;PROPER(INDEX('Reguler Class Availability'!$J:$J,J52)&amp;""))))</f>
        <v>Little  0/0
coach: –</v>
      </c>
      <c r="C52" s="40" t="str">
        <f aca="false">IF(K52="","",IF(S52="Tidak dibuka","–",IF(INDEX('Reguler Class Availability'!$B:$B,K52)&amp;""="","Kosong",PROPER(INDEX('Reguler Class Availability'!$B:$B,K52)&amp;""))&amp;"  "&amp;IFERROR(--(INDEX('Reguler Class Availability'!$G:$G,K52)&amp;""),0)&amp;"/"&amp;IFERROR(--(INDEX('Reguler Class Availability'!$F:$F,K52)&amp;""),0)&amp;IF(IFERROR(--(INDEX('Reguler Class Availability'!$F:$F,K52)&amp;""),0)&gt;0,"  ("&amp;TEXT(IFERROR(--(INDEX('Reguler Class Availability'!$G:$G,K52)&amp;""),0)/IFERROR(--(INDEX('Reguler Class Availability'!$F:$F,K52)&amp;""),0),"0%")&amp;")","")&amp;CHAR(10)&amp;IF(INDEX('Reguler Class Availability'!$I:$I,K52)&amp;""="","coach: –",PROPER(INDEX('Reguler Class Availability'!$I:$I,K52)&amp;""))&amp;IF(INDEX('Reguler Class Availability'!$J:$J,K52)&amp;""="","",CHAR(10)&amp;"asst: "&amp;PROPER(INDEX('Reguler Class Availability'!$J:$J,K52)&amp;""))))</f>
        <v>Little  0/0
coach: –</v>
      </c>
      <c r="D52" s="40" t="str">
        <f aca="false">IF(L52="","",IF(T52="Tidak dibuka","–",IF(INDEX('Reguler Class Availability'!$B:$B,L52)&amp;""="","Kosong",PROPER(INDEX('Reguler Class Availability'!$B:$B,L52)&amp;""))&amp;"  "&amp;IFERROR(--(INDEX('Reguler Class Availability'!$G:$G,L52)&amp;""),0)&amp;"/"&amp;IFERROR(--(INDEX('Reguler Class Availability'!$F:$F,L52)&amp;""),0)&amp;IF(IFERROR(--(INDEX('Reguler Class Availability'!$F:$F,L52)&amp;""),0)&gt;0,"  ("&amp;TEXT(IFERROR(--(INDEX('Reguler Class Availability'!$G:$G,L52)&amp;""),0)/IFERROR(--(INDEX('Reguler Class Availability'!$F:$F,L52)&amp;""),0),"0%")&amp;")","")&amp;CHAR(10)&amp;IF(INDEX('Reguler Class Availability'!$I:$I,L52)&amp;""="","coach: –",PROPER(INDEX('Reguler Class Availability'!$I:$I,L52)&amp;""))&amp;IF(INDEX('Reguler Class Availability'!$J:$J,L52)&amp;""="","",CHAR(10)&amp;"asst: "&amp;PROPER(INDEX('Reguler Class Availability'!$J:$J,L52)&amp;""))))</f>
        <v>Little  0/0
coach: –</v>
      </c>
      <c r="E52" s="40" t="str">
        <f aca="false">IF(M52="","",IF(U52="Tidak dibuka","–",IF(INDEX('Reguler Class Availability'!$B:$B,M52)&amp;""="","Kosong",PROPER(INDEX('Reguler Class Availability'!$B:$B,M52)&amp;""))&amp;"  "&amp;IFERROR(--(INDEX('Reguler Class Availability'!$G:$G,M52)&amp;""),0)&amp;"/"&amp;IFERROR(--(INDEX('Reguler Class Availability'!$F:$F,M52)&amp;""),0)&amp;IF(IFERROR(--(INDEX('Reguler Class Availability'!$F:$F,M52)&amp;""),0)&gt;0,"  ("&amp;TEXT(IFERROR(--(INDEX('Reguler Class Availability'!$G:$G,M52)&amp;""),0)/IFERROR(--(INDEX('Reguler Class Availability'!$F:$F,M52)&amp;""),0),"0%")&amp;")","")&amp;CHAR(10)&amp;IF(INDEX('Reguler Class Availability'!$I:$I,M52)&amp;""="","coach: –",PROPER(INDEX('Reguler Class Availability'!$I:$I,M52)&amp;""))&amp;IF(INDEX('Reguler Class Availability'!$J:$J,M52)&amp;""="","",CHAR(10)&amp;"asst: "&amp;PROPER(INDEX('Reguler Class Availability'!$J:$J,M52)&amp;""))))</f>
        <v>Little  0/0
coach: –</v>
      </c>
      <c r="F52" s="40" t="str">
        <f aca="false">IF(N52="","",IF(V52="Tidak dibuka","–",IF(INDEX('Reguler Class Availability'!$B:$B,N52)&amp;""="","Kosong",PROPER(INDEX('Reguler Class Availability'!$B:$B,N52)&amp;""))&amp;"  "&amp;IFERROR(--(INDEX('Reguler Class Availability'!$G:$G,N52)&amp;""),0)&amp;"/"&amp;IFERROR(--(INDEX('Reguler Class Availability'!$F:$F,N52)&amp;""),0)&amp;IF(IFERROR(--(INDEX('Reguler Class Availability'!$F:$F,N52)&amp;""),0)&gt;0,"  ("&amp;TEXT(IFERROR(--(INDEX('Reguler Class Availability'!$G:$G,N52)&amp;""),0)/IFERROR(--(INDEX('Reguler Class Availability'!$F:$F,N52)&amp;""),0),"0%")&amp;")","")&amp;CHAR(10)&amp;IF(INDEX('Reguler Class Availability'!$I:$I,N52)&amp;""="","coach: –",PROPER(INDEX('Reguler Class Availability'!$I:$I,N52)&amp;""))&amp;IF(INDEX('Reguler Class Availability'!$J:$J,N52)&amp;""="","",CHAR(10)&amp;"asst: "&amp;PROPER(INDEX('Reguler Class Availability'!$J:$J,N52)&amp;""))))</f>
        <v>Little  0/0
coach: –</v>
      </c>
      <c r="G52" s="40" t="str">
        <f aca="false">IF(O52="","",IF(W52="Tidak dibuka","–",IF(INDEX('Reguler Class Availability'!$B:$B,O52)&amp;""="","Kosong",PROPER(INDEX('Reguler Class Availability'!$B:$B,O52)&amp;""))&amp;"  "&amp;IFERROR(--(INDEX('Reguler Class Availability'!$G:$G,O52)&amp;""),0)&amp;"/"&amp;IFERROR(--(INDEX('Reguler Class Availability'!$F:$F,O52)&amp;""),0)&amp;IF(IFERROR(--(INDEX('Reguler Class Availability'!$F:$F,O52)&amp;""),0)&gt;0,"  ("&amp;TEXT(IFERROR(--(INDEX('Reguler Class Availability'!$G:$G,O52)&amp;""),0)/IFERROR(--(INDEX('Reguler Class Availability'!$F:$F,O52)&amp;""),0),"0%")&amp;")","")&amp;CHAR(10)&amp;IF(INDEX('Reguler Class Availability'!$I:$I,O52)&amp;""="","coach: –",PROPER(INDEX('Reguler Class Availability'!$I:$I,O52)&amp;""))&amp;IF(INDEX('Reguler Class Availability'!$J:$J,O52)&amp;""="","",CHAR(10)&amp;"asst: "&amp;PROPER(INDEX('Reguler Class Availability'!$J:$J,O52)&amp;""))))</f>
        <v>Little  0/0
coach: –</v>
      </c>
      <c r="H52" s="40" t="str">
        <f aca="false">IF(P52="","",IF(X52="Tidak dibuka","–",IF(INDEX('Reguler Class Availability'!$B:$B,P52)&amp;""="","Kosong",PROPER(INDEX('Reguler Class Availability'!$B:$B,P52)&amp;""))&amp;"  "&amp;IFERROR(--(INDEX('Reguler Class Availability'!$G:$G,P52)&amp;""),0)&amp;"/"&amp;IFERROR(--(INDEX('Reguler Class Availability'!$F:$F,P52)&amp;""),0)&amp;IF(IFERROR(--(INDEX('Reguler Class Availability'!$F:$F,P52)&amp;""),0)&gt;0,"  ("&amp;TEXT(IFERROR(--(INDEX('Reguler Class Availability'!$G:$G,P52)&amp;""),0)/IFERROR(--(INDEX('Reguler Class Availability'!$F:$F,P52)&amp;""),0),"0%")&amp;")","")&amp;CHAR(10)&amp;IF(INDEX('Reguler Class Availability'!$I:$I,P52)&amp;""="","coach: –",PROPER(INDEX('Reguler Class Availability'!$I:$I,P52)&amp;""))&amp;IF(INDEX('Reguler Class Availability'!$J:$J,P52)&amp;""="","",CHAR(10)&amp;"asst: "&amp;PROPER(INDEX('Reguler Class Availability'!$J:$J,P52)&amp;""))))</f>
        <v>Little  0/0
coach: –</v>
      </c>
      <c r="J52" s="4" t="n">
        <f aca="false">IF($A52="","",IFERROR(MATCH($B$4&amp;"|- Lane 3 - "&amp;B$51&amp;"|"&amp;$A52,'Reguler Class Availability'!$L:$L,0),""))</f>
        <v>184</v>
      </c>
      <c r="K52" s="4" t="n">
        <f aca="false">IF($A52="","",IFERROR(MATCH($B$4&amp;"|- Lane 3 - "&amp;C$51&amp;"|"&amp;$A52,'Reguler Class Availability'!$L:$L,0),""))</f>
        <v>196</v>
      </c>
      <c r="L52" s="4" t="n">
        <f aca="false">IF($A52="","",IFERROR(MATCH($B$4&amp;"|- Lane 3 - "&amp;D$51&amp;"|"&amp;$A52,'Reguler Class Availability'!$L:$L,0),""))</f>
        <v>208</v>
      </c>
      <c r="M52" s="4" t="n">
        <f aca="false">IF($A52="","",IFERROR(MATCH($B$4&amp;"|- Lane 3 - "&amp;E$51&amp;"|"&amp;$A52,'Reguler Class Availability'!$L:$L,0),""))</f>
        <v>220</v>
      </c>
      <c r="N52" s="4" t="n">
        <f aca="false">IF($A52="","",IFERROR(MATCH($B$4&amp;"|- Lane 3 - "&amp;F$51&amp;"|"&amp;$A52,'Reguler Class Availability'!$L:$L,0),""))</f>
        <v>232</v>
      </c>
      <c r="O52" s="4" t="n">
        <f aca="false">IF($A52="","",IFERROR(MATCH($B$4&amp;"|- Lane 3 - "&amp;G$51&amp;"|"&amp;$A52,'Reguler Class Availability'!$L:$L,0),""))</f>
        <v>244</v>
      </c>
      <c r="P52" s="4" t="n">
        <f aca="false">IF($A52="","",IFERROR(MATCH($B$4&amp;"|- Lane 3 - "&amp;H$51&amp;"|"&amp;$A52,'Reguler Class Availability'!$L:$L,0),""))</f>
        <v>256</v>
      </c>
      <c r="R52" s="0" t="str">
        <f aca="false">IF(J52="","",IF(AND(IFERROR(--(INDEX('Reguler Class Availability'!$F:$F,J52)&amp;""),0)=0,IFERROR(--(INDEX('Reguler Class Availability'!$G:$G,J52)&amp;""),0)=0),IF(OR(INDEX('Reguler Class Availability'!$B:$B,J52)&amp;""&lt;&gt;"",INDEX('Reguler Class Availability'!$I:$I,J52)&amp;""&lt;&gt;""),"Tutup","Tidak dibuka"),IF(IFERROR(--(INDEX('Reguler Class Availability'!$G:$G,J52)&amp;""),0)&gt;IFERROR(--(INDEX('Reguler Class Availability'!$F:$F,J52)&amp;""),0),"Lebih",IF(IFERROR(--(INDEX('Reguler Class Availability'!$G:$G,J52)&amp;""),0)=IFERROR(--(INDEX('Reguler Class Availability'!$F:$F,J52)&amp;""),0),"Penuh",IF(IFERROR(--(INDEX('Reguler Class Availability'!$G:$G,J52)&amp;""),0)=0,IF(INDEX('Reguler Class Availability'!$B:$B,J52)&amp;""="","Kosong","Belum terisi"),IF(IFERROR(--(INDEX('Reguler Class Availability'!$G:$G,J52)&amp;""),0)/IFERROR(--(INDEX('Reguler Class Availability'!$F:$F,J52)&amp;""),0)&gt;=0.6,"Tinggi","Sebagian"))))))</f>
        <v>Tutup</v>
      </c>
      <c r="S52" s="0" t="str">
        <f aca="false">IF(K52="","",IF(AND(IFERROR(--(INDEX('Reguler Class Availability'!$F:$F,K52)&amp;""),0)=0,IFERROR(--(INDEX('Reguler Class Availability'!$G:$G,K52)&amp;""),0)=0),IF(OR(INDEX('Reguler Class Availability'!$B:$B,K52)&amp;""&lt;&gt;"",INDEX('Reguler Class Availability'!$I:$I,K52)&amp;""&lt;&gt;""),"Tutup","Tidak dibuka"),IF(IFERROR(--(INDEX('Reguler Class Availability'!$G:$G,K52)&amp;""),0)&gt;IFERROR(--(INDEX('Reguler Class Availability'!$F:$F,K52)&amp;""),0),"Lebih",IF(IFERROR(--(INDEX('Reguler Class Availability'!$G:$G,K52)&amp;""),0)=IFERROR(--(INDEX('Reguler Class Availability'!$F:$F,K52)&amp;""),0),"Penuh",IF(IFERROR(--(INDEX('Reguler Class Availability'!$G:$G,K52)&amp;""),0)=0,IF(INDEX('Reguler Class Availability'!$B:$B,K52)&amp;""="","Kosong","Belum terisi"),IF(IFERROR(--(INDEX('Reguler Class Availability'!$G:$G,K52)&amp;""),0)/IFERROR(--(INDEX('Reguler Class Availability'!$F:$F,K52)&amp;""),0)&gt;=0.6,"Tinggi","Sebagian"))))))</f>
        <v>Tutup</v>
      </c>
      <c r="T52" s="0" t="str">
        <f aca="false">IF(L52="","",IF(AND(IFERROR(--(INDEX('Reguler Class Availability'!$F:$F,L52)&amp;""),0)=0,IFERROR(--(INDEX('Reguler Class Availability'!$G:$G,L52)&amp;""),0)=0),IF(OR(INDEX('Reguler Class Availability'!$B:$B,L52)&amp;""&lt;&gt;"",INDEX('Reguler Class Availability'!$I:$I,L52)&amp;""&lt;&gt;""),"Tutup","Tidak dibuka"),IF(IFERROR(--(INDEX('Reguler Class Availability'!$G:$G,L52)&amp;""),0)&gt;IFERROR(--(INDEX('Reguler Class Availability'!$F:$F,L52)&amp;""),0),"Lebih",IF(IFERROR(--(INDEX('Reguler Class Availability'!$G:$G,L52)&amp;""),0)=IFERROR(--(INDEX('Reguler Class Availability'!$F:$F,L52)&amp;""),0),"Penuh",IF(IFERROR(--(INDEX('Reguler Class Availability'!$G:$G,L52)&amp;""),0)=0,IF(INDEX('Reguler Class Availability'!$B:$B,L52)&amp;""="","Kosong","Belum terisi"),IF(IFERROR(--(INDEX('Reguler Class Availability'!$G:$G,L52)&amp;""),0)/IFERROR(--(INDEX('Reguler Class Availability'!$F:$F,L52)&amp;""),0)&gt;=0.6,"Tinggi","Sebagian"))))))</f>
        <v>Tutup</v>
      </c>
      <c r="U52" s="0" t="str">
        <f aca="false">IF(M52="","",IF(AND(IFERROR(--(INDEX('Reguler Class Availability'!$F:$F,M52)&amp;""),0)=0,IFERROR(--(INDEX('Reguler Class Availability'!$G:$G,M52)&amp;""),0)=0),IF(OR(INDEX('Reguler Class Availability'!$B:$B,M52)&amp;""&lt;&gt;"",INDEX('Reguler Class Availability'!$I:$I,M52)&amp;""&lt;&gt;""),"Tutup","Tidak dibuka"),IF(IFERROR(--(INDEX('Reguler Class Availability'!$G:$G,M52)&amp;""),0)&gt;IFERROR(--(INDEX('Reguler Class Availability'!$F:$F,M52)&amp;""),0),"Lebih",IF(IFERROR(--(INDEX('Reguler Class Availability'!$G:$G,M52)&amp;""),0)=IFERROR(--(INDEX('Reguler Class Availability'!$F:$F,M52)&amp;""),0),"Penuh",IF(IFERROR(--(INDEX('Reguler Class Availability'!$G:$G,M52)&amp;""),0)=0,IF(INDEX('Reguler Class Availability'!$B:$B,M52)&amp;""="","Kosong","Belum terisi"),IF(IFERROR(--(INDEX('Reguler Class Availability'!$G:$G,M52)&amp;""),0)/IFERROR(--(INDEX('Reguler Class Availability'!$F:$F,M52)&amp;""),0)&gt;=0.6,"Tinggi","Sebagian"))))))</f>
        <v>Tutup</v>
      </c>
      <c r="V52" s="0" t="str">
        <f aca="false">IF(N52="","",IF(AND(IFERROR(--(INDEX('Reguler Class Availability'!$F:$F,N52)&amp;""),0)=0,IFERROR(--(INDEX('Reguler Class Availability'!$G:$G,N52)&amp;""),0)=0),IF(OR(INDEX('Reguler Class Availability'!$B:$B,N52)&amp;""&lt;&gt;"",INDEX('Reguler Class Availability'!$I:$I,N52)&amp;""&lt;&gt;""),"Tutup","Tidak dibuka"),IF(IFERROR(--(INDEX('Reguler Class Availability'!$G:$G,N52)&amp;""),0)&gt;IFERROR(--(INDEX('Reguler Class Availability'!$F:$F,N52)&amp;""),0),"Lebih",IF(IFERROR(--(INDEX('Reguler Class Availability'!$G:$G,N52)&amp;""),0)=IFERROR(--(INDEX('Reguler Class Availability'!$F:$F,N52)&amp;""),0),"Penuh",IF(IFERROR(--(INDEX('Reguler Class Availability'!$G:$G,N52)&amp;""),0)=0,IF(INDEX('Reguler Class Availability'!$B:$B,N52)&amp;""="","Kosong","Belum terisi"),IF(IFERROR(--(INDEX('Reguler Class Availability'!$G:$G,N52)&amp;""),0)/IFERROR(--(INDEX('Reguler Class Availability'!$F:$F,N52)&amp;""),0)&gt;=0.6,"Tinggi","Sebagian"))))))</f>
        <v>Tutup</v>
      </c>
      <c r="W52" s="0" t="str">
        <f aca="false">IF(O52="","",IF(AND(IFERROR(--(INDEX('Reguler Class Availability'!$F:$F,O52)&amp;""),0)=0,IFERROR(--(INDEX('Reguler Class Availability'!$G:$G,O52)&amp;""),0)=0),IF(OR(INDEX('Reguler Class Availability'!$B:$B,O52)&amp;""&lt;&gt;"",INDEX('Reguler Class Availability'!$I:$I,O52)&amp;""&lt;&gt;""),"Tutup","Tidak dibuka"),IF(IFERROR(--(INDEX('Reguler Class Availability'!$G:$G,O52)&amp;""),0)&gt;IFERROR(--(INDEX('Reguler Class Availability'!$F:$F,O52)&amp;""),0),"Lebih",IF(IFERROR(--(INDEX('Reguler Class Availability'!$G:$G,O52)&amp;""),0)=IFERROR(--(INDEX('Reguler Class Availability'!$F:$F,O52)&amp;""),0),"Penuh",IF(IFERROR(--(INDEX('Reguler Class Availability'!$G:$G,O52)&amp;""),0)=0,IF(INDEX('Reguler Class Availability'!$B:$B,O52)&amp;""="","Kosong","Belum terisi"),IF(IFERROR(--(INDEX('Reguler Class Availability'!$G:$G,O52)&amp;""),0)/IFERROR(--(INDEX('Reguler Class Availability'!$F:$F,O52)&amp;""),0)&gt;=0.6,"Tinggi","Sebagian"))))))</f>
        <v>Tutup</v>
      </c>
      <c r="X52" s="0" t="str">
        <f aca="false">IF(P52="","",IF(AND(IFERROR(--(INDEX('Reguler Class Availability'!$F:$F,P52)&amp;""),0)=0,IFERROR(--(INDEX('Reguler Class Availability'!$G:$G,P52)&amp;""),0)=0),IF(OR(INDEX('Reguler Class Availability'!$B:$B,P52)&amp;""&lt;&gt;"",INDEX('Reguler Class Availability'!$I:$I,P52)&amp;""&lt;&gt;""),"Tutup","Tidak dibuka"),IF(IFERROR(--(INDEX('Reguler Class Availability'!$G:$G,P52)&amp;""),0)&gt;IFERROR(--(INDEX('Reguler Class Availability'!$F:$F,P52)&amp;""),0),"Lebih",IF(IFERROR(--(INDEX('Reguler Class Availability'!$G:$G,P52)&amp;""),0)=IFERROR(--(INDEX('Reguler Class Availability'!$F:$F,P52)&amp;""),0),"Penuh",IF(IFERROR(--(INDEX('Reguler Class Availability'!$G:$G,P52)&amp;""),0)=0,IF(INDEX('Reguler Class Availability'!$B:$B,P52)&amp;""="","Kosong","Belum terisi"),IF(IFERROR(--(INDEX('Reguler Class Availability'!$G:$G,P52)&amp;""),0)/IFERROR(--(INDEX('Reguler Class Availability'!$F:$F,P52)&amp;""),0)&gt;=0.6,"Tinggi","Sebagian"))))))</f>
        <v>Tutup</v>
      </c>
      <c r="Z52" s="4" t="s">
        <v>88</v>
      </c>
      <c r="AA52" s="4" t="n">
        <f aca="false">IF(COUNTIFS('Reguler Class Availability'!$L:$L,$B$4&amp;"|- Lane 1 - *|"&amp;Z52)&gt;0,1,0)</f>
        <v>0</v>
      </c>
      <c r="AB52" s="4" t="n">
        <f aca="false">AA52+AB51</f>
        <v>14</v>
      </c>
    </row>
    <row r="53" customFormat="false" ht="39.75" hidden="false" customHeight="true" outlineLevel="0" collapsed="false">
      <c r="A53" s="39" t="str">
        <f aca="false">IFERROR(INDEX($Z$122:$Z$181,MATCH(2,$AB$122:$AB$181,0)),"")</f>
        <v>08:45</v>
      </c>
      <c r="B53" s="40" t="str">
        <f aca="false">IF(J53="","",IF(R53="Tidak dibuka","–",IF(INDEX('Reguler Class Availability'!$B:$B,J53)&amp;""="","Kosong",PROPER(INDEX('Reguler Class Availability'!$B:$B,J53)&amp;""))&amp;"  "&amp;IFERROR(--(INDEX('Reguler Class Availability'!$G:$G,J53)&amp;""),0)&amp;"/"&amp;IFERROR(--(INDEX('Reguler Class Availability'!$F:$F,J53)&amp;""),0)&amp;IF(IFERROR(--(INDEX('Reguler Class Availability'!$F:$F,J53)&amp;""),0)&gt;0,"  ("&amp;TEXT(IFERROR(--(INDEX('Reguler Class Availability'!$G:$G,J53)&amp;""),0)/IFERROR(--(INDEX('Reguler Class Availability'!$F:$F,J53)&amp;""),0),"0%")&amp;")","")&amp;CHAR(10)&amp;IF(INDEX('Reguler Class Availability'!$I:$I,J53)&amp;""="","coach: –",PROPER(INDEX('Reguler Class Availability'!$I:$I,J53)&amp;""))&amp;IF(INDEX('Reguler Class Availability'!$J:$J,J53)&amp;""="","",CHAR(10)&amp;"asst: "&amp;PROPER(INDEX('Reguler Class Availability'!$J:$J,J53)&amp;""))))</f>
        <v>Little  2/4  (50%)
Daffa</v>
      </c>
      <c r="C53" s="40" t="str">
        <f aca="false">IF(K53="","",IF(S53="Tidak dibuka","–",IF(INDEX('Reguler Class Availability'!$B:$B,K53)&amp;""="","Kosong",PROPER(INDEX('Reguler Class Availability'!$B:$B,K53)&amp;""))&amp;"  "&amp;IFERROR(--(INDEX('Reguler Class Availability'!$G:$G,K53)&amp;""),0)&amp;"/"&amp;IFERROR(--(INDEX('Reguler Class Availability'!$F:$F,K53)&amp;""),0)&amp;IF(IFERROR(--(INDEX('Reguler Class Availability'!$F:$F,K53)&amp;""),0)&gt;0,"  ("&amp;TEXT(IFERROR(--(INDEX('Reguler Class Availability'!$G:$G,K53)&amp;""),0)/IFERROR(--(INDEX('Reguler Class Availability'!$F:$F,K53)&amp;""),0),"0%")&amp;")","")&amp;CHAR(10)&amp;IF(INDEX('Reguler Class Availability'!$I:$I,K53)&amp;""="","coach: –",PROPER(INDEX('Reguler Class Availability'!$I:$I,K53)&amp;""))&amp;IF(INDEX('Reguler Class Availability'!$J:$J,K53)&amp;""="","",CHAR(10)&amp;"asst: "&amp;PROPER(INDEX('Reguler Class Availability'!$J:$J,K53)&amp;""))))</f>
        <v>Little  3/4  (75%)
Dian</v>
      </c>
      <c r="D53" s="40" t="str">
        <f aca="false">IF(L53="","",IF(T53="Tidak dibuka","–",IF(INDEX('Reguler Class Availability'!$B:$B,L53)&amp;""="","Kosong",PROPER(INDEX('Reguler Class Availability'!$B:$B,L53)&amp;""))&amp;"  "&amp;IFERROR(--(INDEX('Reguler Class Availability'!$G:$G,L53)&amp;""),0)&amp;"/"&amp;IFERROR(--(INDEX('Reguler Class Availability'!$F:$F,L53)&amp;""),0)&amp;IF(IFERROR(--(INDEX('Reguler Class Availability'!$F:$F,L53)&amp;""),0)&gt;0,"  ("&amp;TEXT(IFERROR(--(INDEX('Reguler Class Availability'!$G:$G,L53)&amp;""),0)/IFERROR(--(INDEX('Reguler Class Availability'!$F:$F,L53)&amp;""),0),"0%")&amp;")","")&amp;CHAR(10)&amp;IF(INDEX('Reguler Class Availability'!$I:$I,L53)&amp;""="","coach: –",PROPER(INDEX('Reguler Class Availability'!$I:$I,L53)&amp;""))&amp;IF(INDEX('Reguler Class Availability'!$J:$J,L53)&amp;""="","",CHAR(10)&amp;"asst: "&amp;PROPER(INDEX('Reguler Class Availability'!$J:$J,L53)&amp;""))))</f>
        <v>Little  3/4  (75%)
Danti</v>
      </c>
      <c r="E53" s="40" t="str">
        <f aca="false">IF(M53="","",IF(U53="Tidak dibuka","–",IF(INDEX('Reguler Class Availability'!$B:$B,M53)&amp;""="","Kosong",PROPER(INDEX('Reguler Class Availability'!$B:$B,M53)&amp;""))&amp;"  "&amp;IFERROR(--(INDEX('Reguler Class Availability'!$G:$G,M53)&amp;""),0)&amp;"/"&amp;IFERROR(--(INDEX('Reguler Class Availability'!$F:$F,M53)&amp;""),0)&amp;IF(IFERROR(--(INDEX('Reguler Class Availability'!$F:$F,M53)&amp;""),0)&gt;0,"  ("&amp;TEXT(IFERROR(--(INDEX('Reguler Class Availability'!$G:$G,M53)&amp;""),0)/IFERROR(--(INDEX('Reguler Class Availability'!$F:$F,M53)&amp;""),0),"0%")&amp;")","")&amp;CHAR(10)&amp;IF(INDEX('Reguler Class Availability'!$I:$I,M53)&amp;""="","coach: –",PROPER(INDEX('Reguler Class Availability'!$I:$I,M53)&amp;""))&amp;IF(INDEX('Reguler Class Availability'!$J:$J,M53)&amp;""="","",CHAR(10)&amp;"asst: "&amp;PROPER(INDEX('Reguler Class Availability'!$J:$J,M53)&amp;""))))</f>
        <v>Little  4/4  (100%)
Surya</v>
      </c>
      <c r="F53" s="40" t="str">
        <f aca="false">IF(N53="","",IF(V53="Tidak dibuka","–",IF(INDEX('Reguler Class Availability'!$B:$B,N53)&amp;""="","Kosong",PROPER(INDEX('Reguler Class Availability'!$B:$B,N53)&amp;""))&amp;"  "&amp;IFERROR(--(INDEX('Reguler Class Availability'!$G:$G,N53)&amp;""),0)&amp;"/"&amp;IFERROR(--(INDEX('Reguler Class Availability'!$F:$F,N53)&amp;""),0)&amp;IF(IFERROR(--(INDEX('Reguler Class Availability'!$F:$F,N53)&amp;""),0)&gt;0,"  ("&amp;TEXT(IFERROR(--(INDEX('Reguler Class Availability'!$G:$G,N53)&amp;""),0)/IFERROR(--(INDEX('Reguler Class Availability'!$F:$F,N53)&amp;""),0),"0%")&amp;")","")&amp;CHAR(10)&amp;IF(INDEX('Reguler Class Availability'!$I:$I,N53)&amp;""="","coach: –",PROPER(INDEX('Reguler Class Availability'!$I:$I,N53)&amp;""))&amp;IF(INDEX('Reguler Class Availability'!$J:$J,N53)&amp;""="","",CHAR(10)&amp;"asst: "&amp;PROPER(INDEX('Reguler Class Availability'!$J:$J,N53)&amp;""))))</f>
        <v>Little  0/4  (0%)
coach: –</v>
      </c>
      <c r="G53" s="40" t="str">
        <f aca="false">IF(O53="","",IF(W53="Tidak dibuka","–",IF(INDEX('Reguler Class Availability'!$B:$B,O53)&amp;""="","Kosong",PROPER(INDEX('Reguler Class Availability'!$B:$B,O53)&amp;""))&amp;"  "&amp;IFERROR(--(INDEX('Reguler Class Availability'!$G:$G,O53)&amp;""),0)&amp;"/"&amp;IFERROR(--(INDEX('Reguler Class Availability'!$F:$F,O53)&amp;""),0)&amp;IF(IFERROR(--(INDEX('Reguler Class Availability'!$F:$F,O53)&amp;""),0)&gt;0,"  ("&amp;TEXT(IFERROR(--(INDEX('Reguler Class Availability'!$G:$G,O53)&amp;""),0)/IFERROR(--(INDEX('Reguler Class Availability'!$F:$F,O53)&amp;""),0),"0%")&amp;")","")&amp;CHAR(10)&amp;IF(INDEX('Reguler Class Availability'!$I:$I,O53)&amp;""="","coach: –",PROPER(INDEX('Reguler Class Availability'!$I:$I,O53)&amp;""))&amp;IF(INDEX('Reguler Class Availability'!$J:$J,O53)&amp;""="","",CHAR(10)&amp;"asst: "&amp;PROPER(INDEX('Reguler Class Availability'!$J:$J,O53)&amp;""))))</f>
        <v>Little  4/4  (100%)
Zidane</v>
      </c>
      <c r="H53" s="40" t="str">
        <f aca="false">IF(P53="","",IF(X53="Tidak dibuka","–",IF(INDEX('Reguler Class Availability'!$B:$B,P53)&amp;""="","Kosong",PROPER(INDEX('Reguler Class Availability'!$B:$B,P53)&amp;""))&amp;"  "&amp;IFERROR(--(INDEX('Reguler Class Availability'!$G:$G,P53)&amp;""),0)&amp;"/"&amp;IFERROR(--(INDEX('Reguler Class Availability'!$F:$F,P53)&amp;""),0)&amp;IF(IFERROR(--(INDEX('Reguler Class Availability'!$F:$F,P53)&amp;""),0)&gt;0,"  ("&amp;TEXT(IFERROR(--(INDEX('Reguler Class Availability'!$G:$G,P53)&amp;""),0)/IFERROR(--(INDEX('Reguler Class Availability'!$F:$F,P53)&amp;""),0),"0%")&amp;")","")&amp;CHAR(10)&amp;IF(INDEX('Reguler Class Availability'!$I:$I,P53)&amp;""="","coach: –",PROPER(INDEX('Reguler Class Availability'!$I:$I,P53)&amp;""))&amp;IF(INDEX('Reguler Class Availability'!$J:$J,P53)&amp;""="","",CHAR(10)&amp;"asst: "&amp;PROPER(INDEX('Reguler Class Availability'!$J:$J,P53)&amp;""))))</f>
        <v>Little  3/4  (75%)
Zidane</v>
      </c>
      <c r="J53" s="4" t="n">
        <f aca="false">IF($A53="","",IFERROR(MATCH($B$4&amp;"|- Lane 3 - "&amp;B$51&amp;"|"&amp;$A53,'Reguler Class Availability'!$L:$L,0),""))</f>
        <v>185</v>
      </c>
      <c r="K53" s="4" t="n">
        <f aca="false">IF($A53="","",IFERROR(MATCH($B$4&amp;"|- Lane 3 - "&amp;C$51&amp;"|"&amp;$A53,'Reguler Class Availability'!$L:$L,0),""))</f>
        <v>197</v>
      </c>
      <c r="L53" s="4" t="n">
        <f aca="false">IF($A53="","",IFERROR(MATCH($B$4&amp;"|- Lane 3 - "&amp;D$51&amp;"|"&amp;$A53,'Reguler Class Availability'!$L:$L,0),""))</f>
        <v>209</v>
      </c>
      <c r="M53" s="4" t="n">
        <f aca="false">IF($A53="","",IFERROR(MATCH($B$4&amp;"|- Lane 3 - "&amp;E$51&amp;"|"&amp;$A53,'Reguler Class Availability'!$L:$L,0),""))</f>
        <v>221</v>
      </c>
      <c r="N53" s="4" t="n">
        <f aca="false">IF($A53="","",IFERROR(MATCH($B$4&amp;"|- Lane 3 - "&amp;F$51&amp;"|"&amp;$A53,'Reguler Class Availability'!$L:$L,0),""))</f>
        <v>233</v>
      </c>
      <c r="O53" s="4" t="n">
        <f aca="false">IF($A53="","",IFERROR(MATCH($B$4&amp;"|- Lane 3 - "&amp;G$51&amp;"|"&amp;$A53,'Reguler Class Availability'!$L:$L,0),""))</f>
        <v>245</v>
      </c>
      <c r="P53" s="4" t="n">
        <f aca="false">IF($A53="","",IFERROR(MATCH($B$4&amp;"|- Lane 3 - "&amp;H$51&amp;"|"&amp;$A53,'Reguler Class Availability'!$L:$L,0),""))</f>
        <v>257</v>
      </c>
      <c r="R53" s="0" t="str">
        <f aca="false">IF(J53="","",IF(AND(IFERROR(--(INDEX('Reguler Class Availability'!$F:$F,J53)&amp;""),0)=0,IFERROR(--(INDEX('Reguler Class Availability'!$G:$G,J53)&amp;""),0)=0),IF(OR(INDEX('Reguler Class Availability'!$B:$B,J53)&amp;""&lt;&gt;"",INDEX('Reguler Class Availability'!$I:$I,J53)&amp;""&lt;&gt;""),"Tutup","Tidak dibuka"),IF(IFERROR(--(INDEX('Reguler Class Availability'!$G:$G,J53)&amp;""),0)&gt;IFERROR(--(INDEX('Reguler Class Availability'!$F:$F,J53)&amp;""),0),"Lebih",IF(IFERROR(--(INDEX('Reguler Class Availability'!$G:$G,J53)&amp;""),0)=IFERROR(--(INDEX('Reguler Class Availability'!$F:$F,J53)&amp;""),0),"Penuh",IF(IFERROR(--(INDEX('Reguler Class Availability'!$G:$G,J53)&amp;""),0)=0,IF(INDEX('Reguler Class Availability'!$B:$B,J53)&amp;""="","Kosong","Belum terisi"),IF(IFERROR(--(INDEX('Reguler Class Availability'!$G:$G,J53)&amp;""),0)/IFERROR(--(INDEX('Reguler Class Availability'!$F:$F,J53)&amp;""),0)&gt;=0.6,"Tinggi","Sebagian"))))))</f>
        <v>Sebagian</v>
      </c>
      <c r="S53" s="0" t="str">
        <f aca="false">IF(K53="","",IF(AND(IFERROR(--(INDEX('Reguler Class Availability'!$F:$F,K53)&amp;""),0)=0,IFERROR(--(INDEX('Reguler Class Availability'!$G:$G,K53)&amp;""),0)=0),IF(OR(INDEX('Reguler Class Availability'!$B:$B,K53)&amp;""&lt;&gt;"",INDEX('Reguler Class Availability'!$I:$I,K53)&amp;""&lt;&gt;""),"Tutup","Tidak dibuka"),IF(IFERROR(--(INDEX('Reguler Class Availability'!$G:$G,K53)&amp;""),0)&gt;IFERROR(--(INDEX('Reguler Class Availability'!$F:$F,K53)&amp;""),0),"Lebih",IF(IFERROR(--(INDEX('Reguler Class Availability'!$G:$G,K53)&amp;""),0)=IFERROR(--(INDEX('Reguler Class Availability'!$F:$F,K53)&amp;""),0),"Penuh",IF(IFERROR(--(INDEX('Reguler Class Availability'!$G:$G,K53)&amp;""),0)=0,IF(INDEX('Reguler Class Availability'!$B:$B,K53)&amp;""="","Kosong","Belum terisi"),IF(IFERROR(--(INDEX('Reguler Class Availability'!$G:$G,K53)&amp;""),0)/IFERROR(--(INDEX('Reguler Class Availability'!$F:$F,K53)&amp;""),0)&gt;=0.6,"Tinggi","Sebagian"))))))</f>
        <v>Tinggi</v>
      </c>
      <c r="T53" s="0" t="str">
        <f aca="false">IF(L53="","",IF(AND(IFERROR(--(INDEX('Reguler Class Availability'!$F:$F,L53)&amp;""),0)=0,IFERROR(--(INDEX('Reguler Class Availability'!$G:$G,L53)&amp;""),0)=0),IF(OR(INDEX('Reguler Class Availability'!$B:$B,L53)&amp;""&lt;&gt;"",INDEX('Reguler Class Availability'!$I:$I,L53)&amp;""&lt;&gt;""),"Tutup","Tidak dibuka"),IF(IFERROR(--(INDEX('Reguler Class Availability'!$G:$G,L53)&amp;""),0)&gt;IFERROR(--(INDEX('Reguler Class Availability'!$F:$F,L53)&amp;""),0),"Lebih",IF(IFERROR(--(INDEX('Reguler Class Availability'!$G:$G,L53)&amp;""),0)=IFERROR(--(INDEX('Reguler Class Availability'!$F:$F,L53)&amp;""),0),"Penuh",IF(IFERROR(--(INDEX('Reguler Class Availability'!$G:$G,L53)&amp;""),0)=0,IF(INDEX('Reguler Class Availability'!$B:$B,L53)&amp;""="","Kosong","Belum terisi"),IF(IFERROR(--(INDEX('Reguler Class Availability'!$G:$G,L53)&amp;""),0)/IFERROR(--(INDEX('Reguler Class Availability'!$F:$F,L53)&amp;""),0)&gt;=0.6,"Tinggi","Sebagian"))))))</f>
        <v>Tinggi</v>
      </c>
      <c r="U53" s="0" t="str">
        <f aca="false">IF(M53="","",IF(AND(IFERROR(--(INDEX('Reguler Class Availability'!$F:$F,M53)&amp;""),0)=0,IFERROR(--(INDEX('Reguler Class Availability'!$G:$G,M53)&amp;""),0)=0),IF(OR(INDEX('Reguler Class Availability'!$B:$B,M53)&amp;""&lt;&gt;"",INDEX('Reguler Class Availability'!$I:$I,M53)&amp;""&lt;&gt;""),"Tutup","Tidak dibuka"),IF(IFERROR(--(INDEX('Reguler Class Availability'!$G:$G,M53)&amp;""),0)&gt;IFERROR(--(INDEX('Reguler Class Availability'!$F:$F,M53)&amp;""),0),"Lebih",IF(IFERROR(--(INDEX('Reguler Class Availability'!$G:$G,M53)&amp;""),0)=IFERROR(--(INDEX('Reguler Class Availability'!$F:$F,M53)&amp;""),0),"Penuh",IF(IFERROR(--(INDEX('Reguler Class Availability'!$G:$G,M53)&amp;""),0)=0,IF(INDEX('Reguler Class Availability'!$B:$B,M53)&amp;""="","Kosong","Belum terisi"),IF(IFERROR(--(INDEX('Reguler Class Availability'!$G:$G,M53)&amp;""),0)/IFERROR(--(INDEX('Reguler Class Availability'!$F:$F,M53)&amp;""),0)&gt;=0.6,"Tinggi","Sebagian"))))))</f>
        <v>Penuh</v>
      </c>
      <c r="V53" s="0" t="str">
        <f aca="false">IF(N53="","",IF(AND(IFERROR(--(INDEX('Reguler Class Availability'!$F:$F,N53)&amp;""),0)=0,IFERROR(--(INDEX('Reguler Class Availability'!$G:$G,N53)&amp;""),0)=0),IF(OR(INDEX('Reguler Class Availability'!$B:$B,N53)&amp;""&lt;&gt;"",INDEX('Reguler Class Availability'!$I:$I,N53)&amp;""&lt;&gt;""),"Tutup","Tidak dibuka"),IF(IFERROR(--(INDEX('Reguler Class Availability'!$G:$G,N53)&amp;""),0)&gt;IFERROR(--(INDEX('Reguler Class Availability'!$F:$F,N53)&amp;""),0),"Lebih",IF(IFERROR(--(INDEX('Reguler Class Availability'!$G:$G,N53)&amp;""),0)=IFERROR(--(INDEX('Reguler Class Availability'!$F:$F,N53)&amp;""),0),"Penuh",IF(IFERROR(--(INDEX('Reguler Class Availability'!$G:$G,N53)&amp;""),0)=0,IF(INDEX('Reguler Class Availability'!$B:$B,N53)&amp;""="","Kosong","Belum terisi"),IF(IFERROR(--(INDEX('Reguler Class Availability'!$G:$G,N53)&amp;""),0)/IFERROR(--(INDEX('Reguler Class Availability'!$F:$F,N53)&amp;""),0)&gt;=0.6,"Tinggi","Sebagian"))))))</f>
        <v>Belum terisi</v>
      </c>
      <c r="W53" s="0" t="str">
        <f aca="false">IF(O53="","",IF(AND(IFERROR(--(INDEX('Reguler Class Availability'!$F:$F,O53)&amp;""),0)=0,IFERROR(--(INDEX('Reguler Class Availability'!$G:$G,O53)&amp;""),0)=0),IF(OR(INDEX('Reguler Class Availability'!$B:$B,O53)&amp;""&lt;&gt;"",INDEX('Reguler Class Availability'!$I:$I,O53)&amp;""&lt;&gt;""),"Tutup","Tidak dibuka"),IF(IFERROR(--(INDEX('Reguler Class Availability'!$G:$G,O53)&amp;""),0)&gt;IFERROR(--(INDEX('Reguler Class Availability'!$F:$F,O53)&amp;""),0),"Lebih",IF(IFERROR(--(INDEX('Reguler Class Availability'!$G:$G,O53)&amp;""),0)=IFERROR(--(INDEX('Reguler Class Availability'!$F:$F,O53)&amp;""),0),"Penuh",IF(IFERROR(--(INDEX('Reguler Class Availability'!$G:$G,O53)&amp;""),0)=0,IF(INDEX('Reguler Class Availability'!$B:$B,O53)&amp;""="","Kosong","Belum terisi"),IF(IFERROR(--(INDEX('Reguler Class Availability'!$G:$G,O53)&amp;""),0)/IFERROR(--(INDEX('Reguler Class Availability'!$F:$F,O53)&amp;""),0)&gt;=0.6,"Tinggi","Sebagian"))))))</f>
        <v>Penuh</v>
      </c>
      <c r="X53" s="0" t="str">
        <f aca="false">IF(P53="","",IF(AND(IFERROR(--(INDEX('Reguler Class Availability'!$F:$F,P53)&amp;""),0)=0,IFERROR(--(INDEX('Reguler Class Availability'!$G:$G,P53)&amp;""),0)=0),IF(OR(INDEX('Reguler Class Availability'!$B:$B,P53)&amp;""&lt;&gt;"",INDEX('Reguler Class Availability'!$I:$I,P53)&amp;""&lt;&gt;""),"Tutup","Tidak dibuka"),IF(IFERROR(--(INDEX('Reguler Class Availability'!$G:$G,P53)&amp;""),0)&gt;IFERROR(--(INDEX('Reguler Class Availability'!$F:$F,P53)&amp;""),0),"Lebih",IF(IFERROR(--(INDEX('Reguler Class Availability'!$G:$G,P53)&amp;""),0)=IFERROR(--(INDEX('Reguler Class Availability'!$F:$F,P53)&amp;""),0),"Penuh",IF(IFERROR(--(INDEX('Reguler Class Availability'!$G:$G,P53)&amp;""),0)=0,IF(INDEX('Reguler Class Availability'!$B:$B,P53)&amp;""="","Kosong","Belum terisi"),IF(IFERROR(--(INDEX('Reguler Class Availability'!$G:$G,P53)&amp;""),0)/IFERROR(--(INDEX('Reguler Class Availability'!$F:$F,P53)&amp;""),0)&gt;=0.6,"Tinggi","Sebagian"))))))</f>
        <v>Tinggi</v>
      </c>
      <c r="Z53" s="4" t="s">
        <v>89</v>
      </c>
      <c r="AA53" s="4" t="n">
        <f aca="false">IF(COUNTIFS('Reguler Class Availability'!$L:$L,$B$4&amp;"|- Lane 1 - *|"&amp;Z53)&gt;0,1,0)</f>
        <v>0</v>
      </c>
      <c r="AB53" s="4" t="n">
        <f aca="false">AA53+AB52</f>
        <v>14</v>
      </c>
    </row>
    <row r="54" customFormat="false" ht="39.75" hidden="false" customHeight="true" outlineLevel="0" collapsed="false">
      <c r="A54" s="39" t="str">
        <f aca="false">IFERROR(INDEX($Z$122:$Z$181,MATCH(3,$AB$122:$AB$181,0)),"")</f>
        <v>09:30</v>
      </c>
      <c r="B54" s="40" t="str">
        <f aca="false">IF(J54="","",IF(R54="Tidak dibuka","–",IF(INDEX('Reguler Class Availability'!$B:$B,J54)&amp;""="","Kosong",PROPER(INDEX('Reguler Class Availability'!$B:$B,J54)&amp;""))&amp;"  "&amp;IFERROR(--(INDEX('Reguler Class Availability'!$G:$G,J54)&amp;""),0)&amp;"/"&amp;IFERROR(--(INDEX('Reguler Class Availability'!$F:$F,J54)&amp;""),0)&amp;IF(IFERROR(--(INDEX('Reguler Class Availability'!$F:$F,J54)&amp;""),0)&gt;0,"  ("&amp;TEXT(IFERROR(--(INDEX('Reguler Class Availability'!$G:$G,J54)&amp;""),0)/IFERROR(--(INDEX('Reguler Class Availability'!$F:$F,J54)&amp;""),0),"0%")&amp;")","")&amp;CHAR(10)&amp;IF(INDEX('Reguler Class Availability'!$I:$I,J54)&amp;""="","coach: –",PROPER(INDEX('Reguler Class Availability'!$I:$I,J54)&amp;""))&amp;IF(INDEX('Reguler Class Availability'!$J:$J,J54)&amp;""="","",CHAR(10)&amp;"asst: "&amp;PROPER(INDEX('Reguler Class Availability'!$J:$J,J54)&amp;""))))</f>
        <v>Little  0/4  (0%)
coach: –</v>
      </c>
      <c r="C54" s="40" t="str">
        <f aca="false">IF(K54="","",IF(S54="Tidak dibuka","–",IF(INDEX('Reguler Class Availability'!$B:$B,K54)&amp;""="","Kosong",PROPER(INDEX('Reguler Class Availability'!$B:$B,K54)&amp;""))&amp;"  "&amp;IFERROR(--(INDEX('Reguler Class Availability'!$G:$G,K54)&amp;""),0)&amp;"/"&amp;IFERROR(--(INDEX('Reguler Class Availability'!$F:$F,K54)&amp;""),0)&amp;IF(IFERROR(--(INDEX('Reguler Class Availability'!$F:$F,K54)&amp;""),0)&gt;0,"  ("&amp;TEXT(IFERROR(--(INDEX('Reguler Class Availability'!$G:$G,K54)&amp;""),0)/IFERROR(--(INDEX('Reguler Class Availability'!$F:$F,K54)&amp;""),0),"0%")&amp;")","")&amp;CHAR(10)&amp;IF(INDEX('Reguler Class Availability'!$I:$I,K54)&amp;""="","coach: –",PROPER(INDEX('Reguler Class Availability'!$I:$I,K54)&amp;""))&amp;IF(INDEX('Reguler Class Availability'!$J:$J,K54)&amp;""="","",CHAR(10)&amp;"asst: "&amp;PROPER(INDEX('Reguler Class Availability'!$J:$J,K54)&amp;""))))</f>
        <v>Little  2/4  (50%)
Dian</v>
      </c>
      <c r="D54" s="40" t="str">
        <f aca="false">IF(L54="","",IF(T54="Tidak dibuka","–",IF(INDEX('Reguler Class Availability'!$B:$B,L54)&amp;""="","Kosong",PROPER(INDEX('Reguler Class Availability'!$B:$B,L54)&amp;""))&amp;"  "&amp;IFERROR(--(INDEX('Reguler Class Availability'!$G:$G,L54)&amp;""),0)&amp;"/"&amp;IFERROR(--(INDEX('Reguler Class Availability'!$F:$F,L54)&amp;""),0)&amp;IF(IFERROR(--(INDEX('Reguler Class Availability'!$F:$F,L54)&amp;""),0)&gt;0,"  ("&amp;TEXT(IFERROR(--(INDEX('Reguler Class Availability'!$G:$G,L54)&amp;""),0)/IFERROR(--(INDEX('Reguler Class Availability'!$F:$F,L54)&amp;""),0),"0%")&amp;")","")&amp;CHAR(10)&amp;IF(INDEX('Reguler Class Availability'!$I:$I,L54)&amp;""="","coach: –",PROPER(INDEX('Reguler Class Availability'!$I:$I,L54)&amp;""))&amp;IF(INDEX('Reguler Class Availability'!$J:$J,L54)&amp;""="","",CHAR(10)&amp;"asst: "&amp;PROPER(INDEX('Reguler Class Availability'!$J:$J,L54)&amp;""))))</f>
        <v>Little  0/4  (0%)
coach: –</v>
      </c>
      <c r="E54" s="40" t="str">
        <f aca="false">IF(M54="","",IF(U54="Tidak dibuka","–",IF(INDEX('Reguler Class Availability'!$B:$B,M54)&amp;""="","Kosong",PROPER(INDEX('Reguler Class Availability'!$B:$B,M54)&amp;""))&amp;"  "&amp;IFERROR(--(INDEX('Reguler Class Availability'!$G:$G,M54)&amp;""),0)&amp;"/"&amp;IFERROR(--(INDEX('Reguler Class Availability'!$F:$F,M54)&amp;""),0)&amp;IF(IFERROR(--(INDEX('Reguler Class Availability'!$F:$F,M54)&amp;""),0)&gt;0,"  ("&amp;TEXT(IFERROR(--(INDEX('Reguler Class Availability'!$G:$G,M54)&amp;""),0)/IFERROR(--(INDEX('Reguler Class Availability'!$F:$F,M54)&amp;""),0),"0%")&amp;")","")&amp;CHAR(10)&amp;IF(INDEX('Reguler Class Availability'!$I:$I,M54)&amp;""="","coach: –",PROPER(INDEX('Reguler Class Availability'!$I:$I,M54)&amp;""))&amp;IF(INDEX('Reguler Class Availability'!$J:$J,M54)&amp;""="","",CHAR(10)&amp;"asst: "&amp;PROPER(INDEX('Reguler Class Availability'!$J:$J,M54)&amp;""))))</f>
        <v>Little  4/4  (100%)
Daffa</v>
      </c>
      <c r="F54" s="40" t="str">
        <f aca="false">IF(N54="","",IF(V54="Tidak dibuka","–",IF(INDEX('Reguler Class Availability'!$B:$B,N54)&amp;""="","Kosong",PROPER(INDEX('Reguler Class Availability'!$B:$B,N54)&amp;""))&amp;"  "&amp;IFERROR(--(INDEX('Reguler Class Availability'!$G:$G,N54)&amp;""),0)&amp;"/"&amp;IFERROR(--(INDEX('Reguler Class Availability'!$F:$F,N54)&amp;""),0)&amp;IF(IFERROR(--(INDEX('Reguler Class Availability'!$F:$F,N54)&amp;""),0)&gt;0,"  ("&amp;TEXT(IFERROR(--(INDEX('Reguler Class Availability'!$G:$G,N54)&amp;""),0)/IFERROR(--(INDEX('Reguler Class Availability'!$F:$F,N54)&amp;""),0),"0%")&amp;")","")&amp;CHAR(10)&amp;IF(INDEX('Reguler Class Availability'!$I:$I,N54)&amp;""="","coach: –",PROPER(INDEX('Reguler Class Availability'!$I:$I,N54)&amp;""))&amp;IF(INDEX('Reguler Class Availability'!$J:$J,N54)&amp;""="","",CHAR(10)&amp;"asst: "&amp;PROPER(INDEX('Reguler Class Availability'!$J:$J,N54)&amp;""))))</f>
        <v>Little  0/4  (0%)
coach: –</v>
      </c>
      <c r="G54" s="40" t="str">
        <f aca="false">IF(O54="","",IF(W54="Tidak dibuka","–",IF(INDEX('Reguler Class Availability'!$B:$B,O54)&amp;""="","Kosong",PROPER(INDEX('Reguler Class Availability'!$B:$B,O54)&amp;""))&amp;"  "&amp;IFERROR(--(INDEX('Reguler Class Availability'!$G:$G,O54)&amp;""),0)&amp;"/"&amp;IFERROR(--(INDEX('Reguler Class Availability'!$F:$F,O54)&amp;""),0)&amp;IF(IFERROR(--(INDEX('Reguler Class Availability'!$F:$F,O54)&amp;""),0)&gt;0,"  ("&amp;TEXT(IFERROR(--(INDEX('Reguler Class Availability'!$G:$G,O54)&amp;""),0)/IFERROR(--(INDEX('Reguler Class Availability'!$F:$F,O54)&amp;""),0),"0%")&amp;")","")&amp;CHAR(10)&amp;IF(INDEX('Reguler Class Availability'!$I:$I,O54)&amp;""="","coach: –",PROPER(INDEX('Reguler Class Availability'!$I:$I,O54)&amp;""))&amp;IF(INDEX('Reguler Class Availability'!$J:$J,O54)&amp;""="","",CHAR(10)&amp;"asst: "&amp;PROPER(INDEX('Reguler Class Availability'!$J:$J,O54)&amp;""))))</f>
        <v>Little  4/4  (100%)
Surya</v>
      </c>
      <c r="H54" s="40" t="str">
        <f aca="false">IF(P54="","",IF(X54="Tidak dibuka","–",IF(INDEX('Reguler Class Availability'!$B:$B,P54)&amp;""="","Kosong",PROPER(INDEX('Reguler Class Availability'!$B:$B,P54)&amp;""))&amp;"  "&amp;IFERROR(--(INDEX('Reguler Class Availability'!$G:$G,P54)&amp;""),0)&amp;"/"&amp;IFERROR(--(INDEX('Reguler Class Availability'!$F:$F,P54)&amp;""),0)&amp;IF(IFERROR(--(INDEX('Reguler Class Availability'!$F:$F,P54)&amp;""),0)&gt;0,"  ("&amp;TEXT(IFERROR(--(INDEX('Reguler Class Availability'!$G:$G,P54)&amp;""),0)/IFERROR(--(INDEX('Reguler Class Availability'!$F:$F,P54)&amp;""),0),"0%")&amp;")","")&amp;CHAR(10)&amp;IF(INDEX('Reguler Class Availability'!$I:$I,P54)&amp;""="","coach: –",PROPER(INDEX('Reguler Class Availability'!$I:$I,P54)&amp;""))&amp;IF(INDEX('Reguler Class Availability'!$J:$J,P54)&amp;""="","",CHAR(10)&amp;"asst: "&amp;PROPER(INDEX('Reguler Class Availability'!$J:$J,P54)&amp;""))))</f>
        <v>Little  4/4  (100%)
Surya</v>
      </c>
      <c r="J54" s="4" t="n">
        <f aca="false">IF($A54="","",IFERROR(MATCH($B$4&amp;"|- Lane 3 - "&amp;B$51&amp;"|"&amp;$A54,'Reguler Class Availability'!$L:$L,0),""))</f>
        <v>186</v>
      </c>
      <c r="K54" s="4" t="n">
        <f aca="false">IF($A54="","",IFERROR(MATCH($B$4&amp;"|- Lane 3 - "&amp;C$51&amp;"|"&amp;$A54,'Reguler Class Availability'!$L:$L,0),""))</f>
        <v>198</v>
      </c>
      <c r="L54" s="4" t="n">
        <f aca="false">IF($A54="","",IFERROR(MATCH($B$4&amp;"|- Lane 3 - "&amp;D$51&amp;"|"&amp;$A54,'Reguler Class Availability'!$L:$L,0),""))</f>
        <v>210</v>
      </c>
      <c r="M54" s="4" t="n">
        <f aca="false">IF($A54="","",IFERROR(MATCH($B$4&amp;"|- Lane 3 - "&amp;E$51&amp;"|"&amp;$A54,'Reguler Class Availability'!$L:$L,0),""))</f>
        <v>222</v>
      </c>
      <c r="N54" s="4" t="n">
        <f aca="false">IF($A54="","",IFERROR(MATCH($B$4&amp;"|- Lane 3 - "&amp;F$51&amp;"|"&amp;$A54,'Reguler Class Availability'!$L:$L,0),""))</f>
        <v>234</v>
      </c>
      <c r="O54" s="4" t="n">
        <f aca="false">IF($A54="","",IFERROR(MATCH($B$4&amp;"|- Lane 3 - "&amp;G$51&amp;"|"&amp;$A54,'Reguler Class Availability'!$L:$L,0),""))</f>
        <v>246</v>
      </c>
      <c r="P54" s="4" t="n">
        <f aca="false">IF($A54="","",IFERROR(MATCH($B$4&amp;"|- Lane 3 - "&amp;H$51&amp;"|"&amp;$A54,'Reguler Class Availability'!$L:$L,0),""))</f>
        <v>258</v>
      </c>
      <c r="R54" s="0" t="str">
        <f aca="false">IF(J54="","",IF(AND(IFERROR(--(INDEX('Reguler Class Availability'!$F:$F,J54)&amp;""),0)=0,IFERROR(--(INDEX('Reguler Class Availability'!$G:$G,J54)&amp;""),0)=0),IF(OR(INDEX('Reguler Class Availability'!$B:$B,J54)&amp;""&lt;&gt;"",INDEX('Reguler Class Availability'!$I:$I,J54)&amp;""&lt;&gt;""),"Tutup","Tidak dibuka"),IF(IFERROR(--(INDEX('Reguler Class Availability'!$G:$G,J54)&amp;""),0)&gt;IFERROR(--(INDEX('Reguler Class Availability'!$F:$F,J54)&amp;""),0),"Lebih",IF(IFERROR(--(INDEX('Reguler Class Availability'!$G:$G,J54)&amp;""),0)=IFERROR(--(INDEX('Reguler Class Availability'!$F:$F,J54)&amp;""),0),"Penuh",IF(IFERROR(--(INDEX('Reguler Class Availability'!$G:$G,J54)&amp;""),0)=0,IF(INDEX('Reguler Class Availability'!$B:$B,J54)&amp;""="","Kosong","Belum terisi"),IF(IFERROR(--(INDEX('Reguler Class Availability'!$G:$G,J54)&amp;""),0)/IFERROR(--(INDEX('Reguler Class Availability'!$F:$F,J54)&amp;""),0)&gt;=0.6,"Tinggi","Sebagian"))))))</f>
        <v>Belum terisi</v>
      </c>
      <c r="S54" s="0" t="str">
        <f aca="false">IF(K54="","",IF(AND(IFERROR(--(INDEX('Reguler Class Availability'!$F:$F,K54)&amp;""),0)=0,IFERROR(--(INDEX('Reguler Class Availability'!$G:$G,K54)&amp;""),0)=0),IF(OR(INDEX('Reguler Class Availability'!$B:$B,K54)&amp;""&lt;&gt;"",INDEX('Reguler Class Availability'!$I:$I,K54)&amp;""&lt;&gt;""),"Tutup","Tidak dibuka"),IF(IFERROR(--(INDEX('Reguler Class Availability'!$G:$G,K54)&amp;""),0)&gt;IFERROR(--(INDEX('Reguler Class Availability'!$F:$F,K54)&amp;""),0),"Lebih",IF(IFERROR(--(INDEX('Reguler Class Availability'!$G:$G,K54)&amp;""),0)=IFERROR(--(INDEX('Reguler Class Availability'!$F:$F,K54)&amp;""),0),"Penuh",IF(IFERROR(--(INDEX('Reguler Class Availability'!$G:$G,K54)&amp;""),0)=0,IF(INDEX('Reguler Class Availability'!$B:$B,K54)&amp;""="","Kosong","Belum terisi"),IF(IFERROR(--(INDEX('Reguler Class Availability'!$G:$G,K54)&amp;""),0)/IFERROR(--(INDEX('Reguler Class Availability'!$F:$F,K54)&amp;""),0)&gt;=0.6,"Tinggi","Sebagian"))))))</f>
        <v>Sebagian</v>
      </c>
      <c r="T54" s="0" t="str">
        <f aca="false">IF(L54="","",IF(AND(IFERROR(--(INDEX('Reguler Class Availability'!$F:$F,L54)&amp;""),0)=0,IFERROR(--(INDEX('Reguler Class Availability'!$G:$G,L54)&amp;""),0)=0),IF(OR(INDEX('Reguler Class Availability'!$B:$B,L54)&amp;""&lt;&gt;"",INDEX('Reguler Class Availability'!$I:$I,L54)&amp;""&lt;&gt;""),"Tutup","Tidak dibuka"),IF(IFERROR(--(INDEX('Reguler Class Availability'!$G:$G,L54)&amp;""),0)&gt;IFERROR(--(INDEX('Reguler Class Availability'!$F:$F,L54)&amp;""),0),"Lebih",IF(IFERROR(--(INDEX('Reguler Class Availability'!$G:$G,L54)&amp;""),0)=IFERROR(--(INDEX('Reguler Class Availability'!$F:$F,L54)&amp;""),0),"Penuh",IF(IFERROR(--(INDEX('Reguler Class Availability'!$G:$G,L54)&amp;""),0)=0,IF(INDEX('Reguler Class Availability'!$B:$B,L54)&amp;""="","Kosong","Belum terisi"),IF(IFERROR(--(INDEX('Reguler Class Availability'!$G:$G,L54)&amp;""),0)/IFERROR(--(INDEX('Reguler Class Availability'!$F:$F,L54)&amp;""),0)&gt;=0.6,"Tinggi","Sebagian"))))))</f>
        <v>Belum terisi</v>
      </c>
      <c r="U54" s="0" t="str">
        <f aca="false">IF(M54="","",IF(AND(IFERROR(--(INDEX('Reguler Class Availability'!$F:$F,M54)&amp;""),0)=0,IFERROR(--(INDEX('Reguler Class Availability'!$G:$G,M54)&amp;""),0)=0),IF(OR(INDEX('Reguler Class Availability'!$B:$B,M54)&amp;""&lt;&gt;"",INDEX('Reguler Class Availability'!$I:$I,M54)&amp;""&lt;&gt;""),"Tutup","Tidak dibuka"),IF(IFERROR(--(INDEX('Reguler Class Availability'!$G:$G,M54)&amp;""),0)&gt;IFERROR(--(INDEX('Reguler Class Availability'!$F:$F,M54)&amp;""),0),"Lebih",IF(IFERROR(--(INDEX('Reguler Class Availability'!$G:$G,M54)&amp;""),0)=IFERROR(--(INDEX('Reguler Class Availability'!$F:$F,M54)&amp;""),0),"Penuh",IF(IFERROR(--(INDEX('Reguler Class Availability'!$G:$G,M54)&amp;""),0)=0,IF(INDEX('Reguler Class Availability'!$B:$B,M54)&amp;""="","Kosong","Belum terisi"),IF(IFERROR(--(INDEX('Reguler Class Availability'!$G:$G,M54)&amp;""),0)/IFERROR(--(INDEX('Reguler Class Availability'!$F:$F,M54)&amp;""),0)&gt;=0.6,"Tinggi","Sebagian"))))))</f>
        <v>Penuh</v>
      </c>
      <c r="V54" s="0" t="str">
        <f aca="false">IF(N54="","",IF(AND(IFERROR(--(INDEX('Reguler Class Availability'!$F:$F,N54)&amp;""),0)=0,IFERROR(--(INDEX('Reguler Class Availability'!$G:$G,N54)&amp;""),0)=0),IF(OR(INDEX('Reguler Class Availability'!$B:$B,N54)&amp;""&lt;&gt;"",INDEX('Reguler Class Availability'!$I:$I,N54)&amp;""&lt;&gt;""),"Tutup","Tidak dibuka"),IF(IFERROR(--(INDEX('Reguler Class Availability'!$G:$G,N54)&amp;""),0)&gt;IFERROR(--(INDEX('Reguler Class Availability'!$F:$F,N54)&amp;""),0),"Lebih",IF(IFERROR(--(INDEX('Reguler Class Availability'!$G:$G,N54)&amp;""),0)=IFERROR(--(INDEX('Reguler Class Availability'!$F:$F,N54)&amp;""),0),"Penuh",IF(IFERROR(--(INDEX('Reguler Class Availability'!$G:$G,N54)&amp;""),0)=0,IF(INDEX('Reguler Class Availability'!$B:$B,N54)&amp;""="","Kosong","Belum terisi"),IF(IFERROR(--(INDEX('Reguler Class Availability'!$G:$G,N54)&amp;""),0)/IFERROR(--(INDEX('Reguler Class Availability'!$F:$F,N54)&amp;""),0)&gt;=0.6,"Tinggi","Sebagian"))))))</f>
        <v>Belum terisi</v>
      </c>
      <c r="W54" s="0" t="str">
        <f aca="false">IF(O54="","",IF(AND(IFERROR(--(INDEX('Reguler Class Availability'!$F:$F,O54)&amp;""),0)=0,IFERROR(--(INDEX('Reguler Class Availability'!$G:$G,O54)&amp;""),0)=0),IF(OR(INDEX('Reguler Class Availability'!$B:$B,O54)&amp;""&lt;&gt;"",INDEX('Reguler Class Availability'!$I:$I,O54)&amp;""&lt;&gt;""),"Tutup","Tidak dibuka"),IF(IFERROR(--(INDEX('Reguler Class Availability'!$G:$G,O54)&amp;""),0)&gt;IFERROR(--(INDEX('Reguler Class Availability'!$F:$F,O54)&amp;""),0),"Lebih",IF(IFERROR(--(INDEX('Reguler Class Availability'!$G:$G,O54)&amp;""),0)=IFERROR(--(INDEX('Reguler Class Availability'!$F:$F,O54)&amp;""),0),"Penuh",IF(IFERROR(--(INDEX('Reguler Class Availability'!$G:$G,O54)&amp;""),0)=0,IF(INDEX('Reguler Class Availability'!$B:$B,O54)&amp;""="","Kosong","Belum terisi"),IF(IFERROR(--(INDEX('Reguler Class Availability'!$G:$G,O54)&amp;""),0)/IFERROR(--(INDEX('Reguler Class Availability'!$F:$F,O54)&amp;""),0)&gt;=0.6,"Tinggi","Sebagian"))))))</f>
        <v>Penuh</v>
      </c>
      <c r="X54" s="0" t="str">
        <f aca="false">IF(P54="","",IF(AND(IFERROR(--(INDEX('Reguler Class Availability'!$F:$F,P54)&amp;""),0)=0,IFERROR(--(INDEX('Reguler Class Availability'!$G:$G,P54)&amp;""),0)=0),IF(OR(INDEX('Reguler Class Availability'!$B:$B,P54)&amp;""&lt;&gt;"",INDEX('Reguler Class Availability'!$I:$I,P54)&amp;""&lt;&gt;""),"Tutup","Tidak dibuka"),IF(IFERROR(--(INDEX('Reguler Class Availability'!$G:$G,P54)&amp;""),0)&gt;IFERROR(--(INDEX('Reguler Class Availability'!$F:$F,P54)&amp;""),0),"Lebih",IF(IFERROR(--(INDEX('Reguler Class Availability'!$G:$G,P54)&amp;""),0)=IFERROR(--(INDEX('Reguler Class Availability'!$F:$F,P54)&amp;""),0),"Penuh",IF(IFERROR(--(INDEX('Reguler Class Availability'!$G:$G,P54)&amp;""),0)=0,IF(INDEX('Reguler Class Availability'!$B:$B,P54)&amp;""="","Kosong","Belum terisi"),IF(IFERROR(--(INDEX('Reguler Class Availability'!$G:$G,P54)&amp;""),0)/IFERROR(--(INDEX('Reguler Class Availability'!$F:$F,P54)&amp;""),0)&gt;=0.6,"Tinggi","Sebagian"))))))</f>
        <v>Penuh</v>
      </c>
      <c r="Z54" s="4" t="s">
        <v>90</v>
      </c>
      <c r="AA54" s="4" t="n">
        <f aca="false">IF(COUNTIFS('Reguler Class Availability'!$L:$L,$B$4&amp;"|- Lane 1 - *|"&amp;Z54)&gt;0,1,0)</f>
        <v>0</v>
      </c>
      <c r="AB54" s="4" t="n">
        <f aca="false">AA54+AB53</f>
        <v>14</v>
      </c>
    </row>
    <row r="55" customFormat="false" ht="39.75" hidden="false" customHeight="true" outlineLevel="0" collapsed="false">
      <c r="A55" s="39" t="str">
        <f aca="false">IFERROR(INDEX($Z$122:$Z$181,MATCH(4,$AB$122:$AB$181,0)),"")</f>
        <v>10:15</v>
      </c>
      <c r="B55" s="40" t="str">
        <f aca="false">IF(J55="","",IF(R55="Tidak dibuka","–",IF(INDEX('Reguler Class Availability'!$B:$B,J55)&amp;""="","Kosong",PROPER(INDEX('Reguler Class Availability'!$B:$B,J55)&amp;""))&amp;"  "&amp;IFERROR(--(INDEX('Reguler Class Availability'!$G:$G,J55)&amp;""),0)&amp;"/"&amp;IFERROR(--(INDEX('Reguler Class Availability'!$F:$F,J55)&amp;""),0)&amp;IF(IFERROR(--(INDEX('Reguler Class Availability'!$F:$F,J55)&amp;""),0)&gt;0,"  ("&amp;TEXT(IFERROR(--(INDEX('Reguler Class Availability'!$G:$G,J55)&amp;""),0)/IFERROR(--(INDEX('Reguler Class Availability'!$F:$F,J55)&amp;""),0),"0%")&amp;")","")&amp;CHAR(10)&amp;IF(INDEX('Reguler Class Availability'!$I:$I,J55)&amp;""="","coach: –",PROPER(INDEX('Reguler Class Availability'!$I:$I,J55)&amp;""))&amp;IF(INDEX('Reguler Class Availability'!$J:$J,J55)&amp;""="","",CHAR(10)&amp;"asst: "&amp;PROPER(INDEX('Reguler Class Availability'!$J:$J,J55)&amp;""))))</f>
        <v>Little  3/4  (75%)
Dian</v>
      </c>
      <c r="C55" s="40" t="str">
        <f aca="false">IF(K55="","",IF(S55="Tidak dibuka","–",IF(INDEX('Reguler Class Availability'!$B:$B,K55)&amp;""="","Kosong",PROPER(INDEX('Reguler Class Availability'!$B:$B,K55)&amp;""))&amp;"  "&amp;IFERROR(--(INDEX('Reguler Class Availability'!$G:$G,K55)&amp;""),0)&amp;"/"&amp;IFERROR(--(INDEX('Reguler Class Availability'!$F:$F,K55)&amp;""),0)&amp;IF(IFERROR(--(INDEX('Reguler Class Availability'!$F:$F,K55)&amp;""),0)&gt;0,"  ("&amp;TEXT(IFERROR(--(INDEX('Reguler Class Availability'!$G:$G,K55)&amp;""),0)/IFERROR(--(INDEX('Reguler Class Availability'!$F:$F,K55)&amp;""),0),"0%")&amp;")","")&amp;CHAR(10)&amp;IF(INDEX('Reguler Class Availability'!$I:$I,K55)&amp;""="","coach: –",PROPER(INDEX('Reguler Class Availability'!$I:$I,K55)&amp;""))&amp;IF(INDEX('Reguler Class Availability'!$J:$J,K55)&amp;""="","",CHAR(10)&amp;"asst: "&amp;PROPER(INDEX('Reguler Class Availability'!$J:$J,K55)&amp;""))))</f>
        <v>Little  2/4  (50%)
Danti</v>
      </c>
      <c r="D55" s="40" t="str">
        <f aca="false">IF(L55="","",IF(T55="Tidak dibuka","–",IF(INDEX('Reguler Class Availability'!$B:$B,L55)&amp;""="","Kosong",PROPER(INDEX('Reguler Class Availability'!$B:$B,L55)&amp;""))&amp;"  "&amp;IFERROR(--(INDEX('Reguler Class Availability'!$G:$G,L55)&amp;""),0)&amp;"/"&amp;IFERROR(--(INDEX('Reguler Class Availability'!$F:$F,L55)&amp;""),0)&amp;IF(IFERROR(--(INDEX('Reguler Class Availability'!$F:$F,L55)&amp;""),0)&gt;0,"  ("&amp;TEXT(IFERROR(--(INDEX('Reguler Class Availability'!$G:$G,L55)&amp;""),0)/IFERROR(--(INDEX('Reguler Class Availability'!$F:$F,L55)&amp;""),0),"0%")&amp;")","")&amp;CHAR(10)&amp;IF(INDEX('Reguler Class Availability'!$I:$I,L55)&amp;""="","coach: –",PROPER(INDEX('Reguler Class Availability'!$I:$I,L55)&amp;""))&amp;IF(INDEX('Reguler Class Availability'!$J:$J,L55)&amp;""="","",CHAR(10)&amp;"asst: "&amp;PROPER(INDEX('Reguler Class Availability'!$J:$J,L55)&amp;""))))</f>
        <v>Little  1/4  (25%)
Zidane</v>
      </c>
      <c r="E55" s="40" t="str">
        <f aca="false">IF(M55="","",IF(U55="Tidak dibuka","–",IF(INDEX('Reguler Class Availability'!$B:$B,M55)&amp;""="","Kosong",PROPER(INDEX('Reguler Class Availability'!$B:$B,M55)&amp;""))&amp;"  "&amp;IFERROR(--(INDEX('Reguler Class Availability'!$G:$G,M55)&amp;""),0)&amp;"/"&amp;IFERROR(--(INDEX('Reguler Class Availability'!$F:$F,M55)&amp;""),0)&amp;IF(IFERROR(--(INDEX('Reguler Class Availability'!$F:$F,M55)&amp;""),0)&gt;0,"  ("&amp;TEXT(IFERROR(--(INDEX('Reguler Class Availability'!$G:$G,M55)&amp;""),0)/IFERROR(--(INDEX('Reguler Class Availability'!$F:$F,M55)&amp;""),0),"0%")&amp;")","")&amp;CHAR(10)&amp;IF(INDEX('Reguler Class Availability'!$I:$I,M55)&amp;""="","coach: –",PROPER(INDEX('Reguler Class Availability'!$I:$I,M55)&amp;""))&amp;IF(INDEX('Reguler Class Availability'!$J:$J,M55)&amp;""="","",CHAR(10)&amp;"asst: "&amp;PROPER(INDEX('Reguler Class Availability'!$J:$J,M55)&amp;""))))</f>
        <v>Little  3/4  (75%)
Eka</v>
      </c>
      <c r="F55" s="40" t="str">
        <f aca="false">IF(N55="","",IF(V55="Tidak dibuka","–",IF(INDEX('Reguler Class Availability'!$B:$B,N55)&amp;""="","Kosong",PROPER(INDEX('Reguler Class Availability'!$B:$B,N55)&amp;""))&amp;"  "&amp;IFERROR(--(INDEX('Reguler Class Availability'!$G:$G,N55)&amp;""),0)&amp;"/"&amp;IFERROR(--(INDEX('Reguler Class Availability'!$F:$F,N55)&amp;""),0)&amp;IF(IFERROR(--(INDEX('Reguler Class Availability'!$F:$F,N55)&amp;""),0)&gt;0,"  ("&amp;TEXT(IFERROR(--(INDEX('Reguler Class Availability'!$G:$G,N55)&amp;""),0)/IFERROR(--(INDEX('Reguler Class Availability'!$F:$F,N55)&amp;""),0),"0%")&amp;")","")&amp;CHAR(10)&amp;IF(INDEX('Reguler Class Availability'!$I:$I,N55)&amp;""="","coach: –",PROPER(INDEX('Reguler Class Availability'!$I:$I,N55)&amp;""))&amp;IF(INDEX('Reguler Class Availability'!$J:$J,N55)&amp;""="","",CHAR(10)&amp;"asst: "&amp;PROPER(INDEX('Reguler Class Availability'!$J:$J,N55)&amp;""))))</f>
        <v>Little  3/4  (75%)
Eka</v>
      </c>
      <c r="G55" s="40" t="str">
        <f aca="false">IF(O55="","",IF(W55="Tidak dibuka","–",IF(INDEX('Reguler Class Availability'!$B:$B,O55)&amp;""="","Kosong",PROPER(INDEX('Reguler Class Availability'!$B:$B,O55)&amp;""))&amp;"  "&amp;IFERROR(--(INDEX('Reguler Class Availability'!$G:$G,O55)&amp;""),0)&amp;"/"&amp;IFERROR(--(INDEX('Reguler Class Availability'!$F:$F,O55)&amp;""),0)&amp;IF(IFERROR(--(INDEX('Reguler Class Availability'!$F:$F,O55)&amp;""),0)&gt;0,"  ("&amp;TEXT(IFERROR(--(INDEX('Reguler Class Availability'!$G:$G,O55)&amp;""),0)/IFERROR(--(INDEX('Reguler Class Availability'!$F:$F,O55)&amp;""),0),"0%")&amp;")","")&amp;CHAR(10)&amp;IF(INDEX('Reguler Class Availability'!$I:$I,O55)&amp;""="","coach: –",PROPER(INDEX('Reguler Class Availability'!$I:$I,O55)&amp;""))&amp;IF(INDEX('Reguler Class Availability'!$J:$J,O55)&amp;""="","",CHAR(10)&amp;"asst: "&amp;PROPER(INDEX('Reguler Class Availability'!$J:$J,O55)&amp;""))))</f>
        <v>Little  4/4  (100%)
Zidane</v>
      </c>
      <c r="H55" s="40" t="str">
        <f aca="false">IF(P55="","",IF(X55="Tidak dibuka","–",IF(INDEX('Reguler Class Availability'!$B:$B,P55)&amp;""="","Kosong",PROPER(INDEX('Reguler Class Availability'!$B:$B,P55)&amp;""))&amp;"  "&amp;IFERROR(--(INDEX('Reguler Class Availability'!$G:$G,P55)&amp;""),0)&amp;"/"&amp;IFERROR(--(INDEX('Reguler Class Availability'!$F:$F,P55)&amp;""),0)&amp;IF(IFERROR(--(INDEX('Reguler Class Availability'!$F:$F,P55)&amp;""),0)&gt;0,"  ("&amp;TEXT(IFERROR(--(INDEX('Reguler Class Availability'!$G:$G,P55)&amp;""),0)/IFERROR(--(INDEX('Reguler Class Availability'!$F:$F,P55)&amp;""),0),"0%")&amp;")","")&amp;CHAR(10)&amp;IF(INDEX('Reguler Class Availability'!$I:$I,P55)&amp;""="","coach: –",PROPER(INDEX('Reguler Class Availability'!$I:$I,P55)&amp;""))&amp;IF(INDEX('Reguler Class Availability'!$J:$J,P55)&amp;""="","",CHAR(10)&amp;"asst: "&amp;PROPER(INDEX('Reguler Class Availability'!$J:$J,P55)&amp;""))))</f>
        <v>Little  4/4  (100%)
Dian</v>
      </c>
      <c r="J55" s="4" t="n">
        <f aca="false">IF($A55="","",IFERROR(MATCH($B$4&amp;"|- Lane 3 - "&amp;B$51&amp;"|"&amp;$A55,'Reguler Class Availability'!$L:$L,0),""))</f>
        <v>187</v>
      </c>
      <c r="K55" s="4" t="n">
        <f aca="false">IF($A55="","",IFERROR(MATCH($B$4&amp;"|- Lane 3 - "&amp;C$51&amp;"|"&amp;$A55,'Reguler Class Availability'!$L:$L,0),""))</f>
        <v>199</v>
      </c>
      <c r="L55" s="4" t="n">
        <f aca="false">IF($A55="","",IFERROR(MATCH($B$4&amp;"|- Lane 3 - "&amp;D$51&amp;"|"&amp;$A55,'Reguler Class Availability'!$L:$L,0),""))</f>
        <v>211</v>
      </c>
      <c r="M55" s="4" t="n">
        <f aca="false">IF($A55="","",IFERROR(MATCH($B$4&amp;"|- Lane 3 - "&amp;E$51&amp;"|"&amp;$A55,'Reguler Class Availability'!$L:$L,0),""))</f>
        <v>223</v>
      </c>
      <c r="N55" s="4" t="n">
        <f aca="false">IF($A55="","",IFERROR(MATCH($B$4&amp;"|- Lane 3 - "&amp;F$51&amp;"|"&amp;$A55,'Reguler Class Availability'!$L:$L,0),""))</f>
        <v>235</v>
      </c>
      <c r="O55" s="4" t="n">
        <f aca="false">IF($A55="","",IFERROR(MATCH($B$4&amp;"|- Lane 3 - "&amp;G$51&amp;"|"&amp;$A55,'Reguler Class Availability'!$L:$L,0),""))</f>
        <v>247</v>
      </c>
      <c r="P55" s="4" t="n">
        <f aca="false">IF($A55="","",IFERROR(MATCH($B$4&amp;"|- Lane 3 - "&amp;H$51&amp;"|"&amp;$A55,'Reguler Class Availability'!$L:$L,0),""))</f>
        <v>259</v>
      </c>
      <c r="R55" s="0" t="str">
        <f aca="false">IF(J55="","",IF(AND(IFERROR(--(INDEX('Reguler Class Availability'!$F:$F,J55)&amp;""),0)=0,IFERROR(--(INDEX('Reguler Class Availability'!$G:$G,J55)&amp;""),0)=0),IF(OR(INDEX('Reguler Class Availability'!$B:$B,J55)&amp;""&lt;&gt;"",INDEX('Reguler Class Availability'!$I:$I,J55)&amp;""&lt;&gt;""),"Tutup","Tidak dibuka"),IF(IFERROR(--(INDEX('Reguler Class Availability'!$G:$G,J55)&amp;""),0)&gt;IFERROR(--(INDEX('Reguler Class Availability'!$F:$F,J55)&amp;""),0),"Lebih",IF(IFERROR(--(INDEX('Reguler Class Availability'!$G:$G,J55)&amp;""),0)=IFERROR(--(INDEX('Reguler Class Availability'!$F:$F,J55)&amp;""),0),"Penuh",IF(IFERROR(--(INDEX('Reguler Class Availability'!$G:$G,J55)&amp;""),0)=0,IF(INDEX('Reguler Class Availability'!$B:$B,J55)&amp;""="","Kosong","Belum terisi"),IF(IFERROR(--(INDEX('Reguler Class Availability'!$G:$G,J55)&amp;""),0)/IFERROR(--(INDEX('Reguler Class Availability'!$F:$F,J55)&amp;""),0)&gt;=0.6,"Tinggi","Sebagian"))))))</f>
        <v>Tinggi</v>
      </c>
      <c r="S55" s="0" t="str">
        <f aca="false">IF(K55="","",IF(AND(IFERROR(--(INDEX('Reguler Class Availability'!$F:$F,K55)&amp;""),0)=0,IFERROR(--(INDEX('Reguler Class Availability'!$G:$G,K55)&amp;""),0)=0),IF(OR(INDEX('Reguler Class Availability'!$B:$B,K55)&amp;""&lt;&gt;"",INDEX('Reguler Class Availability'!$I:$I,K55)&amp;""&lt;&gt;""),"Tutup","Tidak dibuka"),IF(IFERROR(--(INDEX('Reguler Class Availability'!$G:$G,K55)&amp;""),0)&gt;IFERROR(--(INDEX('Reguler Class Availability'!$F:$F,K55)&amp;""),0),"Lebih",IF(IFERROR(--(INDEX('Reguler Class Availability'!$G:$G,K55)&amp;""),0)=IFERROR(--(INDEX('Reguler Class Availability'!$F:$F,K55)&amp;""),0),"Penuh",IF(IFERROR(--(INDEX('Reguler Class Availability'!$G:$G,K55)&amp;""),0)=0,IF(INDEX('Reguler Class Availability'!$B:$B,K55)&amp;""="","Kosong","Belum terisi"),IF(IFERROR(--(INDEX('Reguler Class Availability'!$G:$G,K55)&amp;""),0)/IFERROR(--(INDEX('Reguler Class Availability'!$F:$F,K55)&amp;""),0)&gt;=0.6,"Tinggi","Sebagian"))))))</f>
        <v>Sebagian</v>
      </c>
      <c r="T55" s="0" t="str">
        <f aca="false">IF(L55="","",IF(AND(IFERROR(--(INDEX('Reguler Class Availability'!$F:$F,L55)&amp;""),0)=0,IFERROR(--(INDEX('Reguler Class Availability'!$G:$G,L55)&amp;""),0)=0),IF(OR(INDEX('Reguler Class Availability'!$B:$B,L55)&amp;""&lt;&gt;"",INDEX('Reguler Class Availability'!$I:$I,L55)&amp;""&lt;&gt;""),"Tutup","Tidak dibuka"),IF(IFERROR(--(INDEX('Reguler Class Availability'!$G:$G,L55)&amp;""),0)&gt;IFERROR(--(INDEX('Reguler Class Availability'!$F:$F,L55)&amp;""),0),"Lebih",IF(IFERROR(--(INDEX('Reguler Class Availability'!$G:$G,L55)&amp;""),0)=IFERROR(--(INDEX('Reguler Class Availability'!$F:$F,L55)&amp;""),0),"Penuh",IF(IFERROR(--(INDEX('Reguler Class Availability'!$G:$G,L55)&amp;""),0)=0,IF(INDEX('Reguler Class Availability'!$B:$B,L55)&amp;""="","Kosong","Belum terisi"),IF(IFERROR(--(INDEX('Reguler Class Availability'!$G:$G,L55)&amp;""),0)/IFERROR(--(INDEX('Reguler Class Availability'!$F:$F,L55)&amp;""),0)&gt;=0.6,"Tinggi","Sebagian"))))))</f>
        <v>Sebagian</v>
      </c>
      <c r="U55" s="0" t="str">
        <f aca="false">IF(M55="","",IF(AND(IFERROR(--(INDEX('Reguler Class Availability'!$F:$F,M55)&amp;""),0)=0,IFERROR(--(INDEX('Reguler Class Availability'!$G:$G,M55)&amp;""),0)=0),IF(OR(INDEX('Reguler Class Availability'!$B:$B,M55)&amp;""&lt;&gt;"",INDEX('Reguler Class Availability'!$I:$I,M55)&amp;""&lt;&gt;""),"Tutup","Tidak dibuka"),IF(IFERROR(--(INDEX('Reguler Class Availability'!$G:$G,M55)&amp;""),0)&gt;IFERROR(--(INDEX('Reguler Class Availability'!$F:$F,M55)&amp;""),0),"Lebih",IF(IFERROR(--(INDEX('Reguler Class Availability'!$G:$G,M55)&amp;""),0)=IFERROR(--(INDEX('Reguler Class Availability'!$F:$F,M55)&amp;""),0),"Penuh",IF(IFERROR(--(INDEX('Reguler Class Availability'!$G:$G,M55)&amp;""),0)=0,IF(INDEX('Reguler Class Availability'!$B:$B,M55)&amp;""="","Kosong","Belum terisi"),IF(IFERROR(--(INDEX('Reguler Class Availability'!$G:$G,M55)&amp;""),0)/IFERROR(--(INDEX('Reguler Class Availability'!$F:$F,M55)&amp;""),0)&gt;=0.6,"Tinggi","Sebagian"))))))</f>
        <v>Tinggi</v>
      </c>
      <c r="V55" s="0" t="str">
        <f aca="false">IF(N55="","",IF(AND(IFERROR(--(INDEX('Reguler Class Availability'!$F:$F,N55)&amp;""),0)=0,IFERROR(--(INDEX('Reguler Class Availability'!$G:$G,N55)&amp;""),0)=0),IF(OR(INDEX('Reguler Class Availability'!$B:$B,N55)&amp;""&lt;&gt;"",INDEX('Reguler Class Availability'!$I:$I,N55)&amp;""&lt;&gt;""),"Tutup","Tidak dibuka"),IF(IFERROR(--(INDEX('Reguler Class Availability'!$G:$G,N55)&amp;""),0)&gt;IFERROR(--(INDEX('Reguler Class Availability'!$F:$F,N55)&amp;""),0),"Lebih",IF(IFERROR(--(INDEX('Reguler Class Availability'!$G:$G,N55)&amp;""),0)=IFERROR(--(INDEX('Reguler Class Availability'!$F:$F,N55)&amp;""),0),"Penuh",IF(IFERROR(--(INDEX('Reguler Class Availability'!$G:$G,N55)&amp;""),0)=0,IF(INDEX('Reguler Class Availability'!$B:$B,N55)&amp;""="","Kosong","Belum terisi"),IF(IFERROR(--(INDEX('Reguler Class Availability'!$G:$G,N55)&amp;""),0)/IFERROR(--(INDEX('Reguler Class Availability'!$F:$F,N55)&amp;""),0)&gt;=0.6,"Tinggi","Sebagian"))))))</f>
        <v>Tinggi</v>
      </c>
      <c r="W55" s="0" t="str">
        <f aca="false">IF(O55="","",IF(AND(IFERROR(--(INDEX('Reguler Class Availability'!$F:$F,O55)&amp;""),0)=0,IFERROR(--(INDEX('Reguler Class Availability'!$G:$G,O55)&amp;""),0)=0),IF(OR(INDEX('Reguler Class Availability'!$B:$B,O55)&amp;""&lt;&gt;"",INDEX('Reguler Class Availability'!$I:$I,O55)&amp;""&lt;&gt;""),"Tutup","Tidak dibuka"),IF(IFERROR(--(INDEX('Reguler Class Availability'!$G:$G,O55)&amp;""),0)&gt;IFERROR(--(INDEX('Reguler Class Availability'!$F:$F,O55)&amp;""),0),"Lebih",IF(IFERROR(--(INDEX('Reguler Class Availability'!$G:$G,O55)&amp;""),0)=IFERROR(--(INDEX('Reguler Class Availability'!$F:$F,O55)&amp;""),0),"Penuh",IF(IFERROR(--(INDEX('Reguler Class Availability'!$G:$G,O55)&amp;""),0)=0,IF(INDEX('Reguler Class Availability'!$B:$B,O55)&amp;""="","Kosong","Belum terisi"),IF(IFERROR(--(INDEX('Reguler Class Availability'!$G:$G,O55)&amp;""),0)/IFERROR(--(INDEX('Reguler Class Availability'!$F:$F,O55)&amp;""),0)&gt;=0.6,"Tinggi","Sebagian"))))))</f>
        <v>Penuh</v>
      </c>
      <c r="X55" s="0" t="str">
        <f aca="false">IF(P55="","",IF(AND(IFERROR(--(INDEX('Reguler Class Availability'!$F:$F,P55)&amp;""),0)=0,IFERROR(--(INDEX('Reguler Class Availability'!$G:$G,P55)&amp;""),0)=0),IF(OR(INDEX('Reguler Class Availability'!$B:$B,P55)&amp;""&lt;&gt;"",INDEX('Reguler Class Availability'!$I:$I,P55)&amp;""&lt;&gt;""),"Tutup","Tidak dibuka"),IF(IFERROR(--(INDEX('Reguler Class Availability'!$G:$G,P55)&amp;""),0)&gt;IFERROR(--(INDEX('Reguler Class Availability'!$F:$F,P55)&amp;""),0),"Lebih",IF(IFERROR(--(INDEX('Reguler Class Availability'!$G:$G,P55)&amp;""),0)=IFERROR(--(INDEX('Reguler Class Availability'!$F:$F,P55)&amp;""),0),"Penuh",IF(IFERROR(--(INDEX('Reguler Class Availability'!$G:$G,P55)&amp;""),0)=0,IF(INDEX('Reguler Class Availability'!$B:$B,P55)&amp;""="","Kosong","Belum terisi"),IF(IFERROR(--(INDEX('Reguler Class Availability'!$G:$G,P55)&amp;""),0)/IFERROR(--(INDEX('Reguler Class Availability'!$F:$F,P55)&amp;""),0)&gt;=0.6,"Tinggi","Sebagian"))))))</f>
        <v>Penuh</v>
      </c>
      <c r="Z55" s="4" t="s">
        <v>91</v>
      </c>
      <c r="AA55" s="4" t="n">
        <f aca="false">IF(COUNTIFS('Reguler Class Availability'!$L:$L,$B$4&amp;"|- Lane 1 - *|"&amp;Z55)&gt;0,1,0)</f>
        <v>0</v>
      </c>
      <c r="AB55" s="4" t="n">
        <f aca="false">AA55+AB54</f>
        <v>14</v>
      </c>
    </row>
    <row r="56" customFormat="false" ht="39.75" hidden="false" customHeight="true" outlineLevel="0" collapsed="false">
      <c r="A56" s="39" t="str">
        <f aca="false">IFERROR(INDEX($Z$122:$Z$181,MATCH(5,$AB$122:$AB$181,0)),"")</f>
        <v>11:00</v>
      </c>
      <c r="B56" s="40" t="str">
        <f aca="false">IF(J56="","",IF(R56="Tidak dibuka","–",IF(INDEX('Reguler Class Availability'!$B:$B,J56)&amp;""="","Kosong",PROPER(INDEX('Reguler Class Availability'!$B:$B,J56)&amp;""))&amp;"  "&amp;IFERROR(--(INDEX('Reguler Class Availability'!$G:$G,J56)&amp;""),0)&amp;"/"&amp;IFERROR(--(INDEX('Reguler Class Availability'!$F:$F,J56)&amp;""),0)&amp;IF(IFERROR(--(INDEX('Reguler Class Availability'!$F:$F,J56)&amp;""),0)&gt;0,"  ("&amp;TEXT(IFERROR(--(INDEX('Reguler Class Availability'!$G:$G,J56)&amp;""),0)/IFERROR(--(INDEX('Reguler Class Availability'!$F:$F,J56)&amp;""),0),"0%")&amp;")","")&amp;CHAR(10)&amp;IF(INDEX('Reguler Class Availability'!$I:$I,J56)&amp;""="","coach: –",PROPER(INDEX('Reguler Class Availability'!$I:$I,J56)&amp;""))&amp;IF(INDEX('Reguler Class Availability'!$J:$J,J56)&amp;""="","",CHAR(10)&amp;"asst: "&amp;PROPER(INDEX('Reguler Class Availability'!$J:$J,J56)&amp;""))))</f>
        <v>Little  3/4  (75%)
Rischa</v>
      </c>
      <c r="C56" s="40" t="str">
        <f aca="false">IF(K56="","",IF(S56="Tidak dibuka","–",IF(INDEX('Reguler Class Availability'!$B:$B,K56)&amp;""="","Kosong",PROPER(INDEX('Reguler Class Availability'!$B:$B,K56)&amp;""))&amp;"  "&amp;IFERROR(--(INDEX('Reguler Class Availability'!$G:$G,K56)&amp;""),0)&amp;"/"&amp;IFERROR(--(INDEX('Reguler Class Availability'!$F:$F,K56)&amp;""),0)&amp;IF(IFERROR(--(INDEX('Reguler Class Availability'!$F:$F,K56)&amp;""),0)&gt;0,"  ("&amp;TEXT(IFERROR(--(INDEX('Reguler Class Availability'!$G:$G,K56)&amp;""),0)/IFERROR(--(INDEX('Reguler Class Availability'!$F:$F,K56)&amp;""),0),"0%")&amp;")","")&amp;CHAR(10)&amp;IF(INDEX('Reguler Class Availability'!$I:$I,K56)&amp;""="","coach: –",PROPER(INDEX('Reguler Class Availability'!$I:$I,K56)&amp;""))&amp;IF(INDEX('Reguler Class Availability'!$J:$J,K56)&amp;""="","",CHAR(10)&amp;"asst: "&amp;PROPER(INDEX('Reguler Class Availability'!$J:$J,K56)&amp;""))))</f>
        <v>Little  4/4  (100%)
Danti</v>
      </c>
      <c r="D56" s="40" t="str">
        <f aca="false">IF(L56="","",IF(T56="Tidak dibuka","–",IF(INDEX('Reguler Class Availability'!$B:$B,L56)&amp;""="","Kosong",PROPER(INDEX('Reguler Class Availability'!$B:$B,L56)&amp;""))&amp;"  "&amp;IFERROR(--(INDEX('Reguler Class Availability'!$G:$G,L56)&amp;""),0)&amp;"/"&amp;IFERROR(--(INDEX('Reguler Class Availability'!$F:$F,L56)&amp;""),0)&amp;IF(IFERROR(--(INDEX('Reguler Class Availability'!$F:$F,L56)&amp;""),0)&gt;0,"  ("&amp;TEXT(IFERROR(--(INDEX('Reguler Class Availability'!$G:$G,L56)&amp;""),0)/IFERROR(--(INDEX('Reguler Class Availability'!$F:$F,L56)&amp;""),0),"0%")&amp;")","")&amp;CHAR(10)&amp;IF(INDEX('Reguler Class Availability'!$I:$I,L56)&amp;""="","coach: –",PROPER(INDEX('Reguler Class Availability'!$I:$I,L56)&amp;""))&amp;IF(INDEX('Reguler Class Availability'!$J:$J,L56)&amp;""="","",CHAR(10)&amp;"asst: "&amp;PROPER(INDEX('Reguler Class Availability'!$J:$J,L56)&amp;""))))</f>
        <v>Little  4/4  (100%)
Danti</v>
      </c>
      <c r="E56" s="40" t="str">
        <f aca="false">IF(M56="","",IF(U56="Tidak dibuka","–",IF(INDEX('Reguler Class Availability'!$B:$B,M56)&amp;""="","Kosong",PROPER(INDEX('Reguler Class Availability'!$B:$B,M56)&amp;""))&amp;"  "&amp;IFERROR(--(INDEX('Reguler Class Availability'!$G:$G,M56)&amp;""),0)&amp;"/"&amp;IFERROR(--(INDEX('Reguler Class Availability'!$F:$F,M56)&amp;""),0)&amp;IF(IFERROR(--(INDEX('Reguler Class Availability'!$F:$F,M56)&amp;""),0)&gt;0,"  ("&amp;TEXT(IFERROR(--(INDEX('Reguler Class Availability'!$G:$G,M56)&amp;""),0)/IFERROR(--(INDEX('Reguler Class Availability'!$F:$F,M56)&amp;""),0),"0%")&amp;")","")&amp;CHAR(10)&amp;IF(INDEX('Reguler Class Availability'!$I:$I,M56)&amp;""="","coach: –",PROPER(INDEX('Reguler Class Availability'!$I:$I,M56)&amp;""))&amp;IF(INDEX('Reguler Class Availability'!$J:$J,M56)&amp;""="","",CHAR(10)&amp;"asst: "&amp;PROPER(INDEX('Reguler Class Availability'!$J:$J,M56)&amp;""))))</f>
        <v>Little  3/4  (75%)
Surya</v>
      </c>
      <c r="F56" s="40" t="str">
        <f aca="false">IF(N56="","",IF(V56="Tidak dibuka","–",IF(INDEX('Reguler Class Availability'!$B:$B,N56)&amp;""="","Kosong",PROPER(INDEX('Reguler Class Availability'!$B:$B,N56)&amp;""))&amp;"  "&amp;IFERROR(--(INDEX('Reguler Class Availability'!$G:$G,N56)&amp;""),0)&amp;"/"&amp;IFERROR(--(INDEX('Reguler Class Availability'!$F:$F,N56)&amp;""),0)&amp;IF(IFERROR(--(INDEX('Reguler Class Availability'!$F:$F,N56)&amp;""),0)&gt;0,"  ("&amp;TEXT(IFERROR(--(INDEX('Reguler Class Availability'!$G:$G,N56)&amp;""),0)/IFERROR(--(INDEX('Reguler Class Availability'!$F:$F,N56)&amp;""),0),"0%")&amp;")","")&amp;CHAR(10)&amp;IF(INDEX('Reguler Class Availability'!$I:$I,N56)&amp;""="","coach: –",PROPER(INDEX('Reguler Class Availability'!$I:$I,N56)&amp;""))&amp;IF(INDEX('Reguler Class Availability'!$J:$J,N56)&amp;""="","",CHAR(10)&amp;"asst: "&amp;PROPER(INDEX('Reguler Class Availability'!$J:$J,N56)&amp;""))))</f>
        <v>Little  2/4  (50%)
Rischa</v>
      </c>
      <c r="G56" s="40" t="str">
        <f aca="false">IF(O56="","",IF(W56="Tidak dibuka","–",IF(INDEX('Reguler Class Availability'!$B:$B,O56)&amp;""="","Kosong",PROPER(INDEX('Reguler Class Availability'!$B:$B,O56)&amp;""))&amp;"  "&amp;IFERROR(--(INDEX('Reguler Class Availability'!$G:$G,O56)&amp;""),0)&amp;"/"&amp;IFERROR(--(INDEX('Reguler Class Availability'!$F:$F,O56)&amp;""),0)&amp;IF(IFERROR(--(INDEX('Reguler Class Availability'!$F:$F,O56)&amp;""),0)&gt;0,"  ("&amp;TEXT(IFERROR(--(INDEX('Reguler Class Availability'!$G:$G,O56)&amp;""),0)/IFERROR(--(INDEX('Reguler Class Availability'!$F:$F,O56)&amp;""),0),"0%")&amp;")","")&amp;CHAR(10)&amp;IF(INDEX('Reguler Class Availability'!$I:$I,O56)&amp;""="","coach: –",PROPER(INDEX('Reguler Class Availability'!$I:$I,O56)&amp;""))&amp;IF(INDEX('Reguler Class Availability'!$J:$J,O56)&amp;""="","",CHAR(10)&amp;"asst: "&amp;PROPER(INDEX('Reguler Class Availability'!$J:$J,O56)&amp;""))))</f>
        <v>Little  4/4  (100%)
Dian</v>
      </c>
      <c r="H56" s="40" t="str">
        <f aca="false">IF(P56="","",IF(X56="Tidak dibuka","–",IF(INDEX('Reguler Class Availability'!$B:$B,P56)&amp;""="","Kosong",PROPER(INDEX('Reguler Class Availability'!$B:$B,P56)&amp;""))&amp;"  "&amp;IFERROR(--(INDEX('Reguler Class Availability'!$G:$G,P56)&amp;""),0)&amp;"/"&amp;IFERROR(--(INDEX('Reguler Class Availability'!$F:$F,P56)&amp;""),0)&amp;IF(IFERROR(--(INDEX('Reguler Class Availability'!$F:$F,P56)&amp;""),0)&gt;0,"  ("&amp;TEXT(IFERROR(--(INDEX('Reguler Class Availability'!$G:$G,P56)&amp;""),0)/IFERROR(--(INDEX('Reguler Class Availability'!$F:$F,P56)&amp;""),0),"0%")&amp;")","")&amp;CHAR(10)&amp;IF(INDEX('Reguler Class Availability'!$I:$I,P56)&amp;""="","coach: –",PROPER(INDEX('Reguler Class Availability'!$I:$I,P56)&amp;""))&amp;IF(INDEX('Reguler Class Availability'!$J:$J,P56)&amp;""="","",CHAR(10)&amp;"asst: "&amp;PROPER(INDEX('Reguler Class Availability'!$J:$J,P56)&amp;""))))</f>
        <v>Little  4/4  (100%)
Eka</v>
      </c>
      <c r="J56" s="4" t="n">
        <f aca="false">IF($A56="","",IFERROR(MATCH($B$4&amp;"|- Lane 3 - "&amp;B$51&amp;"|"&amp;$A56,'Reguler Class Availability'!$L:$L,0),""))</f>
        <v>188</v>
      </c>
      <c r="K56" s="4" t="n">
        <f aca="false">IF($A56="","",IFERROR(MATCH($B$4&amp;"|- Lane 3 - "&amp;C$51&amp;"|"&amp;$A56,'Reguler Class Availability'!$L:$L,0),""))</f>
        <v>200</v>
      </c>
      <c r="L56" s="4" t="n">
        <f aca="false">IF($A56="","",IFERROR(MATCH($B$4&amp;"|- Lane 3 - "&amp;D$51&amp;"|"&amp;$A56,'Reguler Class Availability'!$L:$L,0),""))</f>
        <v>212</v>
      </c>
      <c r="M56" s="4" t="n">
        <f aca="false">IF($A56="","",IFERROR(MATCH($B$4&amp;"|- Lane 3 - "&amp;E$51&amp;"|"&amp;$A56,'Reguler Class Availability'!$L:$L,0),""))</f>
        <v>224</v>
      </c>
      <c r="N56" s="4" t="n">
        <f aca="false">IF($A56="","",IFERROR(MATCH($B$4&amp;"|- Lane 3 - "&amp;F$51&amp;"|"&amp;$A56,'Reguler Class Availability'!$L:$L,0),""))</f>
        <v>236</v>
      </c>
      <c r="O56" s="4" t="n">
        <f aca="false">IF($A56="","",IFERROR(MATCH($B$4&amp;"|- Lane 3 - "&amp;G$51&amp;"|"&amp;$A56,'Reguler Class Availability'!$L:$L,0),""))</f>
        <v>248</v>
      </c>
      <c r="P56" s="4" t="n">
        <f aca="false">IF($A56="","",IFERROR(MATCH($B$4&amp;"|- Lane 3 - "&amp;H$51&amp;"|"&amp;$A56,'Reguler Class Availability'!$L:$L,0),""))</f>
        <v>260</v>
      </c>
      <c r="R56" s="0" t="str">
        <f aca="false">IF(J56="","",IF(AND(IFERROR(--(INDEX('Reguler Class Availability'!$F:$F,J56)&amp;""),0)=0,IFERROR(--(INDEX('Reguler Class Availability'!$G:$G,J56)&amp;""),0)=0),IF(OR(INDEX('Reguler Class Availability'!$B:$B,J56)&amp;""&lt;&gt;"",INDEX('Reguler Class Availability'!$I:$I,J56)&amp;""&lt;&gt;""),"Tutup","Tidak dibuka"),IF(IFERROR(--(INDEX('Reguler Class Availability'!$G:$G,J56)&amp;""),0)&gt;IFERROR(--(INDEX('Reguler Class Availability'!$F:$F,J56)&amp;""),0),"Lebih",IF(IFERROR(--(INDEX('Reguler Class Availability'!$G:$G,J56)&amp;""),0)=IFERROR(--(INDEX('Reguler Class Availability'!$F:$F,J56)&amp;""),0),"Penuh",IF(IFERROR(--(INDEX('Reguler Class Availability'!$G:$G,J56)&amp;""),0)=0,IF(INDEX('Reguler Class Availability'!$B:$B,J56)&amp;""="","Kosong","Belum terisi"),IF(IFERROR(--(INDEX('Reguler Class Availability'!$G:$G,J56)&amp;""),0)/IFERROR(--(INDEX('Reguler Class Availability'!$F:$F,J56)&amp;""),0)&gt;=0.6,"Tinggi","Sebagian"))))))</f>
        <v>Tinggi</v>
      </c>
      <c r="S56" s="0" t="str">
        <f aca="false">IF(K56="","",IF(AND(IFERROR(--(INDEX('Reguler Class Availability'!$F:$F,K56)&amp;""),0)=0,IFERROR(--(INDEX('Reguler Class Availability'!$G:$G,K56)&amp;""),0)=0),IF(OR(INDEX('Reguler Class Availability'!$B:$B,K56)&amp;""&lt;&gt;"",INDEX('Reguler Class Availability'!$I:$I,K56)&amp;""&lt;&gt;""),"Tutup","Tidak dibuka"),IF(IFERROR(--(INDEX('Reguler Class Availability'!$G:$G,K56)&amp;""),0)&gt;IFERROR(--(INDEX('Reguler Class Availability'!$F:$F,K56)&amp;""),0),"Lebih",IF(IFERROR(--(INDEX('Reguler Class Availability'!$G:$G,K56)&amp;""),0)=IFERROR(--(INDEX('Reguler Class Availability'!$F:$F,K56)&amp;""),0),"Penuh",IF(IFERROR(--(INDEX('Reguler Class Availability'!$G:$G,K56)&amp;""),0)=0,IF(INDEX('Reguler Class Availability'!$B:$B,K56)&amp;""="","Kosong","Belum terisi"),IF(IFERROR(--(INDEX('Reguler Class Availability'!$G:$G,K56)&amp;""),0)/IFERROR(--(INDEX('Reguler Class Availability'!$F:$F,K56)&amp;""),0)&gt;=0.6,"Tinggi","Sebagian"))))))</f>
        <v>Penuh</v>
      </c>
      <c r="T56" s="0" t="str">
        <f aca="false">IF(L56="","",IF(AND(IFERROR(--(INDEX('Reguler Class Availability'!$F:$F,L56)&amp;""),0)=0,IFERROR(--(INDEX('Reguler Class Availability'!$G:$G,L56)&amp;""),0)=0),IF(OR(INDEX('Reguler Class Availability'!$B:$B,L56)&amp;""&lt;&gt;"",INDEX('Reguler Class Availability'!$I:$I,L56)&amp;""&lt;&gt;""),"Tutup","Tidak dibuka"),IF(IFERROR(--(INDEX('Reguler Class Availability'!$G:$G,L56)&amp;""),0)&gt;IFERROR(--(INDEX('Reguler Class Availability'!$F:$F,L56)&amp;""),0),"Lebih",IF(IFERROR(--(INDEX('Reguler Class Availability'!$G:$G,L56)&amp;""),0)=IFERROR(--(INDEX('Reguler Class Availability'!$F:$F,L56)&amp;""),0),"Penuh",IF(IFERROR(--(INDEX('Reguler Class Availability'!$G:$G,L56)&amp;""),0)=0,IF(INDEX('Reguler Class Availability'!$B:$B,L56)&amp;""="","Kosong","Belum terisi"),IF(IFERROR(--(INDEX('Reguler Class Availability'!$G:$G,L56)&amp;""),0)/IFERROR(--(INDEX('Reguler Class Availability'!$F:$F,L56)&amp;""),0)&gt;=0.6,"Tinggi","Sebagian"))))))</f>
        <v>Penuh</v>
      </c>
      <c r="U56" s="0" t="str">
        <f aca="false">IF(M56="","",IF(AND(IFERROR(--(INDEX('Reguler Class Availability'!$F:$F,M56)&amp;""),0)=0,IFERROR(--(INDEX('Reguler Class Availability'!$G:$G,M56)&amp;""),0)=0),IF(OR(INDEX('Reguler Class Availability'!$B:$B,M56)&amp;""&lt;&gt;"",INDEX('Reguler Class Availability'!$I:$I,M56)&amp;""&lt;&gt;""),"Tutup","Tidak dibuka"),IF(IFERROR(--(INDEX('Reguler Class Availability'!$G:$G,M56)&amp;""),0)&gt;IFERROR(--(INDEX('Reguler Class Availability'!$F:$F,M56)&amp;""),0),"Lebih",IF(IFERROR(--(INDEX('Reguler Class Availability'!$G:$G,M56)&amp;""),0)=IFERROR(--(INDEX('Reguler Class Availability'!$F:$F,M56)&amp;""),0),"Penuh",IF(IFERROR(--(INDEX('Reguler Class Availability'!$G:$G,M56)&amp;""),0)=0,IF(INDEX('Reguler Class Availability'!$B:$B,M56)&amp;""="","Kosong","Belum terisi"),IF(IFERROR(--(INDEX('Reguler Class Availability'!$G:$G,M56)&amp;""),0)/IFERROR(--(INDEX('Reguler Class Availability'!$F:$F,M56)&amp;""),0)&gt;=0.6,"Tinggi","Sebagian"))))))</f>
        <v>Tinggi</v>
      </c>
      <c r="V56" s="0" t="str">
        <f aca="false">IF(N56="","",IF(AND(IFERROR(--(INDEX('Reguler Class Availability'!$F:$F,N56)&amp;""),0)=0,IFERROR(--(INDEX('Reguler Class Availability'!$G:$G,N56)&amp;""),0)=0),IF(OR(INDEX('Reguler Class Availability'!$B:$B,N56)&amp;""&lt;&gt;"",INDEX('Reguler Class Availability'!$I:$I,N56)&amp;""&lt;&gt;""),"Tutup","Tidak dibuka"),IF(IFERROR(--(INDEX('Reguler Class Availability'!$G:$G,N56)&amp;""),0)&gt;IFERROR(--(INDEX('Reguler Class Availability'!$F:$F,N56)&amp;""),0),"Lebih",IF(IFERROR(--(INDEX('Reguler Class Availability'!$G:$G,N56)&amp;""),0)=IFERROR(--(INDEX('Reguler Class Availability'!$F:$F,N56)&amp;""),0),"Penuh",IF(IFERROR(--(INDEX('Reguler Class Availability'!$G:$G,N56)&amp;""),0)=0,IF(INDEX('Reguler Class Availability'!$B:$B,N56)&amp;""="","Kosong","Belum terisi"),IF(IFERROR(--(INDEX('Reguler Class Availability'!$G:$G,N56)&amp;""),0)/IFERROR(--(INDEX('Reguler Class Availability'!$F:$F,N56)&amp;""),0)&gt;=0.6,"Tinggi","Sebagian"))))))</f>
        <v>Sebagian</v>
      </c>
      <c r="W56" s="0" t="str">
        <f aca="false">IF(O56="","",IF(AND(IFERROR(--(INDEX('Reguler Class Availability'!$F:$F,O56)&amp;""),0)=0,IFERROR(--(INDEX('Reguler Class Availability'!$G:$G,O56)&amp;""),0)=0),IF(OR(INDEX('Reguler Class Availability'!$B:$B,O56)&amp;""&lt;&gt;"",INDEX('Reguler Class Availability'!$I:$I,O56)&amp;""&lt;&gt;""),"Tutup","Tidak dibuka"),IF(IFERROR(--(INDEX('Reguler Class Availability'!$G:$G,O56)&amp;""),0)&gt;IFERROR(--(INDEX('Reguler Class Availability'!$F:$F,O56)&amp;""),0),"Lebih",IF(IFERROR(--(INDEX('Reguler Class Availability'!$G:$G,O56)&amp;""),0)=IFERROR(--(INDEX('Reguler Class Availability'!$F:$F,O56)&amp;""),0),"Penuh",IF(IFERROR(--(INDEX('Reguler Class Availability'!$G:$G,O56)&amp;""),0)=0,IF(INDEX('Reguler Class Availability'!$B:$B,O56)&amp;""="","Kosong","Belum terisi"),IF(IFERROR(--(INDEX('Reguler Class Availability'!$G:$G,O56)&amp;""),0)/IFERROR(--(INDEX('Reguler Class Availability'!$F:$F,O56)&amp;""),0)&gt;=0.6,"Tinggi","Sebagian"))))))</f>
        <v>Penuh</v>
      </c>
      <c r="X56" s="0" t="str">
        <f aca="false">IF(P56="","",IF(AND(IFERROR(--(INDEX('Reguler Class Availability'!$F:$F,P56)&amp;""),0)=0,IFERROR(--(INDEX('Reguler Class Availability'!$G:$G,P56)&amp;""),0)=0),IF(OR(INDEX('Reguler Class Availability'!$B:$B,P56)&amp;""&lt;&gt;"",INDEX('Reguler Class Availability'!$I:$I,P56)&amp;""&lt;&gt;""),"Tutup","Tidak dibuka"),IF(IFERROR(--(INDEX('Reguler Class Availability'!$G:$G,P56)&amp;""),0)&gt;IFERROR(--(INDEX('Reguler Class Availability'!$F:$F,P56)&amp;""),0),"Lebih",IF(IFERROR(--(INDEX('Reguler Class Availability'!$G:$G,P56)&amp;""),0)=IFERROR(--(INDEX('Reguler Class Availability'!$F:$F,P56)&amp;""),0),"Penuh",IF(IFERROR(--(INDEX('Reguler Class Availability'!$G:$G,P56)&amp;""),0)=0,IF(INDEX('Reguler Class Availability'!$B:$B,P56)&amp;""="","Kosong","Belum terisi"),IF(IFERROR(--(INDEX('Reguler Class Availability'!$G:$G,P56)&amp;""),0)/IFERROR(--(INDEX('Reguler Class Availability'!$F:$F,P56)&amp;""),0)&gt;=0.6,"Tinggi","Sebagian"))))))</f>
        <v>Penuh</v>
      </c>
      <c r="Z56" s="4" t="s">
        <v>92</v>
      </c>
      <c r="AA56" s="4" t="n">
        <f aca="false">IF(COUNTIFS('Reguler Class Availability'!$L:$L,$B$4&amp;"|- Lane 1 - *|"&amp;Z56)&gt;0,1,0)</f>
        <v>0</v>
      </c>
      <c r="AB56" s="4" t="n">
        <f aca="false">AA56+AB55</f>
        <v>14</v>
      </c>
    </row>
    <row r="57" customFormat="false" ht="39.75" hidden="false" customHeight="true" outlineLevel="0" collapsed="false">
      <c r="A57" s="39" t="str">
        <f aca="false">IFERROR(INDEX($Z$122:$Z$181,MATCH(6,$AB$122:$AB$181,0)),"")</f>
        <v>11:45</v>
      </c>
      <c r="B57" s="40" t="str">
        <f aca="false">IF(J57="","",IF(R57="Tidak dibuka","–",IF(INDEX('Reguler Class Availability'!$B:$B,J57)&amp;""="","Kosong",PROPER(INDEX('Reguler Class Availability'!$B:$B,J57)&amp;""))&amp;"  "&amp;IFERROR(--(INDEX('Reguler Class Availability'!$G:$G,J57)&amp;""),0)&amp;"/"&amp;IFERROR(--(INDEX('Reguler Class Availability'!$F:$F,J57)&amp;""),0)&amp;IF(IFERROR(--(INDEX('Reguler Class Availability'!$F:$F,J57)&amp;""),0)&gt;0,"  ("&amp;TEXT(IFERROR(--(INDEX('Reguler Class Availability'!$G:$G,J57)&amp;""),0)/IFERROR(--(INDEX('Reguler Class Availability'!$F:$F,J57)&amp;""),0),"0%")&amp;")","")&amp;CHAR(10)&amp;IF(INDEX('Reguler Class Availability'!$I:$I,J57)&amp;""="","coach: –",PROPER(INDEX('Reguler Class Availability'!$I:$I,J57)&amp;""))&amp;IF(INDEX('Reguler Class Availability'!$J:$J,J57)&amp;""="","",CHAR(10)&amp;"asst: "&amp;PROPER(INDEX('Reguler Class Availability'!$J:$J,J57)&amp;""))))</f>
        <v>Little  2/0
Gita</v>
      </c>
      <c r="C57" s="40" t="str">
        <f aca="false">IF(K57="","",IF(S57="Tidak dibuka","–",IF(INDEX('Reguler Class Availability'!$B:$B,K57)&amp;""="","Kosong",PROPER(INDEX('Reguler Class Availability'!$B:$B,K57)&amp;""))&amp;"  "&amp;IFERROR(--(INDEX('Reguler Class Availability'!$G:$G,K57)&amp;""),0)&amp;"/"&amp;IFERROR(--(INDEX('Reguler Class Availability'!$F:$F,K57)&amp;""),0)&amp;IF(IFERROR(--(INDEX('Reguler Class Availability'!$F:$F,K57)&amp;""),0)&gt;0,"  ("&amp;TEXT(IFERROR(--(INDEX('Reguler Class Availability'!$G:$G,K57)&amp;""),0)/IFERROR(--(INDEX('Reguler Class Availability'!$F:$F,K57)&amp;""),0),"0%")&amp;")","")&amp;CHAR(10)&amp;IF(INDEX('Reguler Class Availability'!$I:$I,K57)&amp;""="","coach: –",PROPER(INDEX('Reguler Class Availability'!$I:$I,K57)&amp;""))&amp;IF(INDEX('Reguler Class Availability'!$J:$J,K57)&amp;""="","",CHAR(10)&amp;"asst: "&amp;PROPER(INDEX('Reguler Class Availability'!$J:$J,K57)&amp;""))))</f>
        <v>Little  1/0
Tessa</v>
      </c>
      <c r="D57" s="40" t="str">
        <f aca="false">IF(L57="","",IF(T57="Tidak dibuka","–",IF(INDEX('Reguler Class Availability'!$B:$B,L57)&amp;""="","Kosong",PROPER(INDEX('Reguler Class Availability'!$B:$B,L57)&amp;""))&amp;"  "&amp;IFERROR(--(INDEX('Reguler Class Availability'!$G:$G,L57)&amp;""),0)&amp;"/"&amp;IFERROR(--(INDEX('Reguler Class Availability'!$F:$F,L57)&amp;""),0)&amp;IF(IFERROR(--(INDEX('Reguler Class Availability'!$F:$F,L57)&amp;""),0)&gt;0,"  ("&amp;TEXT(IFERROR(--(INDEX('Reguler Class Availability'!$G:$G,L57)&amp;""),0)/IFERROR(--(INDEX('Reguler Class Availability'!$F:$F,L57)&amp;""),0),"0%")&amp;")","")&amp;CHAR(10)&amp;IF(INDEX('Reguler Class Availability'!$I:$I,L57)&amp;""="","coach: –",PROPER(INDEX('Reguler Class Availability'!$I:$I,L57)&amp;""))&amp;IF(INDEX('Reguler Class Availability'!$J:$J,L57)&amp;""="","",CHAR(10)&amp;"asst: "&amp;PROPER(INDEX('Reguler Class Availability'!$J:$J,L57)&amp;""))))</f>
        <v>Little  0/0
coach: –</v>
      </c>
      <c r="E57" s="40" t="str">
        <f aca="false">IF(M57="","",IF(U57="Tidak dibuka","–",IF(INDEX('Reguler Class Availability'!$B:$B,M57)&amp;""="","Kosong",PROPER(INDEX('Reguler Class Availability'!$B:$B,M57)&amp;""))&amp;"  "&amp;IFERROR(--(INDEX('Reguler Class Availability'!$G:$G,M57)&amp;""),0)&amp;"/"&amp;IFERROR(--(INDEX('Reguler Class Availability'!$F:$F,M57)&amp;""),0)&amp;IF(IFERROR(--(INDEX('Reguler Class Availability'!$F:$F,M57)&amp;""),0)&gt;0,"  ("&amp;TEXT(IFERROR(--(INDEX('Reguler Class Availability'!$G:$G,M57)&amp;""),0)/IFERROR(--(INDEX('Reguler Class Availability'!$F:$F,M57)&amp;""),0),"0%")&amp;")","")&amp;CHAR(10)&amp;IF(INDEX('Reguler Class Availability'!$I:$I,M57)&amp;""="","coach: –",PROPER(INDEX('Reguler Class Availability'!$I:$I,M57)&amp;""))&amp;IF(INDEX('Reguler Class Availability'!$J:$J,M57)&amp;""="","",CHAR(10)&amp;"asst: "&amp;PROPER(INDEX('Reguler Class Availability'!$J:$J,M57)&amp;""))))</f>
        <v>Little  0/0
coach: –</v>
      </c>
      <c r="F57" s="40" t="str">
        <f aca="false">IF(N57="","",IF(V57="Tidak dibuka","–",IF(INDEX('Reguler Class Availability'!$B:$B,N57)&amp;""="","Kosong",PROPER(INDEX('Reguler Class Availability'!$B:$B,N57)&amp;""))&amp;"  "&amp;IFERROR(--(INDEX('Reguler Class Availability'!$G:$G,N57)&amp;""),0)&amp;"/"&amp;IFERROR(--(INDEX('Reguler Class Availability'!$F:$F,N57)&amp;""),0)&amp;IF(IFERROR(--(INDEX('Reguler Class Availability'!$F:$F,N57)&amp;""),0)&gt;0,"  ("&amp;TEXT(IFERROR(--(INDEX('Reguler Class Availability'!$G:$G,N57)&amp;""),0)/IFERROR(--(INDEX('Reguler Class Availability'!$F:$F,N57)&amp;""),0),"0%")&amp;")","")&amp;CHAR(10)&amp;IF(INDEX('Reguler Class Availability'!$I:$I,N57)&amp;""="","coach: –",PROPER(INDEX('Reguler Class Availability'!$I:$I,N57)&amp;""))&amp;IF(INDEX('Reguler Class Availability'!$J:$J,N57)&amp;""="","",CHAR(10)&amp;"asst: "&amp;PROPER(INDEX('Reguler Class Availability'!$J:$J,N57)&amp;""))))</f>
        <v>Little  3/4  (75%)
Rischa</v>
      </c>
      <c r="G57" s="40" t="str">
        <f aca="false">IF(O57="","",IF(W57="Tidak dibuka","–",IF(INDEX('Reguler Class Availability'!$B:$B,O57)&amp;""="","Kosong",PROPER(INDEX('Reguler Class Availability'!$B:$B,O57)&amp;""))&amp;"  "&amp;IFERROR(--(INDEX('Reguler Class Availability'!$G:$G,O57)&amp;""),0)&amp;"/"&amp;IFERROR(--(INDEX('Reguler Class Availability'!$F:$F,O57)&amp;""),0)&amp;IF(IFERROR(--(INDEX('Reguler Class Availability'!$F:$F,O57)&amp;""),0)&gt;0,"  ("&amp;TEXT(IFERROR(--(INDEX('Reguler Class Availability'!$G:$G,O57)&amp;""),0)/IFERROR(--(INDEX('Reguler Class Availability'!$F:$F,O57)&amp;""),0),"0%")&amp;")","")&amp;CHAR(10)&amp;IF(INDEX('Reguler Class Availability'!$I:$I,O57)&amp;""="","coach: –",PROPER(INDEX('Reguler Class Availability'!$I:$I,O57)&amp;""))&amp;IF(INDEX('Reguler Class Availability'!$J:$J,O57)&amp;""="","",CHAR(10)&amp;"asst: "&amp;PROPER(INDEX('Reguler Class Availability'!$J:$J,O57)&amp;""))))</f>
        <v>Little  3/4  (75%)
Zidane</v>
      </c>
      <c r="H57" s="40" t="str">
        <f aca="false">IF(P57="","",IF(X57="Tidak dibuka","–",IF(INDEX('Reguler Class Availability'!$B:$B,P57)&amp;""="","Kosong",PROPER(INDEX('Reguler Class Availability'!$B:$B,P57)&amp;""))&amp;"  "&amp;IFERROR(--(INDEX('Reguler Class Availability'!$G:$G,P57)&amp;""),0)&amp;"/"&amp;IFERROR(--(INDEX('Reguler Class Availability'!$F:$F,P57)&amp;""),0)&amp;IF(IFERROR(--(INDEX('Reguler Class Availability'!$F:$F,P57)&amp;""),0)&gt;0,"  ("&amp;TEXT(IFERROR(--(INDEX('Reguler Class Availability'!$G:$G,P57)&amp;""),0)/IFERROR(--(INDEX('Reguler Class Availability'!$F:$F,P57)&amp;""),0),"0%")&amp;")","")&amp;CHAR(10)&amp;IF(INDEX('Reguler Class Availability'!$I:$I,P57)&amp;""="","coach: –",PROPER(INDEX('Reguler Class Availability'!$I:$I,P57)&amp;""))&amp;IF(INDEX('Reguler Class Availability'!$J:$J,P57)&amp;""="","",CHAR(10)&amp;"asst: "&amp;PROPER(INDEX('Reguler Class Availability'!$J:$J,P57)&amp;""))))</f>
        <v>Little  4/4  (100%)
Nuky</v>
      </c>
      <c r="J57" s="4" t="n">
        <f aca="false">IF($A57="","",IFERROR(MATCH($B$4&amp;"|- Lane 3 - "&amp;B$51&amp;"|"&amp;$A57,'Reguler Class Availability'!$L:$L,0),""))</f>
        <v>189</v>
      </c>
      <c r="K57" s="4" t="n">
        <f aca="false">IF($A57="","",IFERROR(MATCH($B$4&amp;"|- Lane 3 - "&amp;C$51&amp;"|"&amp;$A57,'Reguler Class Availability'!$L:$L,0),""))</f>
        <v>201</v>
      </c>
      <c r="L57" s="4" t="n">
        <f aca="false">IF($A57="","",IFERROR(MATCH($B$4&amp;"|- Lane 3 - "&amp;D$51&amp;"|"&amp;$A57,'Reguler Class Availability'!$L:$L,0),""))</f>
        <v>213</v>
      </c>
      <c r="M57" s="4" t="n">
        <f aca="false">IF($A57="","",IFERROR(MATCH($B$4&amp;"|- Lane 3 - "&amp;E$51&amp;"|"&amp;$A57,'Reguler Class Availability'!$L:$L,0),""))</f>
        <v>225</v>
      </c>
      <c r="N57" s="4" t="n">
        <f aca="false">IF($A57="","",IFERROR(MATCH($B$4&amp;"|- Lane 3 - "&amp;F$51&amp;"|"&amp;$A57,'Reguler Class Availability'!$L:$L,0),""))</f>
        <v>237</v>
      </c>
      <c r="O57" s="4" t="n">
        <f aca="false">IF($A57="","",IFERROR(MATCH($B$4&amp;"|- Lane 3 - "&amp;G$51&amp;"|"&amp;$A57,'Reguler Class Availability'!$L:$L,0),""))</f>
        <v>249</v>
      </c>
      <c r="P57" s="4" t="n">
        <f aca="false">IF($A57="","",IFERROR(MATCH($B$4&amp;"|- Lane 3 - "&amp;H$51&amp;"|"&amp;$A57,'Reguler Class Availability'!$L:$L,0),""))</f>
        <v>261</v>
      </c>
      <c r="R57" s="0" t="str">
        <f aca="false">IF(J57="","",IF(AND(IFERROR(--(INDEX('Reguler Class Availability'!$F:$F,J57)&amp;""),0)=0,IFERROR(--(INDEX('Reguler Class Availability'!$G:$G,J57)&amp;""),0)=0),IF(OR(INDEX('Reguler Class Availability'!$B:$B,J57)&amp;""&lt;&gt;"",INDEX('Reguler Class Availability'!$I:$I,J57)&amp;""&lt;&gt;""),"Tutup","Tidak dibuka"),IF(IFERROR(--(INDEX('Reguler Class Availability'!$G:$G,J57)&amp;""),0)&gt;IFERROR(--(INDEX('Reguler Class Availability'!$F:$F,J57)&amp;""),0),"Lebih",IF(IFERROR(--(INDEX('Reguler Class Availability'!$G:$G,J57)&amp;""),0)=IFERROR(--(INDEX('Reguler Class Availability'!$F:$F,J57)&amp;""),0),"Penuh",IF(IFERROR(--(INDEX('Reguler Class Availability'!$G:$G,J57)&amp;""),0)=0,IF(INDEX('Reguler Class Availability'!$B:$B,J57)&amp;""="","Kosong","Belum terisi"),IF(IFERROR(--(INDEX('Reguler Class Availability'!$G:$G,J57)&amp;""),0)/IFERROR(--(INDEX('Reguler Class Availability'!$F:$F,J57)&amp;""),0)&gt;=0.6,"Tinggi","Sebagian"))))))</f>
        <v>Lebih</v>
      </c>
      <c r="S57" s="0" t="str">
        <f aca="false">IF(K57="","",IF(AND(IFERROR(--(INDEX('Reguler Class Availability'!$F:$F,K57)&amp;""),0)=0,IFERROR(--(INDEX('Reguler Class Availability'!$G:$G,K57)&amp;""),0)=0),IF(OR(INDEX('Reguler Class Availability'!$B:$B,K57)&amp;""&lt;&gt;"",INDEX('Reguler Class Availability'!$I:$I,K57)&amp;""&lt;&gt;""),"Tutup","Tidak dibuka"),IF(IFERROR(--(INDEX('Reguler Class Availability'!$G:$G,K57)&amp;""),0)&gt;IFERROR(--(INDEX('Reguler Class Availability'!$F:$F,K57)&amp;""),0),"Lebih",IF(IFERROR(--(INDEX('Reguler Class Availability'!$G:$G,K57)&amp;""),0)=IFERROR(--(INDEX('Reguler Class Availability'!$F:$F,K57)&amp;""),0),"Penuh",IF(IFERROR(--(INDEX('Reguler Class Availability'!$G:$G,K57)&amp;""),0)=0,IF(INDEX('Reguler Class Availability'!$B:$B,K57)&amp;""="","Kosong","Belum terisi"),IF(IFERROR(--(INDEX('Reguler Class Availability'!$G:$G,K57)&amp;""),0)/IFERROR(--(INDEX('Reguler Class Availability'!$F:$F,K57)&amp;""),0)&gt;=0.6,"Tinggi","Sebagian"))))))</f>
        <v>Lebih</v>
      </c>
      <c r="T57" s="0" t="str">
        <f aca="false">IF(L57="","",IF(AND(IFERROR(--(INDEX('Reguler Class Availability'!$F:$F,L57)&amp;""),0)=0,IFERROR(--(INDEX('Reguler Class Availability'!$G:$G,L57)&amp;""),0)=0),IF(OR(INDEX('Reguler Class Availability'!$B:$B,L57)&amp;""&lt;&gt;"",INDEX('Reguler Class Availability'!$I:$I,L57)&amp;""&lt;&gt;""),"Tutup","Tidak dibuka"),IF(IFERROR(--(INDEX('Reguler Class Availability'!$G:$G,L57)&amp;""),0)&gt;IFERROR(--(INDEX('Reguler Class Availability'!$F:$F,L57)&amp;""),0),"Lebih",IF(IFERROR(--(INDEX('Reguler Class Availability'!$G:$G,L57)&amp;""),0)=IFERROR(--(INDEX('Reguler Class Availability'!$F:$F,L57)&amp;""),0),"Penuh",IF(IFERROR(--(INDEX('Reguler Class Availability'!$G:$G,L57)&amp;""),0)=0,IF(INDEX('Reguler Class Availability'!$B:$B,L57)&amp;""="","Kosong","Belum terisi"),IF(IFERROR(--(INDEX('Reguler Class Availability'!$G:$G,L57)&amp;""),0)/IFERROR(--(INDEX('Reguler Class Availability'!$F:$F,L57)&amp;""),0)&gt;=0.6,"Tinggi","Sebagian"))))))</f>
        <v>Tutup</v>
      </c>
      <c r="U57" s="0" t="str">
        <f aca="false">IF(M57="","",IF(AND(IFERROR(--(INDEX('Reguler Class Availability'!$F:$F,M57)&amp;""),0)=0,IFERROR(--(INDEX('Reguler Class Availability'!$G:$G,M57)&amp;""),0)=0),IF(OR(INDEX('Reguler Class Availability'!$B:$B,M57)&amp;""&lt;&gt;"",INDEX('Reguler Class Availability'!$I:$I,M57)&amp;""&lt;&gt;""),"Tutup","Tidak dibuka"),IF(IFERROR(--(INDEX('Reguler Class Availability'!$G:$G,M57)&amp;""),0)&gt;IFERROR(--(INDEX('Reguler Class Availability'!$F:$F,M57)&amp;""),0),"Lebih",IF(IFERROR(--(INDEX('Reguler Class Availability'!$G:$G,M57)&amp;""),0)=IFERROR(--(INDEX('Reguler Class Availability'!$F:$F,M57)&amp;""),0),"Penuh",IF(IFERROR(--(INDEX('Reguler Class Availability'!$G:$G,M57)&amp;""),0)=0,IF(INDEX('Reguler Class Availability'!$B:$B,M57)&amp;""="","Kosong","Belum terisi"),IF(IFERROR(--(INDEX('Reguler Class Availability'!$G:$G,M57)&amp;""),0)/IFERROR(--(INDEX('Reguler Class Availability'!$F:$F,M57)&amp;""),0)&gt;=0.6,"Tinggi","Sebagian"))))))</f>
        <v>Tutup</v>
      </c>
      <c r="V57" s="0" t="str">
        <f aca="false">IF(N57="","",IF(AND(IFERROR(--(INDEX('Reguler Class Availability'!$F:$F,N57)&amp;""),0)=0,IFERROR(--(INDEX('Reguler Class Availability'!$G:$G,N57)&amp;""),0)=0),IF(OR(INDEX('Reguler Class Availability'!$B:$B,N57)&amp;""&lt;&gt;"",INDEX('Reguler Class Availability'!$I:$I,N57)&amp;""&lt;&gt;""),"Tutup","Tidak dibuka"),IF(IFERROR(--(INDEX('Reguler Class Availability'!$G:$G,N57)&amp;""),0)&gt;IFERROR(--(INDEX('Reguler Class Availability'!$F:$F,N57)&amp;""),0),"Lebih",IF(IFERROR(--(INDEX('Reguler Class Availability'!$G:$G,N57)&amp;""),0)=IFERROR(--(INDEX('Reguler Class Availability'!$F:$F,N57)&amp;""),0),"Penuh",IF(IFERROR(--(INDEX('Reguler Class Availability'!$G:$G,N57)&amp;""),0)=0,IF(INDEX('Reguler Class Availability'!$B:$B,N57)&amp;""="","Kosong","Belum terisi"),IF(IFERROR(--(INDEX('Reguler Class Availability'!$G:$G,N57)&amp;""),0)/IFERROR(--(INDEX('Reguler Class Availability'!$F:$F,N57)&amp;""),0)&gt;=0.6,"Tinggi","Sebagian"))))))</f>
        <v>Tinggi</v>
      </c>
      <c r="W57" s="0" t="str">
        <f aca="false">IF(O57="","",IF(AND(IFERROR(--(INDEX('Reguler Class Availability'!$F:$F,O57)&amp;""),0)=0,IFERROR(--(INDEX('Reguler Class Availability'!$G:$G,O57)&amp;""),0)=0),IF(OR(INDEX('Reguler Class Availability'!$B:$B,O57)&amp;""&lt;&gt;"",INDEX('Reguler Class Availability'!$I:$I,O57)&amp;""&lt;&gt;""),"Tutup","Tidak dibuka"),IF(IFERROR(--(INDEX('Reguler Class Availability'!$G:$G,O57)&amp;""),0)&gt;IFERROR(--(INDEX('Reguler Class Availability'!$F:$F,O57)&amp;""),0),"Lebih",IF(IFERROR(--(INDEX('Reguler Class Availability'!$G:$G,O57)&amp;""),0)=IFERROR(--(INDEX('Reguler Class Availability'!$F:$F,O57)&amp;""),0),"Penuh",IF(IFERROR(--(INDEX('Reguler Class Availability'!$G:$G,O57)&amp;""),0)=0,IF(INDEX('Reguler Class Availability'!$B:$B,O57)&amp;""="","Kosong","Belum terisi"),IF(IFERROR(--(INDEX('Reguler Class Availability'!$G:$G,O57)&amp;""),0)/IFERROR(--(INDEX('Reguler Class Availability'!$F:$F,O57)&amp;""),0)&gt;=0.6,"Tinggi","Sebagian"))))))</f>
        <v>Tinggi</v>
      </c>
      <c r="X57" s="0" t="str">
        <f aca="false">IF(P57="","",IF(AND(IFERROR(--(INDEX('Reguler Class Availability'!$F:$F,P57)&amp;""),0)=0,IFERROR(--(INDEX('Reguler Class Availability'!$G:$G,P57)&amp;""),0)=0),IF(OR(INDEX('Reguler Class Availability'!$B:$B,P57)&amp;""&lt;&gt;"",INDEX('Reguler Class Availability'!$I:$I,P57)&amp;""&lt;&gt;""),"Tutup","Tidak dibuka"),IF(IFERROR(--(INDEX('Reguler Class Availability'!$G:$G,P57)&amp;""),0)&gt;IFERROR(--(INDEX('Reguler Class Availability'!$F:$F,P57)&amp;""),0),"Lebih",IF(IFERROR(--(INDEX('Reguler Class Availability'!$G:$G,P57)&amp;""),0)=IFERROR(--(INDEX('Reguler Class Availability'!$F:$F,P57)&amp;""),0),"Penuh",IF(IFERROR(--(INDEX('Reguler Class Availability'!$G:$G,P57)&amp;""),0)=0,IF(INDEX('Reguler Class Availability'!$B:$B,P57)&amp;""="","Kosong","Belum terisi"),IF(IFERROR(--(INDEX('Reguler Class Availability'!$G:$G,P57)&amp;""),0)/IFERROR(--(INDEX('Reguler Class Availability'!$F:$F,P57)&amp;""),0)&gt;=0.6,"Tinggi","Sebagian"))))))</f>
        <v>Penuh</v>
      </c>
      <c r="Z57" s="4" t="s">
        <v>93</v>
      </c>
      <c r="AA57" s="4" t="n">
        <f aca="false">IF(COUNTIFS('Reguler Class Availability'!$L:$L,$B$4&amp;"|- Lane 1 - *|"&amp;Z57)&gt;0,1,0)</f>
        <v>0</v>
      </c>
      <c r="AB57" s="4" t="n">
        <f aca="false">AA57+AB56</f>
        <v>14</v>
      </c>
    </row>
    <row r="58" customFormat="false" ht="39.75" hidden="false" customHeight="true" outlineLevel="0" collapsed="false">
      <c r="A58" s="39" t="str">
        <f aca="false">IFERROR(INDEX($Z$122:$Z$181,MATCH(7,$AB$122:$AB$181,0)),"")</f>
        <v>13:15</v>
      </c>
      <c r="B58" s="40" t="str">
        <f aca="false">IF(J58="","",IF(R58="Tidak dibuka","–",IF(INDEX('Reguler Class Availability'!$B:$B,J58)&amp;""="","Kosong",PROPER(INDEX('Reguler Class Availability'!$B:$B,J58)&amp;""))&amp;"  "&amp;IFERROR(--(INDEX('Reguler Class Availability'!$G:$G,J58)&amp;""),0)&amp;"/"&amp;IFERROR(--(INDEX('Reguler Class Availability'!$F:$F,J58)&amp;""),0)&amp;IF(IFERROR(--(INDEX('Reguler Class Availability'!$F:$F,J58)&amp;""),0)&gt;0,"  ("&amp;TEXT(IFERROR(--(INDEX('Reguler Class Availability'!$G:$G,J58)&amp;""),0)/IFERROR(--(INDEX('Reguler Class Availability'!$F:$F,J58)&amp;""),0),"0%")&amp;")","")&amp;CHAR(10)&amp;IF(INDEX('Reguler Class Availability'!$I:$I,J58)&amp;""="","coach: –",PROPER(INDEX('Reguler Class Availability'!$I:$I,J58)&amp;""))&amp;IF(INDEX('Reguler Class Availability'!$J:$J,J58)&amp;""="","",CHAR(10)&amp;"asst: "&amp;PROPER(INDEX('Reguler Class Availability'!$J:$J,J58)&amp;""))))</f>
        <v>Little  0/4  (0%)
coach: –</v>
      </c>
      <c r="C58" s="40" t="str">
        <f aca="false">IF(K58="","",IF(S58="Tidak dibuka","–",IF(INDEX('Reguler Class Availability'!$B:$B,K58)&amp;""="","Kosong",PROPER(INDEX('Reguler Class Availability'!$B:$B,K58)&amp;""))&amp;"  "&amp;IFERROR(--(INDEX('Reguler Class Availability'!$G:$G,K58)&amp;""),0)&amp;"/"&amp;IFERROR(--(INDEX('Reguler Class Availability'!$F:$F,K58)&amp;""),0)&amp;IF(IFERROR(--(INDEX('Reguler Class Availability'!$F:$F,K58)&amp;""),0)&gt;0,"  ("&amp;TEXT(IFERROR(--(INDEX('Reguler Class Availability'!$G:$G,K58)&amp;""),0)/IFERROR(--(INDEX('Reguler Class Availability'!$F:$F,K58)&amp;""),0),"0%")&amp;")","")&amp;CHAR(10)&amp;IF(INDEX('Reguler Class Availability'!$I:$I,K58)&amp;""="","coach: –",PROPER(INDEX('Reguler Class Availability'!$I:$I,K58)&amp;""))&amp;IF(INDEX('Reguler Class Availability'!$J:$J,K58)&amp;""="","",CHAR(10)&amp;"asst: "&amp;PROPER(INDEX('Reguler Class Availability'!$J:$J,K58)&amp;""))))</f>
        <v>Little  0/4  (0%)
coach: –</v>
      </c>
      <c r="D58" s="40" t="str">
        <f aca="false">IF(L58="","",IF(T58="Tidak dibuka","–",IF(INDEX('Reguler Class Availability'!$B:$B,L58)&amp;""="","Kosong",PROPER(INDEX('Reguler Class Availability'!$B:$B,L58)&amp;""))&amp;"  "&amp;IFERROR(--(INDEX('Reguler Class Availability'!$G:$G,L58)&amp;""),0)&amp;"/"&amp;IFERROR(--(INDEX('Reguler Class Availability'!$F:$F,L58)&amp;""),0)&amp;IF(IFERROR(--(INDEX('Reguler Class Availability'!$F:$F,L58)&amp;""),0)&gt;0,"  ("&amp;TEXT(IFERROR(--(INDEX('Reguler Class Availability'!$G:$G,L58)&amp;""),0)/IFERROR(--(INDEX('Reguler Class Availability'!$F:$F,L58)&amp;""),0),"0%")&amp;")","")&amp;CHAR(10)&amp;IF(INDEX('Reguler Class Availability'!$I:$I,L58)&amp;""="","coach: –",PROPER(INDEX('Reguler Class Availability'!$I:$I,L58)&amp;""))&amp;IF(INDEX('Reguler Class Availability'!$J:$J,L58)&amp;""="","",CHAR(10)&amp;"asst: "&amp;PROPER(INDEX('Reguler Class Availability'!$J:$J,L58)&amp;""))))</f>
        <v>Little  4/4  (100%)
Zidane</v>
      </c>
      <c r="E58" s="40" t="str">
        <f aca="false">IF(M58="","",IF(U58="Tidak dibuka","–",IF(INDEX('Reguler Class Availability'!$B:$B,M58)&amp;""="","Kosong",PROPER(INDEX('Reguler Class Availability'!$B:$B,M58)&amp;""))&amp;"  "&amp;IFERROR(--(INDEX('Reguler Class Availability'!$G:$G,M58)&amp;""),0)&amp;"/"&amp;IFERROR(--(INDEX('Reguler Class Availability'!$F:$F,M58)&amp;""),0)&amp;IF(IFERROR(--(INDEX('Reguler Class Availability'!$F:$F,M58)&amp;""),0)&gt;0,"  ("&amp;TEXT(IFERROR(--(INDEX('Reguler Class Availability'!$G:$G,M58)&amp;""),0)/IFERROR(--(INDEX('Reguler Class Availability'!$F:$F,M58)&amp;""),0),"0%")&amp;")","")&amp;CHAR(10)&amp;IF(INDEX('Reguler Class Availability'!$I:$I,M58)&amp;""="","coach: –",PROPER(INDEX('Reguler Class Availability'!$I:$I,M58)&amp;""))&amp;IF(INDEX('Reguler Class Availability'!$J:$J,M58)&amp;""="","",CHAR(10)&amp;"asst: "&amp;PROPER(INDEX('Reguler Class Availability'!$J:$J,M58)&amp;""))))</f>
        <v>Little  3/4  (75%)
Daffa</v>
      </c>
      <c r="F58" s="40" t="str">
        <f aca="false">IF(N58="","",IF(V58="Tidak dibuka","–",IF(INDEX('Reguler Class Availability'!$B:$B,N58)&amp;""="","Kosong",PROPER(INDEX('Reguler Class Availability'!$B:$B,N58)&amp;""))&amp;"  "&amp;IFERROR(--(INDEX('Reguler Class Availability'!$G:$G,N58)&amp;""),0)&amp;"/"&amp;IFERROR(--(INDEX('Reguler Class Availability'!$F:$F,N58)&amp;""),0)&amp;IF(IFERROR(--(INDEX('Reguler Class Availability'!$F:$F,N58)&amp;""),0)&gt;0,"  ("&amp;TEXT(IFERROR(--(INDEX('Reguler Class Availability'!$G:$G,N58)&amp;""),0)/IFERROR(--(INDEX('Reguler Class Availability'!$F:$F,N58)&amp;""),0),"0%")&amp;")","")&amp;CHAR(10)&amp;IF(INDEX('Reguler Class Availability'!$I:$I,N58)&amp;""="","coach: –",PROPER(INDEX('Reguler Class Availability'!$I:$I,N58)&amp;""))&amp;IF(INDEX('Reguler Class Availability'!$J:$J,N58)&amp;""="","",CHAR(10)&amp;"asst: "&amp;PROPER(INDEX('Reguler Class Availability'!$J:$J,N58)&amp;""))))</f>
        <v>Little  3/0
Nuky</v>
      </c>
      <c r="G58" s="40" t="str">
        <f aca="false">IF(O58="","",IF(W58="Tidak dibuka","–",IF(INDEX('Reguler Class Availability'!$B:$B,O58)&amp;""="","Kosong",PROPER(INDEX('Reguler Class Availability'!$B:$B,O58)&amp;""))&amp;"  "&amp;IFERROR(--(INDEX('Reguler Class Availability'!$G:$G,O58)&amp;""),0)&amp;"/"&amp;IFERROR(--(INDEX('Reguler Class Availability'!$F:$F,O58)&amp;""),0)&amp;IF(IFERROR(--(INDEX('Reguler Class Availability'!$F:$F,O58)&amp;""),0)&gt;0,"  ("&amp;TEXT(IFERROR(--(INDEX('Reguler Class Availability'!$G:$G,O58)&amp;""),0)/IFERROR(--(INDEX('Reguler Class Availability'!$F:$F,O58)&amp;""),0),"0%")&amp;")","")&amp;CHAR(10)&amp;IF(INDEX('Reguler Class Availability'!$I:$I,O58)&amp;""="","coach: –",PROPER(INDEX('Reguler Class Availability'!$I:$I,O58)&amp;""))&amp;IF(INDEX('Reguler Class Availability'!$J:$J,O58)&amp;""="","",CHAR(10)&amp;"asst: "&amp;PROPER(INDEX('Reguler Class Availability'!$J:$J,O58)&amp;""))))</f>
        <v>Little  4/4  (100%)
Rischa</v>
      </c>
      <c r="H58" s="40" t="str">
        <f aca="false">IF(P58="","",IF(X58="Tidak dibuka","–",IF(INDEX('Reguler Class Availability'!$B:$B,P58)&amp;""="","Kosong",PROPER(INDEX('Reguler Class Availability'!$B:$B,P58)&amp;""))&amp;"  "&amp;IFERROR(--(INDEX('Reguler Class Availability'!$G:$G,P58)&amp;""),0)&amp;"/"&amp;IFERROR(--(INDEX('Reguler Class Availability'!$F:$F,P58)&amp;""),0)&amp;IF(IFERROR(--(INDEX('Reguler Class Availability'!$F:$F,P58)&amp;""),0)&gt;0,"  ("&amp;TEXT(IFERROR(--(INDEX('Reguler Class Availability'!$G:$G,P58)&amp;""),0)/IFERROR(--(INDEX('Reguler Class Availability'!$F:$F,P58)&amp;""),0),"0%")&amp;")","")&amp;CHAR(10)&amp;IF(INDEX('Reguler Class Availability'!$I:$I,P58)&amp;""="","coach: –",PROPER(INDEX('Reguler Class Availability'!$I:$I,P58)&amp;""))&amp;IF(INDEX('Reguler Class Availability'!$J:$J,P58)&amp;""="","",CHAR(10)&amp;"asst: "&amp;PROPER(INDEX('Reguler Class Availability'!$J:$J,P58)&amp;""))))</f>
        <v>Little  3/4  (75%)
Daffa</v>
      </c>
      <c r="J58" s="4" t="n">
        <f aca="false">IF($A58="","",IFERROR(MATCH($B$4&amp;"|- Lane 3 - "&amp;B$51&amp;"|"&amp;$A58,'Reguler Class Availability'!$L:$L,0),""))</f>
        <v>190</v>
      </c>
      <c r="K58" s="4" t="n">
        <f aca="false">IF($A58="","",IFERROR(MATCH($B$4&amp;"|- Lane 3 - "&amp;C$51&amp;"|"&amp;$A58,'Reguler Class Availability'!$L:$L,0),""))</f>
        <v>202</v>
      </c>
      <c r="L58" s="4" t="n">
        <f aca="false">IF($A58="","",IFERROR(MATCH($B$4&amp;"|- Lane 3 - "&amp;D$51&amp;"|"&amp;$A58,'Reguler Class Availability'!$L:$L,0),""))</f>
        <v>214</v>
      </c>
      <c r="M58" s="4" t="n">
        <f aca="false">IF($A58="","",IFERROR(MATCH($B$4&amp;"|- Lane 3 - "&amp;E$51&amp;"|"&amp;$A58,'Reguler Class Availability'!$L:$L,0),""))</f>
        <v>226</v>
      </c>
      <c r="N58" s="4" t="n">
        <f aca="false">IF($A58="","",IFERROR(MATCH($B$4&amp;"|- Lane 3 - "&amp;F$51&amp;"|"&amp;$A58,'Reguler Class Availability'!$L:$L,0),""))</f>
        <v>238</v>
      </c>
      <c r="O58" s="4" t="n">
        <f aca="false">IF($A58="","",IFERROR(MATCH($B$4&amp;"|- Lane 3 - "&amp;G$51&amp;"|"&amp;$A58,'Reguler Class Availability'!$L:$L,0),""))</f>
        <v>250</v>
      </c>
      <c r="P58" s="4" t="n">
        <f aca="false">IF($A58="","",IFERROR(MATCH($B$4&amp;"|- Lane 3 - "&amp;H$51&amp;"|"&amp;$A58,'Reguler Class Availability'!$L:$L,0),""))</f>
        <v>262</v>
      </c>
      <c r="R58" s="0" t="str">
        <f aca="false">IF(J58="","",IF(AND(IFERROR(--(INDEX('Reguler Class Availability'!$F:$F,J58)&amp;""),0)=0,IFERROR(--(INDEX('Reguler Class Availability'!$G:$G,J58)&amp;""),0)=0),IF(OR(INDEX('Reguler Class Availability'!$B:$B,J58)&amp;""&lt;&gt;"",INDEX('Reguler Class Availability'!$I:$I,J58)&amp;""&lt;&gt;""),"Tutup","Tidak dibuka"),IF(IFERROR(--(INDEX('Reguler Class Availability'!$G:$G,J58)&amp;""),0)&gt;IFERROR(--(INDEX('Reguler Class Availability'!$F:$F,J58)&amp;""),0),"Lebih",IF(IFERROR(--(INDEX('Reguler Class Availability'!$G:$G,J58)&amp;""),0)=IFERROR(--(INDEX('Reguler Class Availability'!$F:$F,J58)&amp;""),0),"Penuh",IF(IFERROR(--(INDEX('Reguler Class Availability'!$G:$G,J58)&amp;""),0)=0,IF(INDEX('Reguler Class Availability'!$B:$B,J58)&amp;""="","Kosong","Belum terisi"),IF(IFERROR(--(INDEX('Reguler Class Availability'!$G:$G,J58)&amp;""),0)/IFERROR(--(INDEX('Reguler Class Availability'!$F:$F,J58)&amp;""),0)&gt;=0.6,"Tinggi","Sebagian"))))))</f>
        <v>Belum terisi</v>
      </c>
      <c r="S58" s="0" t="str">
        <f aca="false">IF(K58="","",IF(AND(IFERROR(--(INDEX('Reguler Class Availability'!$F:$F,K58)&amp;""),0)=0,IFERROR(--(INDEX('Reguler Class Availability'!$G:$G,K58)&amp;""),0)=0),IF(OR(INDEX('Reguler Class Availability'!$B:$B,K58)&amp;""&lt;&gt;"",INDEX('Reguler Class Availability'!$I:$I,K58)&amp;""&lt;&gt;""),"Tutup","Tidak dibuka"),IF(IFERROR(--(INDEX('Reguler Class Availability'!$G:$G,K58)&amp;""),0)&gt;IFERROR(--(INDEX('Reguler Class Availability'!$F:$F,K58)&amp;""),0),"Lebih",IF(IFERROR(--(INDEX('Reguler Class Availability'!$G:$G,K58)&amp;""),0)=IFERROR(--(INDEX('Reguler Class Availability'!$F:$F,K58)&amp;""),0),"Penuh",IF(IFERROR(--(INDEX('Reguler Class Availability'!$G:$G,K58)&amp;""),0)=0,IF(INDEX('Reguler Class Availability'!$B:$B,K58)&amp;""="","Kosong","Belum terisi"),IF(IFERROR(--(INDEX('Reguler Class Availability'!$G:$G,K58)&amp;""),0)/IFERROR(--(INDEX('Reguler Class Availability'!$F:$F,K58)&amp;""),0)&gt;=0.6,"Tinggi","Sebagian"))))))</f>
        <v>Belum terisi</v>
      </c>
      <c r="T58" s="0" t="str">
        <f aca="false">IF(L58="","",IF(AND(IFERROR(--(INDEX('Reguler Class Availability'!$F:$F,L58)&amp;""),0)=0,IFERROR(--(INDEX('Reguler Class Availability'!$G:$G,L58)&amp;""),0)=0),IF(OR(INDEX('Reguler Class Availability'!$B:$B,L58)&amp;""&lt;&gt;"",INDEX('Reguler Class Availability'!$I:$I,L58)&amp;""&lt;&gt;""),"Tutup","Tidak dibuka"),IF(IFERROR(--(INDEX('Reguler Class Availability'!$G:$G,L58)&amp;""),0)&gt;IFERROR(--(INDEX('Reguler Class Availability'!$F:$F,L58)&amp;""),0),"Lebih",IF(IFERROR(--(INDEX('Reguler Class Availability'!$G:$G,L58)&amp;""),0)=IFERROR(--(INDEX('Reguler Class Availability'!$F:$F,L58)&amp;""),0),"Penuh",IF(IFERROR(--(INDEX('Reguler Class Availability'!$G:$G,L58)&amp;""),0)=0,IF(INDEX('Reguler Class Availability'!$B:$B,L58)&amp;""="","Kosong","Belum terisi"),IF(IFERROR(--(INDEX('Reguler Class Availability'!$G:$G,L58)&amp;""),0)/IFERROR(--(INDEX('Reguler Class Availability'!$F:$F,L58)&amp;""),0)&gt;=0.6,"Tinggi","Sebagian"))))))</f>
        <v>Penuh</v>
      </c>
      <c r="U58" s="0" t="str">
        <f aca="false">IF(M58="","",IF(AND(IFERROR(--(INDEX('Reguler Class Availability'!$F:$F,M58)&amp;""),0)=0,IFERROR(--(INDEX('Reguler Class Availability'!$G:$G,M58)&amp;""),0)=0),IF(OR(INDEX('Reguler Class Availability'!$B:$B,M58)&amp;""&lt;&gt;"",INDEX('Reguler Class Availability'!$I:$I,M58)&amp;""&lt;&gt;""),"Tutup","Tidak dibuka"),IF(IFERROR(--(INDEX('Reguler Class Availability'!$G:$G,M58)&amp;""),0)&gt;IFERROR(--(INDEX('Reguler Class Availability'!$F:$F,M58)&amp;""),0),"Lebih",IF(IFERROR(--(INDEX('Reguler Class Availability'!$G:$G,M58)&amp;""),0)=IFERROR(--(INDEX('Reguler Class Availability'!$F:$F,M58)&amp;""),0),"Penuh",IF(IFERROR(--(INDEX('Reguler Class Availability'!$G:$G,M58)&amp;""),0)=0,IF(INDEX('Reguler Class Availability'!$B:$B,M58)&amp;""="","Kosong","Belum terisi"),IF(IFERROR(--(INDEX('Reguler Class Availability'!$G:$G,M58)&amp;""),0)/IFERROR(--(INDEX('Reguler Class Availability'!$F:$F,M58)&amp;""),0)&gt;=0.6,"Tinggi","Sebagian"))))))</f>
        <v>Tinggi</v>
      </c>
      <c r="V58" s="0" t="str">
        <f aca="false">IF(N58="","",IF(AND(IFERROR(--(INDEX('Reguler Class Availability'!$F:$F,N58)&amp;""),0)=0,IFERROR(--(INDEX('Reguler Class Availability'!$G:$G,N58)&amp;""),0)=0),IF(OR(INDEX('Reguler Class Availability'!$B:$B,N58)&amp;""&lt;&gt;"",INDEX('Reguler Class Availability'!$I:$I,N58)&amp;""&lt;&gt;""),"Tutup","Tidak dibuka"),IF(IFERROR(--(INDEX('Reguler Class Availability'!$G:$G,N58)&amp;""),0)&gt;IFERROR(--(INDEX('Reguler Class Availability'!$F:$F,N58)&amp;""),0),"Lebih",IF(IFERROR(--(INDEX('Reguler Class Availability'!$G:$G,N58)&amp;""),0)=IFERROR(--(INDEX('Reguler Class Availability'!$F:$F,N58)&amp;""),0),"Penuh",IF(IFERROR(--(INDEX('Reguler Class Availability'!$G:$G,N58)&amp;""),0)=0,IF(INDEX('Reguler Class Availability'!$B:$B,N58)&amp;""="","Kosong","Belum terisi"),IF(IFERROR(--(INDEX('Reguler Class Availability'!$G:$G,N58)&amp;""),0)/IFERROR(--(INDEX('Reguler Class Availability'!$F:$F,N58)&amp;""),0)&gt;=0.6,"Tinggi","Sebagian"))))))</f>
        <v>Lebih</v>
      </c>
      <c r="W58" s="0" t="str">
        <f aca="false">IF(O58="","",IF(AND(IFERROR(--(INDEX('Reguler Class Availability'!$F:$F,O58)&amp;""),0)=0,IFERROR(--(INDEX('Reguler Class Availability'!$G:$G,O58)&amp;""),0)=0),IF(OR(INDEX('Reguler Class Availability'!$B:$B,O58)&amp;""&lt;&gt;"",INDEX('Reguler Class Availability'!$I:$I,O58)&amp;""&lt;&gt;""),"Tutup","Tidak dibuka"),IF(IFERROR(--(INDEX('Reguler Class Availability'!$G:$G,O58)&amp;""),0)&gt;IFERROR(--(INDEX('Reguler Class Availability'!$F:$F,O58)&amp;""),0),"Lebih",IF(IFERROR(--(INDEX('Reguler Class Availability'!$G:$G,O58)&amp;""),0)=IFERROR(--(INDEX('Reguler Class Availability'!$F:$F,O58)&amp;""),0),"Penuh",IF(IFERROR(--(INDEX('Reguler Class Availability'!$G:$G,O58)&amp;""),0)=0,IF(INDEX('Reguler Class Availability'!$B:$B,O58)&amp;""="","Kosong","Belum terisi"),IF(IFERROR(--(INDEX('Reguler Class Availability'!$G:$G,O58)&amp;""),0)/IFERROR(--(INDEX('Reguler Class Availability'!$F:$F,O58)&amp;""),0)&gt;=0.6,"Tinggi","Sebagian"))))))</f>
        <v>Penuh</v>
      </c>
      <c r="X58" s="0" t="str">
        <f aca="false">IF(P58="","",IF(AND(IFERROR(--(INDEX('Reguler Class Availability'!$F:$F,P58)&amp;""),0)=0,IFERROR(--(INDEX('Reguler Class Availability'!$G:$G,P58)&amp;""),0)=0),IF(OR(INDEX('Reguler Class Availability'!$B:$B,P58)&amp;""&lt;&gt;"",INDEX('Reguler Class Availability'!$I:$I,P58)&amp;""&lt;&gt;""),"Tutup","Tidak dibuka"),IF(IFERROR(--(INDEX('Reguler Class Availability'!$G:$G,P58)&amp;""),0)&gt;IFERROR(--(INDEX('Reguler Class Availability'!$F:$F,P58)&amp;""),0),"Lebih",IF(IFERROR(--(INDEX('Reguler Class Availability'!$G:$G,P58)&amp;""),0)=IFERROR(--(INDEX('Reguler Class Availability'!$F:$F,P58)&amp;""),0),"Penuh",IF(IFERROR(--(INDEX('Reguler Class Availability'!$G:$G,P58)&amp;""),0)=0,IF(INDEX('Reguler Class Availability'!$B:$B,P58)&amp;""="","Kosong","Belum terisi"),IF(IFERROR(--(INDEX('Reguler Class Availability'!$G:$G,P58)&amp;""),0)/IFERROR(--(INDEX('Reguler Class Availability'!$F:$F,P58)&amp;""),0)&gt;=0.6,"Tinggi","Sebagian"))))))</f>
        <v>Tinggi</v>
      </c>
      <c r="Z58" s="4" t="s">
        <v>94</v>
      </c>
      <c r="AA58" s="4" t="n">
        <f aca="false">IF(COUNTIFS('Reguler Class Availability'!$L:$L,$B$4&amp;"|- Lane 1 - *|"&amp;Z58)&gt;0,1,0)</f>
        <v>0</v>
      </c>
      <c r="AB58" s="4" t="n">
        <f aca="false">AA58+AB57</f>
        <v>14</v>
      </c>
    </row>
    <row r="59" customFormat="false" ht="39.75" hidden="false" customHeight="true" outlineLevel="0" collapsed="false">
      <c r="A59" s="39" t="str">
        <f aca="false">IFERROR(INDEX($Z$122:$Z$181,MATCH(8,$AB$122:$AB$181,0)),"")</f>
        <v>14:00</v>
      </c>
      <c r="B59" s="40" t="str">
        <f aca="false">IF(J59="","",IF(R59="Tidak dibuka","–",IF(INDEX('Reguler Class Availability'!$B:$B,J59)&amp;""="","Kosong",PROPER(INDEX('Reguler Class Availability'!$B:$B,J59)&amp;""))&amp;"  "&amp;IFERROR(--(INDEX('Reguler Class Availability'!$G:$G,J59)&amp;""),0)&amp;"/"&amp;IFERROR(--(INDEX('Reguler Class Availability'!$F:$F,J59)&amp;""),0)&amp;IF(IFERROR(--(INDEX('Reguler Class Availability'!$F:$F,J59)&amp;""),0)&gt;0,"  ("&amp;TEXT(IFERROR(--(INDEX('Reguler Class Availability'!$G:$G,J59)&amp;""),0)/IFERROR(--(INDEX('Reguler Class Availability'!$F:$F,J59)&amp;""),0),"0%")&amp;")","")&amp;CHAR(10)&amp;IF(INDEX('Reguler Class Availability'!$I:$I,J59)&amp;""="","coach: –",PROPER(INDEX('Reguler Class Availability'!$I:$I,J59)&amp;""))&amp;IF(INDEX('Reguler Class Availability'!$J:$J,J59)&amp;""="","",CHAR(10)&amp;"asst: "&amp;PROPER(INDEX('Reguler Class Availability'!$J:$J,J59)&amp;""))))</f>
        <v>Little  2/4  (50%)
Zidane</v>
      </c>
      <c r="C59" s="40" t="str">
        <f aca="false">IF(K59="","",IF(S59="Tidak dibuka","–",IF(INDEX('Reguler Class Availability'!$B:$B,K59)&amp;""="","Kosong",PROPER(INDEX('Reguler Class Availability'!$B:$B,K59)&amp;""))&amp;"  "&amp;IFERROR(--(INDEX('Reguler Class Availability'!$G:$G,K59)&amp;""),0)&amp;"/"&amp;IFERROR(--(INDEX('Reguler Class Availability'!$F:$F,K59)&amp;""),0)&amp;IF(IFERROR(--(INDEX('Reguler Class Availability'!$F:$F,K59)&amp;""),0)&gt;0,"  ("&amp;TEXT(IFERROR(--(INDEX('Reguler Class Availability'!$G:$G,K59)&amp;""),0)/IFERROR(--(INDEX('Reguler Class Availability'!$F:$F,K59)&amp;""),0),"0%")&amp;")","")&amp;CHAR(10)&amp;IF(INDEX('Reguler Class Availability'!$I:$I,K59)&amp;""="","coach: –",PROPER(INDEX('Reguler Class Availability'!$I:$I,K59)&amp;""))&amp;IF(INDEX('Reguler Class Availability'!$J:$J,K59)&amp;""="","",CHAR(10)&amp;"asst: "&amp;PROPER(INDEX('Reguler Class Availability'!$J:$J,K59)&amp;""))))</f>
        <v>Little  3/4  (75%)
Danti</v>
      </c>
      <c r="D59" s="40" t="str">
        <f aca="false">IF(L59="","",IF(T59="Tidak dibuka","–",IF(INDEX('Reguler Class Availability'!$B:$B,L59)&amp;""="","Kosong",PROPER(INDEX('Reguler Class Availability'!$B:$B,L59)&amp;""))&amp;"  "&amp;IFERROR(--(INDEX('Reguler Class Availability'!$G:$G,L59)&amp;""),0)&amp;"/"&amp;IFERROR(--(INDEX('Reguler Class Availability'!$F:$F,L59)&amp;""),0)&amp;IF(IFERROR(--(INDEX('Reguler Class Availability'!$F:$F,L59)&amp;""),0)&gt;0,"  ("&amp;TEXT(IFERROR(--(INDEX('Reguler Class Availability'!$G:$G,L59)&amp;""),0)/IFERROR(--(INDEX('Reguler Class Availability'!$F:$F,L59)&amp;""),0),"0%")&amp;")","")&amp;CHAR(10)&amp;IF(INDEX('Reguler Class Availability'!$I:$I,L59)&amp;""="","coach: –",PROPER(INDEX('Reguler Class Availability'!$I:$I,L59)&amp;""))&amp;IF(INDEX('Reguler Class Availability'!$J:$J,L59)&amp;""="","",CHAR(10)&amp;"asst: "&amp;PROPER(INDEX('Reguler Class Availability'!$J:$J,L59)&amp;""))))</f>
        <v>Little  3/4  (75%)
Eka</v>
      </c>
      <c r="E59" s="40" t="str">
        <f aca="false">IF(M59="","",IF(U59="Tidak dibuka","–",IF(INDEX('Reguler Class Availability'!$B:$B,M59)&amp;""="","Kosong",PROPER(INDEX('Reguler Class Availability'!$B:$B,M59)&amp;""))&amp;"  "&amp;IFERROR(--(INDEX('Reguler Class Availability'!$G:$G,M59)&amp;""),0)&amp;"/"&amp;IFERROR(--(INDEX('Reguler Class Availability'!$F:$F,M59)&amp;""),0)&amp;IF(IFERROR(--(INDEX('Reguler Class Availability'!$F:$F,M59)&amp;""),0)&gt;0,"  ("&amp;TEXT(IFERROR(--(INDEX('Reguler Class Availability'!$G:$G,M59)&amp;""),0)/IFERROR(--(INDEX('Reguler Class Availability'!$F:$F,M59)&amp;""),0),"0%")&amp;")","")&amp;CHAR(10)&amp;IF(INDEX('Reguler Class Availability'!$I:$I,M59)&amp;""="","coach: –",PROPER(INDEX('Reguler Class Availability'!$I:$I,M59)&amp;""))&amp;IF(INDEX('Reguler Class Availability'!$J:$J,M59)&amp;""="","",CHAR(10)&amp;"asst: "&amp;PROPER(INDEX('Reguler Class Availability'!$J:$J,M59)&amp;""))))</f>
        <v>Little  4/4  (100%)
Nuky</v>
      </c>
      <c r="F59" s="40" t="str">
        <f aca="false">IF(N59="","",IF(V59="Tidak dibuka","–",IF(INDEX('Reguler Class Availability'!$B:$B,N59)&amp;""="","Kosong",PROPER(INDEX('Reguler Class Availability'!$B:$B,N59)&amp;""))&amp;"  "&amp;IFERROR(--(INDEX('Reguler Class Availability'!$G:$G,N59)&amp;""),0)&amp;"/"&amp;IFERROR(--(INDEX('Reguler Class Availability'!$F:$F,N59)&amp;""),0)&amp;IF(IFERROR(--(INDEX('Reguler Class Availability'!$F:$F,N59)&amp;""),0)&gt;0,"  ("&amp;TEXT(IFERROR(--(INDEX('Reguler Class Availability'!$G:$G,N59)&amp;""),0)/IFERROR(--(INDEX('Reguler Class Availability'!$F:$F,N59)&amp;""),0),"0%")&amp;")","")&amp;CHAR(10)&amp;IF(INDEX('Reguler Class Availability'!$I:$I,N59)&amp;""="","coach: –",PROPER(INDEX('Reguler Class Availability'!$I:$I,N59)&amp;""))&amp;IF(INDEX('Reguler Class Availability'!$J:$J,N59)&amp;""="","",CHAR(10)&amp;"asst: "&amp;PROPER(INDEX('Reguler Class Availability'!$J:$J,N59)&amp;""))))</f>
        <v>Little  2/4  (50%)
Dian</v>
      </c>
      <c r="G59" s="40" t="str">
        <f aca="false">IF(O59="","",IF(W59="Tidak dibuka","–",IF(INDEX('Reguler Class Availability'!$B:$B,O59)&amp;""="","Kosong",PROPER(INDEX('Reguler Class Availability'!$B:$B,O59)&amp;""))&amp;"  "&amp;IFERROR(--(INDEX('Reguler Class Availability'!$G:$G,O59)&amp;""),0)&amp;"/"&amp;IFERROR(--(INDEX('Reguler Class Availability'!$F:$F,O59)&amp;""),0)&amp;IF(IFERROR(--(INDEX('Reguler Class Availability'!$F:$F,O59)&amp;""),0)&gt;0,"  ("&amp;TEXT(IFERROR(--(INDEX('Reguler Class Availability'!$G:$G,O59)&amp;""),0)/IFERROR(--(INDEX('Reguler Class Availability'!$F:$F,O59)&amp;""),0),"0%")&amp;")","")&amp;CHAR(10)&amp;IF(INDEX('Reguler Class Availability'!$I:$I,O59)&amp;""="","coach: –",PROPER(INDEX('Reguler Class Availability'!$I:$I,O59)&amp;""))&amp;IF(INDEX('Reguler Class Availability'!$J:$J,O59)&amp;""="","",CHAR(10)&amp;"asst: "&amp;PROPER(INDEX('Reguler Class Availability'!$J:$J,O59)&amp;""))))</f>
        <v>Little  2/4  (50%)
Danti</v>
      </c>
      <c r="H59" s="40" t="str">
        <f aca="false">IF(P59="","",IF(X59="Tidak dibuka","–",IF(INDEX('Reguler Class Availability'!$B:$B,P59)&amp;""="","Kosong",PROPER(INDEX('Reguler Class Availability'!$B:$B,P59)&amp;""))&amp;"  "&amp;IFERROR(--(INDEX('Reguler Class Availability'!$G:$G,P59)&amp;""),0)&amp;"/"&amp;IFERROR(--(INDEX('Reguler Class Availability'!$F:$F,P59)&amp;""),0)&amp;IF(IFERROR(--(INDEX('Reguler Class Availability'!$F:$F,P59)&amp;""),0)&gt;0,"  ("&amp;TEXT(IFERROR(--(INDEX('Reguler Class Availability'!$G:$G,P59)&amp;""),0)/IFERROR(--(INDEX('Reguler Class Availability'!$F:$F,P59)&amp;""),0),"0%")&amp;")","")&amp;CHAR(10)&amp;IF(INDEX('Reguler Class Availability'!$I:$I,P59)&amp;""="","coach: –",PROPER(INDEX('Reguler Class Availability'!$I:$I,P59)&amp;""))&amp;IF(INDEX('Reguler Class Availability'!$J:$J,P59)&amp;""="","",CHAR(10)&amp;"asst: "&amp;PROPER(INDEX('Reguler Class Availability'!$J:$J,P59)&amp;""))))</f>
        <v>Little  3/4  (75%)
Zidane</v>
      </c>
      <c r="J59" s="4" t="n">
        <f aca="false">IF($A59="","",IFERROR(MATCH($B$4&amp;"|- Lane 3 - "&amp;B$51&amp;"|"&amp;$A59,'Reguler Class Availability'!$L:$L,0),""))</f>
        <v>191</v>
      </c>
      <c r="K59" s="4" t="n">
        <f aca="false">IF($A59="","",IFERROR(MATCH($B$4&amp;"|- Lane 3 - "&amp;C$51&amp;"|"&amp;$A59,'Reguler Class Availability'!$L:$L,0),""))</f>
        <v>203</v>
      </c>
      <c r="L59" s="4" t="n">
        <f aca="false">IF($A59="","",IFERROR(MATCH($B$4&amp;"|- Lane 3 - "&amp;D$51&amp;"|"&amp;$A59,'Reguler Class Availability'!$L:$L,0),""))</f>
        <v>215</v>
      </c>
      <c r="M59" s="4" t="n">
        <f aca="false">IF($A59="","",IFERROR(MATCH($B$4&amp;"|- Lane 3 - "&amp;E$51&amp;"|"&amp;$A59,'Reguler Class Availability'!$L:$L,0),""))</f>
        <v>227</v>
      </c>
      <c r="N59" s="4" t="n">
        <f aca="false">IF($A59="","",IFERROR(MATCH($B$4&amp;"|- Lane 3 - "&amp;F$51&amp;"|"&amp;$A59,'Reguler Class Availability'!$L:$L,0),""))</f>
        <v>239</v>
      </c>
      <c r="O59" s="4" t="n">
        <f aca="false">IF($A59="","",IFERROR(MATCH($B$4&amp;"|- Lane 3 - "&amp;G$51&amp;"|"&amp;$A59,'Reguler Class Availability'!$L:$L,0),""))</f>
        <v>251</v>
      </c>
      <c r="P59" s="4" t="n">
        <f aca="false">IF($A59="","",IFERROR(MATCH($B$4&amp;"|- Lane 3 - "&amp;H$51&amp;"|"&amp;$A59,'Reguler Class Availability'!$L:$L,0),""))</f>
        <v>263</v>
      </c>
      <c r="R59" s="0" t="str">
        <f aca="false">IF(J59="","",IF(AND(IFERROR(--(INDEX('Reguler Class Availability'!$F:$F,J59)&amp;""),0)=0,IFERROR(--(INDEX('Reguler Class Availability'!$G:$G,J59)&amp;""),0)=0),IF(OR(INDEX('Reguler Class Availability'!$B:$B,J59)&amp;""&lt;&gt;"",INDEX('Reguler Class Availability'!$I:$I,J59)&amp;""&lt;&gt;""),"Tutup","Tidak dibuka"),IF(IFERROR(--(INDEX('Reguler Class Availability'!$G:$G,J59)&amp;""),0)&gt;IFERROR(--(INDEX('Reguler Class Availability'!$F:$F,J59)&amp;""),0),"Lebih",IF(IFERROR(--(INDEX('Reguler Class Availability'!$G:$G,J59)&amp;""),0)=IFERROR(--(INDEX('Reguler Class Availability'!$F:$F,J59)&amp;""),0),"Penuh",IF(IFERROR(--(INDEX('Reguler Class Availability'!$G:$G,J59)&amp;""),0)=0,IF(INDEX('Reguler Class Availability'!$B:$B,J59)&amp;""="","Kosong","Belum terisi"),IF(IFERROR(--(INDEX('Reguler Class Availability'!$G:$G,J59)&amp;""),0)/IFERROR(--(INDEX('Reguler Class Availability'!$F:$F,J59)&amp;""),0)&gt;=0.6,"Tinggi","Sebagian"))))))</f>
        <v>Sebagian</v>
      </c>
      <c r="S59" s="0" t="str">
        <f aca="false">IF(K59="","",IF(AND(IFERROR(--(INDEX('Reguler Class Availability'!$F:$F,K59)&amp;""),0)=0,IFERROR(--(INDEX('Reguler Class Availability'!$G:$G,K59)&amp;""),0)=0),IF(OR(INDEX('Reguler Class Availability'!$B:$B,K59)&amp;""&lt;&gt;"",INDEX('Reguler Class Availability'!$I:$I,K59)&amp;""&lt;&gt;""),"Tutup","Tidak dibuka"),IF(IFERROR(--(INDEX('Reguler Class Availability'!$G:$G,K59)&amp;""),0)&gt;IFERROR(--(INDEX('Reguler Class Availability'!$F:$F,K59)&amp;""),0),"Lebih",IF(IFERROR(--(INDEX('Reguler Class Availability'!$G:$G,K59)&amp;""),0)=IFERROR(--(INDEX('Reguler Class Availability'!$F:$F,K59)&amp;""),0),"Penuh",IF(IFERROR(--(INDEX('Reguler Class Availability'!$G:$G,K59)&amp;""),0)=0,IF(INDEX('Reguler Class Availability'!$B:$B,K59)&amp;""="","Kosong","Belum terisi"),IF(IFERROR(--(INDEX('Reguler Class Availability'!$G:$G,K59)&amp;""),0)/IFERROR(--(INDEX('Reguler Class Availability'!$F:$F,K59)&amp;""),0)&gt;=0.6,"Tinggi","Sebagian"))))))</f>
        <v>Tinggi</v>
      </c>
      <c r="T59" s="0" t="str">
        <f aca="false">IF(L59="","",IF(AND(IFERROR(--(INDEX('Reguler Class Availability'!$F:$F,L59)&amp;""),0)=0,IFERROR(--(INDEX('Reguler Class Availability'!$G:$G,L59)&amp;""),0)=0),IF(OR(INDEX('Reguler Class Availability'!$B:$B,L59)&amp;""&lt;&gt;"",INDEX('Reguler Class Availability'!$I:$I,L59)&amp;""&lt;&gt;""),"Tutup","Tidak dibuka"),IF(IFERROR(--(INDEX('Reguler Class Availability'!$G:$G,L59)&amp;""),0)&gt;IFERROR(--(INDEX('Reguler Class Availability'!$F:$F,L59)&amp;""),0),"Lebih",IF(IFERROR(--(INDEX('Reguler Class Availability'!$G:$G,L59)&amp;""),0)=IFERROR(--(INDEX('Reguler Class Availability'!$F:$F,L59)&amp;""),0),"Penuh",IF(IFERROR(--(INDEX('Reguler Class Availability'!$G:$G,L59)&amp;""),0)=0,IF(INDEX('Reguler Class Availability'!$B:$B,L59)&amp;""="","Kosong","Belum terisi"),IF(IFERROR(--(INDEX('Reguler Class Availability'!$G:$G,L59)&amp;""),0)/IFERROR(--(INDEX('Reguler Class Availability'!$F:$F,L59)&amp;""),0)&gt;=0.6,"Tinggi","Sebagian"))))))</f>
        <v>Tinggi</v>
      </c>
      <c r="U59" s="0" t="str">
        <f aca="false">IF(M59="","",IF(AND(IFERROR(--(INDEX('Reguler Class Availability'!$F:$F,M59)&amp;""),0)=0,IFERROR(--(INDEX('Reguler Class Availability'!$G:$G,M59)&amp;""),0)=0),IF(OR(INDEX('Reguler Class Availability'!$B:$B,M59)&amp;""&lt;&gt;"",INDEX('Reguler Class Availability'!$I:$I,M59)&amp;""&lt;&gt;""),"Tutup","Tidak dibuka"),IF(IFERROR(--(INDEX('Reguler Class Availability'!$G:$G,M59)&amp;""),0)&gt;IFERROR(--(INDEX('Reguler Class Availability'!$F:$F,M59)&amp;""),0),"Lebih",IF(IFERROR(--(INDEX('Reguler Class Availability'!$G:$G,M59)&amp;""),0)=IFERROR(--(INDEX('Reguler Class Availability'!$F:$F,M59)&amp;""),0),"Penuh",IF(IFERROR(--(INDEX('Reguler Class Availability'!$G:$G,M59)&amp;""),0)=0,IF(INDEX('Reguler Class Availability'!$B:$B,M59)&amp;""="","Kosong","Belum terisi"),IF(IFERROR(--(INDEX('Reguler Class Availability'!$G:$G,M59)&amp;""),0)/IFERROR(--(INDEX('Reguler Class Availability'!$F:$F,M59)&amp;""),0)&gt;=0.6,"Tinggi","Sebagian"))))))</f>
        <v>Penuh</v>
      </c>
      <c r="V59" s="0" t="str">
        <f aca="false">IF(N59="","",IF(AND(IFERROR(--(INDEX('Reguler Class Availability'!$F:$F,N59)&amp;""),0)=0,IFERROR(--(INDEX('Reguler Class Availability'!$G:$G,N59)&amp;""),0)=0),IF(OR(INDEX('Reguler Class Availability'!$B:$B,N59)&amp;""&lt;&gt;"",INDEX('Reguler Class Availability'!$I:$I,N59)&amp;""&lt;&gt;""),"Tutup","Tidak dibuka"),IF(IFERROR(--(INDEX('Reguler Class Availability'!$G:$G,N59)&amp;""),0)&gt;IFERROR(--(INDEX('Reguler Class Availability'!$F:$F,N59)&amp;""),0),"Lebih",IF(IFERROR(--(INDEX('Reguler Class Availability'!$G:$G,N59)&amp;""),0)=IFERROR(--(INDEX('Reguler Class Availability'!$F:$F,N59)&amp;""),0),"Penuh",IF(IFERROR(--(INDEX('Reguler Class Availability'!$G:$G,N59)&amp;""),0)=0,IF(INDEX('Reguler Class Availability'!$B:$B,N59)&amp;""="","Kosong","Belum terisi"),IF(IFERROR(--(INDEX('Reguler Class Availability'!$G:$G,N59)&amp;""),0)/IFERROR(--(INDEX('Reguler Class Availability'!$F:$F,N59)&amp;""),0)&gt;=0.6,"Tinggi","Sebagian"))))))</f>
        <v>Sebagian</v>
      </c>
      <c r="W59" s="0" t="str">
        <f aca="false">IF(O59="","",IF(AND(IFERROR(--(INDEX('Reguler Class Availability'!$F:$F,O59)&amp;""),0)=0,IFERROR(--(INDEX('Reguler Class Availability'!$G:$G,O59)&amp;""),0)=0),IF(OR(INDEX('Reguler Class Availability'!$B:$B,O59)&amp;""&lt;&gt;"",INDEX('Reguler Class Availability'!$I:$I,O59)&amp;""&lt;&gt;""),"Tutup","Tidak dibuka"),IF(IFERROR(--(INDEX('Reguler Class Availability'!$G:$G,O59)&amp;""),0)&gt;IFERROR(--(INDEX('Reguler Class Availability'!$F:$F,O59)&amp;""),0),"Lebih",IF(IFERROR(--(INDEX('Reguler Class Availability'!$G:$G,O59)&amp;""),0)=IFERROR(--(INDEX('Reguler Class Availability'!$F:$F,O59)&amp;""),0),"Penuh",IF(IFERROR(--(INDEX('Reguler Class Availability'!$G:$G,O59)&amp;""),0)=0,IF(INDEX('Reguler Class Availability'!$B:$B,O59)&amp;""="","Kosong","Belum terisi"),IF(IFERROR(--(INDEX('Reguler Class Availability'!$G:$G,O59)&amp;""),0)/IFERROR(--(INDEX('Reguler Class Availability'!$F:$F,O59)&amp;""),0)&gt;=0.6,"Tinggi","Sebagian"))))))</f>
        <v>Sebagian</v>
      </c>
      <c r="X59" s="0" t="str">
        <f aca="false">IF(P59="","",IF(AND(IFERROR(--(INDEX('Reguler Class Availability'!$F:$F,P59)&amp;""),0)=0,IFERROR(--(INDEX('Reguler Class Availability'!$G:$G,P59)&amp;""),0)=0),IF(OR(INDEX('Reguler Class Availability'!$B:$B,P59)&amp;""&lt;&gt;"",INDEX('Reguler Class Availability'!$I:$I,P59)&amp;""&lt;&gt;""),"Tutup","Tidak dibuka"),IF(IFERROR(--(INDEX('Reguler Class Availability'!$G:$G,P59)&amp;""),0)&gt;IFERROR(--(INDEX('Reguler Class Availability'!$F:$F,P59)&amp;""),0),"Lebih",IF(IFERROR(--(INDEX('Reguler Class Availability'!$G:$G,P59)&amp;""),0)=IFERROR(--(INDEX('Reguler Class Availability'!$F:$F,P59)&amp;""),0),"Penuh",IF(IFERROR(--(INDEX('Reguler Class Availability'!$G:$G,P59)&amp;""),0)=0,IF(INDEX('Reguler Class Availability'!$B:$B,P59)&amp;""="","Kosong","Belum terisi"),IF(IFERROR(--(INDEX('Reguler Class Availability'!$G:$G,P59)&amp;""),0)/IFERROR(--(INDEX('Reguler Class Availability'!$F:$F,P59)&amp;""),0)&gt;=0.6,"Tinggi","Sebagian"))))))</f>
        <v>Tinggi</v>
      </c>
      <c r="Z59" s="4" t="s">
        <v>95</v>
      </c>
      <c r="AA59" s="4" t="n">
        <f aca="false">IF(COUNTIFS('Reguler Class Availability'!$L:$L,$B$4&amp;"|- Lane 1 - *|"&amp;Z59)&gt;0,1,0)</f>
        <v>0</v>
      </c>
      <c r="AB59" s="4" t="n">
        <f aca="false">AA59+AB58</f>
        <v>14</v>
      </c>
    </row>
    <row r="60" customFormat="false" ht="39.75" hidden="false" customHeight="true" outlineLevel="0" collapsed="false">
      <c r="A60" s="39" t="str">
        <f aca="false">IFERROR(INDEX($Z$122:$Z$181,MATCH(9,$AB$122:$AB$181,0)),"")</f>
        <v>14:45</v>
      </c>
      <c r="B60" s="40" t="str">
        <f aca="false">IF(J60="","",IF(R60="Tidak dibuka","–",IF(INDEX('Reguler Class Availability'!$B:$B,J60)&amp;""="","Kosong",PROPER(INDEX('Reguler Class Availability'!$B:$B,J60)&amp;""))&amp;"  "&amp;IFERROR(--(INDEX('Reguler Class Availability'!$G:$G,J60)&amp;""),0)&amp;"/"&amp;IFERROR(--(INDEX('Reguler Class Availability'!$F:$F,J60)&amp;""),0)&amp;IF(IFERROR(--(INDEX('Reguler Class Availability'!$F:$F,J60)&amp;""),0)&gt;0,"  ("&amp;TEXT(IFERROR(--(INDEX('Reguler Class Availability'!$G:$G,J60)&amp;""),0)/IFERROR(--(INDEX('Reguler Class Availability'!$F:$F,J60)&amp;""),0),"0%")&amp;")","")&amp;CHAR(10)&amp;IF(INDEX('Reguler Class Availability'!$I:$I,J60)&amp;""="","coach: –",PROPER(INDEX('Reguler Class Availability'!$I:$I,J60)&amp;""))&amp;IF(INDEX('Reguler Class Availability'!$J:$J,J60)&amp;""="","",CHAR(10)&amp;"asst: "&amp;PROPER(INDEX('Reguler Class Availability'!$J:$J,J60)&amp;""))))</f>
        <v>Little  3/0
Daffa</v>
      </c>
      <c r="C60" s="40" t="str">
        <f aca="false">IF(K60="","",IF(S60="Tidak dibuka","–",IF(INDEX('Reguler Class Availability'!$B:$B,K60)&amp;""="","Kosong",PROPER(INDEX('Reguler Class Availability'!$B:$B,K60)&amp;""))&amp;"  "&amp;IFERROR(--(INDEX('Reguler Class Availability'!$G:$G,K60)&amp;""),0)&amp;"/"&amp;IFERROR(--(INDEX('Reguler Class Availability'!$F:$F,K60)&amp;""),0)&amp;IF(IFERROR(--(INDEX('Reguler Class Availability'!$F:$F,K60)&amp;""),0)&gt;0,"  ("&amp;TEXT(IFERROR(--(INDEX('Reguler Class Availability'!$G:$G,K60)&amp;""),0)/IFERROR(--(INDEX('Reguler Class Availability'!$F:$F,K60)&amp;""),0),"0%")&amp;")","")&amp;CHAR(10)&amp;IF(INDEX('Reguler Class Availability'!$I:$I,K60)&amp;""="","coach: –",PROPER(INDEX('Reguler Class Availability'!$I:$I,K60)&amp;""))&amp;IF(INDEX('Reguler Class Availability'!$J:$J,K60)&amp;""="","",CHAR(10)&amp;"asst: "&amp;PROPER(INDEX('Reguler Class Availability'!$J:$J,K60)&amp;""))))</f>
        <v>Little  3/4  (75%)
Rischa</v>
      </c>
      <c r="D60" s="40" t="str">
        <f aca="false">IF(L60="","",IF(T60="Tidak dibuka","–",IF(INDEX('Reguler Class Availability'!$B:$B,L60)&amp;""="","Kosong",PROPER(INDEX('Reguler Class Availability'!$B:$B,L60)&amp;""))&amp;"  "&amp;IFERROR(--(INDEX('Reguler Class Availability'!$G:$G,L60)&amp;""),0)&amp;"/"&amp;IFERROR(--(INDEX('Reguler Class Availability'!$F:$F,L60)&amp;""),0)&amp;IF(IFERROR(--(INDEX('Reguler Class Availability'!$F:$F,L60)&amp;""),0)&gt;0,"  ("&amp;TEXT(IFERROR(--(INDEX('Reguler Class Availability'!$G:$G,L60)&amp;""),0)/IFERROR(--(INDEX('Reguler Class Availability'!$F:$F,L60)&amp;""),0),"0%")&amp;")","")&amp;CHAR(10)&amp;IF(INDEX('Reguler Class Availability'!$I:$I,L60)&amp;""="","coach: –",PROPER(INDEX('Reguler Class Availability'!$I:$I,L60)&amp;""))&amp;IF(INDEX('Reguler Class Availability'!$J:$J,L60)&amp;""="","",CHAR(10)&amp;"asst: "&amp;PROPER(INDEX('Reguler Class Availability'!$J:$J,L60)&amp;""))))</f>
        <v>Little  2/0
Surya</v>
      </c>
      <c r="E60" s="40" t="str">
        <f aca="false">IF(M60="","",IF(U60="Tidak dibuka","–",IF(INDEX('Reguler Class Availability'!$B:$B,M60)&amp;""="","Kosong",PROPER(INDEX('Reguler Class Availability'!$B:$B,M60)&amp;""))&amp;"  "&amp;IFERROR(--(INDEX('Reguler Class Availability'!$G:$G,M60)&amp;""),0)&amp;"/"&amp;IFERROR(--(INDEX('Reguler Class Availability'!$F:$F,M60)&amp;""),0)&amp;IF(IFERROR(--(INDEX('Reguler Class Availability'!$F:$F,M60)&amp;""),0)&gt;0,"  ("&amp;TEXT(IFERROR(--(INDEX('Reguler Class Availability'!$G:$G,M60)&amp;""),0)/IFERROR(--(INDEX('Reguler Class Availability'!$F:$F,M60)&amp;""),0),"0%")&amp;")","")&amp;CHAR(10)&amp;IF(INDEX('Reguler Class Availability'!$I:$I,M60)&amp;""="","coach: –",PROPER(INDEX('Reguler Class Availability'!$I:$I,M60)&amp;""))&amp;IF(INDEX('Reguler Class Availability'!$J:$J,M60)&amp;""="","",CHAR(10)&amp;"asst: "&amp;PROPER(INDEX('Reguler Class Availability'!$J:$J,M60)&amp;""))))</f>
        <v>Little  0/0
coach: –</v>
      </c>
      <c r="F60" s="40" t="str">
        <f aca="false">IF(N60="","",IF(V60="Tidak dibuka","–",IF(INDEX('Reguler Class Availability'!$B:$B,N60)&amp;""="","Kosong",PROPER(INDEX('Reguler Class Availability'!$B:$B,N60)&amp;""))&amp;"  "&amp;IFERROR(--(INDEX('Reguler Class Availability'!$G:$G,N60)&amp;""),0)&amp;"/"&amp;IFERROR(--(INDEX('Reguler Class Availability'!$F:$F,N60)&amp;""),0)&amp;IF(IFERROR(--(INDEX('Reguler Class Availability'!$F:$F,N60)&amp;""),0)&gt;0,"  ("&amp;TEXT(IFERROR(--(INDEX('Reguler Class Availability'!$G:$G,N60)&amp;""),0)/IFERROR(--(INDEX('Reguler Class Availability'!$F:$F,N60)&amp;""),0),"0%")&amp;")","")&amp;CHAR(10)&amp;IF(INDEX('Reguler Class Availability'!$I:$I,N60)&amp;""="","coach: –",PROPER(INDEX('Reguler Class Availability'!$I:$I,N60)&amp;""))&amp;IF(INDEX('Reguler Class Availability'!$J:$J,N60)&amp;""="","",CHAR(10)&amp;"asst: "&amp;PROPER(INDEX('Reguler Class Availability'!$J:$J,N60)&amp;""))))</f>
        <v>Little  4/4  (100%)
Surya</v>
      </c>
      <c r="G60" s="40" t="str">
        <f aca="false">IF(O60="","",IF(W60="Tidak dibuka","–",IF(INDEX('Reguler Class Availability'!$B:$B,O60)&amp;""="","Kosong",PROPER(INDEX('Reguler Class Availability'!$B:$B,O60)&amp;""))&amp;"  "&amp;IFERROR(--(INDEX('Reguler Class Availability'!$G:$G,O60)&amp;""),0)&amp;"/"&amp;IFERROR(--(INDEX('Reguler Class Availability'!$F:$F,O60)&amp;""),0)&amp;IF(IFERROR(--(INDEX('Reguler Class Availability'!$F:$F,O60)&amp;""),0)&gt;0,"  ("&amp;TEXT(IFERROR(--(INDEX('Reguler Class Availability'!$G:$G,O60)&amp;""),0)/IFERROR(--(INDEX('Reguler Class Availability'!$F:$F,O60)&amp;""),0),"0%")&amp;")","")&amp;CHAR(10)&amp;IF(INDEX('Reguler Class Availability'!$I:$I,O60)&amp;""="","coach: –",PROPER(INDEX('Reguler Class Availability'!$I:$I,O60)&amp;""))&amp;IF(INDEX('Reguler Class Availability'!$J:$J,O60)&amp;""="","",CHAR(10)&amp;"asst: "&amp;PROPER(INDEX('Reguler Class Availability'!$J:$J,O60)&amp;""))))</f>
        <v>Little  4/4  (100%)
Tessa</v>
      </c>
      <c r="H60" s="40" t="str">
        <f aca="false">IF(P60="","",IF(X60="Tidak dibuka","–",IF(INDEX('Reguler Class Availability'!$B:$B,P60)&amp;""="","Kosong",PROPER(INDEX('Reguler Class Availability'!$B:$B,P60)&amp;""))&amp;"  "&amp;IFERROR(--(INDEX('Reguler Class Availability'!$G:$G,P60)&amp;""),0)&amp;"/"&amp;IFERROR(--(INDEX('Reguler Class Availability'!$F:$F,P60)&amp;""),0)&amp;IF(IFERROR(--(INDEX('Reguler Class Availability'!$F:$F,P60)&amp;""),0)&gt;0,"  ("&amp;TEXT(IFERROR(--(INDEX('Reguler Class Availability'!$G:$G,P60)&amp;""),0)/IFERROR(--(INDEX('Reguler Class Availability'!$F:$F,P60)&amp;""),0),"0%")&amp;")","")&amp;CHAR(10)&amp;IF(INDEX('Reguler Class Availability'!$I:$I,P60)&amp;""="","coach: –",PROPER(INDEX('Reguler Class Availability'!$I:$I,P60)&amp;""))&amp;IF(INDEX('Reguler Class Availability'!$J:$J,P60)&amp;""="","",CHAR(10)&amp;"asst: "&amp;PROPER(INDEX('Reguler Class Availability'!$J:$J,P60)&amp;""))))</f>
        <v>Little  4/4  (100%)
Rischa</v>
      </c>
      <c r="J60" s="4" t="n">
        <f aca="false">IF($A60="","",IFERROR(MATCH($B$4&amp;"|- Lane 3 - "&amp;B$51&amp;"|"&amp;$A60,'Reguler Class Availability'!$L:$L,0),""))</f>
        <v>192</v>
      </c>
      <c r="K60" s="4" t="n">
        <f aca="false">IF($A60="","",IFERROR(MATCH($B$4&amp;"|- Lane 3 - "&amp;C$51&amp;"|"&amp;$A60,'Reguler Class Availability'!$L:$L,0),""))</f>
        <v>204</v>
      </c>
      <c r="L60" s="4" t="n">
        <f aca="false">IF($A60="","",IFERROR(MATCH($B$4&amp;"|- Lane 3 - "&amp;D$51&amp;"|"&amp;$A60,'Reguler Class Availability'!$L:$L,0),""))</f>
        <v>216</v>
      </c>
      <c r="M60" s="4" t="n">
        <f aca="false">IF($A60="","",IFERROR(MATCH($B$4&amp;"|- Lane 3 - "&amp;E$51&amp;"|"&amp;$A60,'Reguler Class Availability'!$L:$L,0),""))</f>
        <v>228</v>
      </c>
      <c r="N60" s="4" t="n">
        <f aca="false">IF($A60="","",IFERROR(MATCH($B$4&amp;"|- Lane 3 - "&amp;F$51&amp;"|"&amp;$A60,'Reguler Class Availability'!$L:$L,0),""))</f>
        <v>240</v>
      </c>
      <c r="O60" s="4" t="n">
        <f aca="false">IF($A60="","",IFERROR(MATCH($B$4&amp;"|- Lane 3 - "&amp;G$51&amp;"|"&amp;$A60,'Reguler Class Availability'!$L:$L,0),""))</f>
        <v>252</v>
      </c>
      <c r="P60" s="4" t="n">
        <f aca="false">IF($A60="","",IFERROR(MATCH($B$4&amp;"|- Lane 3 - "&amp;H$51&amp;"|"&amp;$A60,'Reguler Class Availability'!$L:$L,0),""))</f>
        <v>264</v>
      </c>
      <c r="R60" s="0" t="str">
        <f aca="false">IF(J60="","",IF(AND(IFERROR(--(INDEX('Reguler Class Availability'!$F:$F,J60)&amp;""),0)=0,IFERROR(--(INDEX('Reguler Class Availability'!$G:$G,J60)&amp;""),0)=0),IF(OR(INDEX('Reguler Class Availability'!$B:$B,J60)&amp;""&lt;&gt;"",INDEX('Reguler Class Availability'!$I:$I,J60)&amp;""&lt;&gt;""),"Tutup","Tidak dibuka"),IF(IFERROR(--(INDEX('Reguler Class Availability'!$G:$G,J60)&amp;""),0)&gt;IFERROR(--(INDEX('Reguler Class Availability'!$F:$F,J60)&amp;""),0),"Lebih",IF(IFERROR(--(INDEX('Reguler Class Availability'!$G:$G,J60)&amp;""),0)=IFERROR(--(INDEX('Reguler Class Availability'!$F:$F,J60)&amp;""),0),"Penuh",IF(IFERROR(--(INDEX('Reguler Class Availability'!$G:$G,J60)&amp;""),0)=0,IF(INDEX('Reguler Class Availability'!$B:$B,J60)&amp;""="","Kosong","Belum terisi"),IF(IFERROR(--(INDEX('Reguler Class Availability'!$G:$G,J60)&amp;""),0)/IFERROR(--(INDEX('Reguler Class Availability'!$F:$F,J60)&amp;""),0)&gt;=0.6,"Tinggi","Sebagian"))))))</f>
        <v>Lebih</v>
      </c>
      <c r="S60" s="0" t="str">
        <f aca="false">IF(K60="","",IF(AND(IFERROR(--(INDEX('Reguler Class Availability'!$F:$F,K60)&amp;""),0)=0,IFERROR(--(INDEX('Reguler Class Availability'!$G:$G,K60)&amp;""),0)=0),IF(OR(INDEX('Reguler Class Availability'!$B:$B,K60)&amp;""&lt;&gt;"",INDEX('Reguler Class Availability'!$I:$I,K60)&amp;""&lt;&gt;""),"Tutup","Tidak dibuka"),IF(IFERROR(--(INDEX('Reguler Class Availability'!$G:$G,K60)&amp;""),0)&gt;IFERROR(--(INDEX('Reguler Class Availability'!$F:$F,K60)&amp;""),0),"Lebih",IF(IFERROR(--(INDEX('Reguler Class Availability'!$G:$G,K60)&amp;""),0)=IFERROR(--(INDEX('Reguler Class Availability'!$F:$F,K60)&amp;""),0),"Penuh",IF(IFERROR(--(INDEX('Reguler Class Availability'!$G:$G,K60)&amp;""),0)=0,IF(INDEX('Reguler Class Availability'!$B:$B,K60)&amp;""="","Kosong","Belum terisi"),IF(IFERROR(--(INDEX('Reguler Class Availability'!$G:$G,K60)&amp;""),0)/IFERROR(--(INDEX('Reguler Class Availability'!$F:$F,K60)&amp;""),0)&gt;=0.6,"Tinggi","Sebagian"))))))</f>
        <v>Tinggi</v>
      </c>
      <c r="T60" s="0" t="str">
        <f aca="false">IF(L60="","",IF(AND(IFERROR(--(INDEX('Reguler Class Availability'!$F:$F,L60)&amp;""),0)=0,IFERROR(--(INDEX('Reguler Class Availability'!$G:$G,L60)&amp;""),0)=0),IF(OR(INDEX('Reguler Class Availability'!$B:$B,L60)&amp;""&lt;&gt;"",INDEX('Reguler Class Availability'!$I:$I,L60)&amp;""&lt;&gt;""),"Tutup","Tidak dibuka"),IF(IFERROR(--(INDEX('Reguler Class Availability'!$G:$G,L60)&amp;""),0)&gt;IFERROR(--(INDEX('Reguler Class Availability'!$F:$F,L60)&amp;""),0),"Lebih",IF(IFERROR(--(INDEX('Reguler Class Availability'!$G:$G,L60)&amp;""),0)=IFERROR(--(INDEX('Reguler Class Availability'!$F:$F,L60)&amp;""),0),"Penuh",IF(IFERROR(--(INDEX('Reguler Class Availability'!$G:$G,L60)&amp;""),0)=0,IF(INDEX('Reguler Class Availability'!$B:$B,L60)&amp;""="","Kosong","Belum terisi"),IF(IFERROR(--(INDEX('Reguler Class Availability'!$G:$G,L60)&amp;""),0)/IFERROR(--(INDEX('Reguler Class Availability'!$F:$F,L60)&amp;""),0)&gt;=0.6,"Tinggi","Sebagian"))))))</f>
        <v>Lebih</v>
      </c>
      <c r="U60" s="0" t="str">
        <f aca="false">IF(M60="","",IF(AND(IFERROR(--(INDEX('Reguler Class Availability'!$F:$F,M60)&amp;""),0)=0,IFERROR(--(INDEX('Reguler Class Availability'!$G:$G,M60)&amp;""),0)=0),IF(OR(INDEX('Reguler Class Availability'!$B:$B,M60)&amp;""&lt;&gt;"",INDEX('Reguler Class Availability'!$I:$I,M60)&amp;""&lt;&gt;""),"Tutup","Tidak dibuka"),IF(IFERROR(--(INDEX('Reguler Class Availability'!$G:$G,M60)&amp;""),0)&gt;IFERROR(--(INDEX('Reguler Class Availability'!$F:$F,M60)&amp;""),0),"Lebih",IF(IFERROR(--(INDEX('Reguler Class Availability'!$G:$G,M60)&amp;""),0)=IFERROR(--(INDEX('Reguler Class Availability'!$F:$F,M60)&amp;""),0),"Penuh",IF(IFERROR(--(INDEX('Reguler Class Availability'!$G:$G,M60)&amp;""),0)=0,IF(INDEX('Reguler Class Availability'!$B:$B,M60)&amp;""="","Kosong","Belum terisi"),IF(IFERROR(--(INDEX('Reguler Class Availability'!$G:$G,M60)&amp;""),0)/IFERROR(--(INDEX('Reguler Class Availability'!$F:$F,M60)&amp;""),0)&gt;=0.6,"Tinggi","Sebagian"))))))</f>
        <v>Tutup</v>
      </c>
      <c r="V60" s="0" t="str">
        <f aca="false">IF(N60="","",IF(AND(IFERROR(--(INDEX('Reguler Class Availability'!$F:$F,N60)&amp;""),0)=0,IFERROR(--(INDEX('Reguler Class Availability'!$G:$G,N60)&amp;""),0)=0),IF(OR(INDEX('Reguler Class Availability'!$B:$B,N60)&amp;""&lt;&gt;"",INDEX('Reguler Class Availability'!$I:$I,N60)&amp;""&lt;&gt;""),"Tutup","Tidak dibuka"),IF(IFERROR(--(INDEX('Reguler Class Availability'!$G:$G,N60)&amp;""),0)&gt;IFERROR(--(INDEX('Reguler Class Availability'!$F:$F,N60)&amp;""),0),"Lebih",IF(IFERROR(--(INDEX('Reguler Class Availability'!$G:$G,N60)&amp;""),0)=IFERROR(--(INDEX('Reguler Class Availability'!$F:$F,N60)&amp;""),0),"Penuh",IF(IFERROR(--(INDEX('Reguler Class Availability'!$G:$G,N60)&amp;""),0)=0,IF(INDEX('Reguler Class Availability'!$B:$B,N60)&amp;""="","Kosong","Belum terisi"),IF(IFERROR(--(INDEX('Reguler Class Availability'!$G:$G,N60)&amp;""),0)/IFERROR(--(INDEX('Reguler Class Availability'!$F:$F,N60)&amp;""),0)&gt;=0.6,"Tinggi","Sebagian"))))))</f>
        <v>Penuh</v>
      </c>
      <c r="W60" s="0" t="str">
        <f aca="false">IF(O60="","",IF(AND(IFERROR(--(INDEX('Reguler Class Availability'!$F:$F,O60)&amp;""),0)=0,IFERROR(--(INDEX('Reguler Class Availability'!$G:$G,O60)&amp;""),0)=0),IF(OR(INDEX('Reguler Class Availability'!$B:$B,O60)&amp;""&lt;&gt;"",INDEX('Reguler Class Availability'!$I:$I,O60)&amp;""&lt;&gt;""),"Tutup","Tidak dibuka"),IF(IFERROR(--(INDEX('Reguler Class Availability'!$G:$G,O60)&amp;""),0)&gt;IFERROR(--(INDEX('Reguler Class Availability'!$F:$F,O60)&amp;""),0),"Lebih",IF(IFERROR(--(INDEX('Reguler Class Availability'!$G:$G,O60)&amp;""),0)=IFERROR(--(INDEX('Reguler Class Availability'!$F:$F,O60)&amp;""),0),"Penuh",IF(IFERROR(--(INDEX('Reguler Class Availability'!$G:$G,O60)&amp;""),0)=0,IF(INDEX('Reguler Class Availability'!$B:$B,O60)&amp;""="","Kosong","Belum terisi"),IF(IFERROR(--(INDEX('Reguler Class Availability'!$G:$G,O60)&amp;""),0)/IFERROR(--(INDEX('Reguler Class Availability'!$F:$F,O60)&amp;""),0)&gt;=0.6,"Tinggi","Sebagian"))))))</f>
        <v>Penuh</v>
      </c>
      <c r="X60" s="0" t="str">
        <f aca="false">IF(P60="","",IF(AND(IFERROR(--(INDEX('Reguler Class Availability'!$F:$F,P60)&amp;""),0)=0,IFERROR(--(INDEX('Reguler Class Availability'!$G:$G,P60)&amp;""),0)=0),IF(OR(INDEX('Reguler Class Availability'!$B:$B,P60)&amp;""&lt;&gt;"",INDEX('Reguler Class Availability'!$I:$I,P60)&amp;""&lt;&gt;""),"Tutup","Tidak dibuka"),IF(IFERROR(--(INDEX('Reguler Class Availability'!$G:$G,P60)&amp;""),0)&gt;IFERROR(--(INDEX('Reguler Class Availability'!$F:$F,P60)&amp;""),0),"Lebih",IF(IFERROR(--(INDEX('Reguler Class Availability'!$G:$G,P60)&amp;""),0)=IFERROR(--(INDEX('Reguler Class Availability'!$F:$F,P60)&amp;""),0),"Penuh",IF(IFERROR(--(INDEX('Reguler Class Availability'!$G:$G,P60)&amp;""),0)=0,IF(INDEX('Reguler Class Availability'!$B:$B,P60)&amp;""="","Kosong","Belum terisi"),IF(IFERROR(--(INDEX('Reguler Class Availability'!$G:$G,P60)&amp;""),0)/IFERROR(--(INDEX('Reguler Class Availability'!$F:$F,P60)&amp;""),0)&gt;=0.6,"Tinggi","Sebagian"))))))</f>
        <v>Penuh</v>
      </c>
      <c r="Z60" s="4" t="s">
        <v>96</v>
      </c>
      <c r="AA60" s="4" t="n">
        <f aca="false">IF(COUNTIFS('Reguler Class Availability'!$L:$L,$B$4&amp;"|- Lane 1 - *|"&amp;Z60)&gt;0,1,0)</f>
        <v>0</v>
      </c>
      <c r="AB60" s="4" t="n">
        <f aca="false">AA60+AB59</f>
        <v>14</v>
      </c>
    </row>
    <row r="61" customFormat="false" ht="39.75" hidden="false" customHeight="true" outlineLevel="0" collapsed="false">
      <c r="A61" s="39" t="str">
        <f aca="false">IFERROR(INDEX($Z$122:$Z$181,MATCH(10,$AB$122:$AB$181,0)),"")</f>
        <v>15:30</v>
      </c>
      <c r="B61" s="40" t="str">
        <f aca="false">IF(J61="","",IF(R61="Tidak dibuka","–",IF(INDEX('Reguler Class Availability'!$B:$B,J61)&amp;""="","Kosong",PROPER(INDEX('Reguler Class Availability'!$B:$B,J61)&amp;""))&amp;"  "&amp;IFERROR(--(INDEX('Reguler Class Availability'!$G:$G,J61)&amp;""),0)&amp;"/"&amp;IFERROR(--(INDEX('Reguler Class Availability'!$F:$F,J61)&amp;""),0)&amp;IF(IFERROR(--(INDEX('Reguler Class Availability'!$F:$F,J61)&amp;""),0)&gt;0,"  ("&amp;TEXT(IFERROR(--(INDEX('Reguler Class Availability'!$G:$G,J61)&amp;""),0)/IFERROR(--(INDEX('Reguler Class Availability'!$F:$F,J61)&amp;""),0),"0%")&amp;")","")&amp;CHAR(10)&amp;IF(INDEX('Reguler Class Availability'!$I:$I,J61)&amp;""="","coach: –",PROPER(INDEX('Reguler Class Availability'!$I:$I,J61)&amp;""))&amp;IF(INDEX('Reguler Class Availability'!$J:$J,J61)&amp;""="","",CHAR(10)&amp;"asst: "&amp;PROPER(INDEX('Reguler Class Availability'!$J:$J,J61)&amp;""))))</f>
        <v>Little  3/4  (75%)
Dian</v>
      </c>
      <c r="C61" s="40" t="str">
        <f aca="false">IF(K61="","",IF(S61="Tidak dibuka","–",IF(INDEX('Reguler Class Availability'!$B:$B,K61)&amp;""="","Kosong",PROPER(INDEX('Reguler Class Availability'!$B:$B,K61)&amp;""))&amp;"  "&amp;IFERROR(--(INDEX('Reguler Class Availability'!$G:$G,K61)&amp;""),0)&amp;"/"&amp;IFERROR(--(INDEX('Reguler Class Availability'!$F:$F,K61)&amp;""),0)&amp;IF(IFERROR(--(INDEX('Reguler Class Availability'!$F:$F,K61)&amp;""),0)&gt;0,"  ("&amp;TEXT(IFERROR(--(INDEX('Reguler Class Availability'!$G:$G,K61)&amp;""),0)/IFERROR(--(INDEX('Reguler Class Availability'!$F:$F,K61)&amp;""),0),"0%")&amp;")","")&amp;CHAR(10)&amp;IF(INDEX('Reguler Class Availability'!$I:$I,K61)&amp;""="","coach: –",PROPER(INDEX('Reguler Class Availability'!$I:$I,K61)&amp;""))&amp;IF(INDEX('Reguler Class Availability'!$J:$J,K61)&amp;""="","",CHAR(10)&amp;"asst: "&amp;PROPER(INDEX('Reguler Class Availability'!$J:$J,K61)&amp;""))))</f>
        <v>Little  0/0
coach: –</v>
      </c>
      <c r="D61" s="40" t="str">
        <f aca="false">IF(L61="","",IF(T61="Tidak dibuka","–",IF(INDEX('Reguler Class Availability'!$B:$B,L61)&amp;""="","Kosong",PROPER(INDEX('Reguler Class Availability'!$B:$B,L61)&amp;""))&amp;"  "&amp;IFERROR(--(INDEX('Reguler Class Availability'!$G:$G,L61)&amp;""),0)&amp;"/"&amp;IFERROR(--(INDEX('Reguler Class Availability'!$F:$F,L61)&amp;""),0)&amp;IF(IFERROR(--(INDEX('Reguler Class Availability'!$F:$F,L61)&amp;""),0)&gt;0,"  ("&amp;TEXT(IFERROR(--(INDEX('Reguler Class Availability'!$G:$G,L61)&amp;""),0)/IFERROR(--(INDEX('Reguler Class Availability'!$F:$F,L61)&amp;""),0),"0%")&amp;")","")&amp;CHAR(10)&amp;IF(INDEX('Reguler Class Availability'!$I:$I,L61)&amp;""="","coach: –",PROPER(INDEX('Reguler Class Availability'!$I:$I,L61)&amp;""))&amp;IF(INDEX('Reguler Class Availability'!$J:$J,L61)&amp;""="","",CHAR(10)&amp;"asst: "&amp;PROPER(INDEX('Reguler Class Availability'!$J:$J,L61)&amp;""))))</f>
        <v>Little  4/4  (100%)
Surya</v>
      </c>
      <c r="E61" s="40" t="str">
        <f aca="false">IF(M61="","",IF(U61="Tidak dibuka","–",IF(INDEX('Reguler Class Availability'!$B:$B,M61)&amp;""="","Kosong",PROPER(INDEX('Reguler Class Availability'!$B:$B,M61)&amp;""))&amp;"  "&amp;IFERROR(--(INDEX('Reguler Class Availability'!$G:$G,M61)&amp;""),0)&amp;"/"&amp;IFERROR(--(INDEX('Reguler Class Availability'!$F:$F,M61)&amp;""),0)&amp;IF(IFERROR(--(INDEX('Reguler Class Availability'!$F:$F,M61)&amp;""),0)&gt;0,"  ("&amp;TEXT(IFERROR(--(INDEX('Reguler Class Availability'!$G:$G,M61)&amp;""),0)/IFERROR(--(INDEX('Reguler Class Availability'!$F:$F,M61)&amp;""),0),"0%")&amp;")","")&amp;CHAR(10)&amp;IF(INDEX('Reguler Class Availability'!$I:$I,M61)&amp;""="","coach: –",PROPER(INDEX('Reguler Class Availability'!$I:$I,M61)&amp;""))&amp;IF(INDEX('Reguler Class Availability'!$J:$J,M61)&amp;""="","",CHAR(10)&amp;"asst: "&amp;PROPER(INDEX('Reguler Class Availability'!$J:$J,M61)&amp;""))))</f>
        <v>Little  4/4  (100%)
Surya</v>
      </c>
      <c r="F61" s="40" t="str">
        <f aca="false">IF(N61="","",IF(V61="Tidak dibuka","–",IF(INDEX('Reguler Class Availability'!$B:$B,N61)&amp;""="","Kosong",PROPER(INDEX('Reguler Class Availability'!$B:$B,N61)&amp;""))&amp;"  "&amp;IFERROR(--(INDEX('Reguler Class Availability'!$G:$G,N61)&amp;""),0)&amp;"/"&amp;IFERROR(--(INDEX('Reguler Class Availability'!$F:$F,N61)&amp;""),0)&amp;IF(IFERROR(--(INDEX('Reguler Class Availability'!$F:$F,N61)&amp;""),0)&gt;0,"  ("&amp;TEXT(IFERROR(--(INDEX('Reguler Class Availability'!$G:$G,N61)&amp;""),0)/IFERROR(--(INDEX('Reguler Class Availability'!$F:$F,N61)&amp;""),0),"0%")&amp;")","")&amp;CHAR(10)&amp;IF(INDEX('Reguler Class Availability'!$I:$I,N61)&amp;""="","coach: –",PROPER(INDEX('Reguler Class Availability'!$I:$I,N61)&amp;""))&amp;IF(INDEX('Reguler Class Availability'!$J:$J,N61)&amp;""="","",CHAR(10)&amp;"asst: "&amp;PROPER(INDEX('Reguler Class Availability'!$J:$J,N61)&amp;""))))</f>
        <v>Little  3/4  (75%)
Eka</v>
      </c>
      <c r="G61" s="40" t="str">
        <f aca="false">IF(O61="","",IF(W61="Tidak dibuka","–",IF(INDEX('Reguler Class Availability'!$B:$B,O61)&amp;""="","Kosong",PROPER(INDEX('Reguler Class Availability'!$B:$B,O61)&amp;""))&amp;"  "&amp;IFERROR(--(INDEX('Reguler Class Availability'!$G:$G,O61)&amp;""),0)&amp;"/"&amp;IFERROR(--(INDEX('Reguler Class Availability'!$F:$F,O61)&amp;""),0)&amp;IF(IFERROR(--(INDEX('Reguler Class Availability'!$F:$F,O61)&amp;""),0)&gt;0,"  ("&amp;TEXT(IFERROR(--(INDEX('Reguler Class Availability'!$G:$G,O61)&amp;""),0)/IFERROR(--(INDEX('Reguler Class Availability'!$F:$F,O61)&amp;""),0),"0%")&amp;")","")&amp;CHAR(10)&amp;IF(INDEX('Reguler Class Availability'!$I:$I,O61)&amp;""="","coach: –",PROPER(INDEX('Reguler Class Availability'!$I:$I,O61)&amp;""))&amp;IF(INDEX('Reguler Class Availability'!$J:$J,O61)&amp;""="","",CHAR(10)&amp;"asst: "&amp;PROPER(INDEX('Reguler Class Availability'!$J:$J,O61)&amp;""))))</f>
        <v>Little  4/4  (100%)
Zidane</v>
      </c>
      <c r="H61" s="40" t="str">
        <f aca="false">IF(P61="","",IF(X61="Tidak dibuka","–",IF(INDEX('Reguler Class Availability'!$B:$B,P61)&amp;""="","Kosong",PROPER(INDEX('Reguler Class Availability'!$B:$B,P61)&amp;""))&amp;"  "&amp;IFERROR(--(INDEX('Reguler Class Availability'!$G:$G,P61)&amp;""),0)&amp;"/"&amp;IFERROR(--(INDEX('Reguler Class Availability'!$F:$F,P61)&amp;""),0)&amp;IF(IFERROR(--(INDEX('Reguler Class Availability'!$F:$F,P61)&amp;""),0)&gt;0,"  ("&amp;TEXT(IFERROR(--(INDEX('Reguler Class Availability'!$G:$G,P61)&amp;""),0)/IFERROR(--(INDEX('Reguler Class Availability'!$F:$F,P61)&amp;""),0),"0%")&amp;")","")&amp;CHAR(10)&amp;IF(INDEX('Reguler Class Availability'!$I:$I,P61)&amp;""="","coach: –",PROPER(INDEX('Reguler Class Availability'!$I:$I,P61)&amp;""))&amp;IF(INDEX('Reguler Class Availability'!$J:$J,P61)&amp;""="","",CHAR(10)&amp;"asst: "&amp;PROPER(INDEX('Reguler Class Availability'!$J:$J,P61)&amp;""))))</f>
        <v>Little  4/4  (100%)
Dian</v>
      </c>
      <c r="J61" s="4" t="n">
        <f aca="false">IF($A61="","",IFERROR(MATCH($B$4&amp;"|- Lane 3 - "&amp;B$51&amp;"|"&amp;$A61,'Reguler Class Availability'!$L:$L,0),""))</f>
        <v>193</v>
      </c>
      <c r="K61" s="4" t="n">
        <f aca="false">IF($A61="","",IFERROR(MATCH($B$4&amp;"|- Lane 3 - "&amp;C$51&amp;"|"&amp;$A61,'Reguler Class Availability'!$L:$L,0),""))</f>
        <v>205</v>
      </c>
      <c r="L61" s="4" t="n">
        <f aca="false">IF($A61="","",IFERROR(MATCH($B$4&amp;"|- Lane 3 - "&amp;D$51&amp;"|"&amp;$A61,'Reguler Class Availability'!$L:$L,0),""))</f>
        <v>217</v>
      </c>
      <c r="M61" s="4" t="n">
        <f aca="false">IF($A61="","",IFERROR(MATCH($B$4&amp;"|- Lane 3 - "&amp;E$51&amp;"|"&amp;$A61,'Reguler Class Availability'!$L:$L,0),""))</f>
        <v>229</v>
      </c>
      <c r="N61" s="4" t="n">
        <f aca="false">IF($A61="","",IFERROR(MATCH($B$4&amp;"|- Lane 3 - "&amp;F$51&amp;"|"&amp;$A61,'Reguler Class Availability'!$L:$L,0),""))</f>
        <v>241</v>
      </c>
      <c r="O61" s="4" t="n">
        <f aca="false">IF($A61="","",IFERROR(MATCH($B$4&amp;"|- Lane 3 - "&amp;G$51&amp;"|"&amp;$A61,'Reguler Class Availability'!$L:$L,0),""))</f>
        <v>253</v>
      </c>
      <c r="P61" s="4" t="n">
        <f aca="false">IF($A61="","",IFERROR(MATCH($B$4&amp;"|- Lane 3 - "&amp;H$51&amp;"|"&amp;$A61,'Reguler Class Availability'!$L:$L,0),""))</f>
        <v>265</v>
      </c>
      <c r="R61" s="0" t="str">
        <f aca="false">IF(J61="","",IF(AND(IFERROR(--(INDEX('Reguler Class Availability'!$F:$F,J61)&amp;""),0)=0,IFERROR(--(INDEX('Reguler Class Availability'!$G:$G,J61)&amp;""),0)=0),IF(OR(INDEX('Reguler Class Availability'!$B:$B,J61)&amp;""&lt;&gt;"",INDEX('Reguler Class Availability'!$I:$I,J61)&amp;""&lt;&gt;""),"Tutup","Tidak dibuka"),IF(IFERROR(--(INDEX('Reguler Class Availability'!$G:$G,J61)&amp;""),0)&gt;IFERROR(--(INDEX('Reguler Class Availability'!$F:$F,J61)&amp;""),0),"Lebih",IF(IFERROR(--(INDEX('Reguler Class Availability'!$G:$G,J61)&amp;""),0)=IFERROR(--(INDEX('Reguler Class Availability'!$F:$F,J61)&amp;""),0),"Penuh",IF(IFERROR(--(INDEX('Reguler Class Availability'!$G:$G,J61)&amp;""),0)=0,IF(INDEX('Reguler Class Availability'!$B:$B,J61)&amp;""="","Kosong","Belum terisi"),IF(IFERROR(--(INDEX('Reguler Class Availability'!$G:$G,J61)&amp;""),0)/IFERROR(--(INDEX('Reguler Class Availability'!$F:$F,J61)&amp;""),0)&gt;=0.6,"Tinggi","Sebagian"))))))</f>
        <v>Tinggi</v>
      </c>
      <c r="S61" s="0" t="str">
        <f aca="false">IF(K61="","",IF(AND(IFERROR(--(INDEX('Reguler Class Availability'!$F:$F,K61)&amp;""),0)=0,IFERROR(--(INDEX('Reguler Class Availability'!$G:$G,K61)&amp;""),0)=0),IF(OR(INDEX('Reguler Class Availability'!$B:$B,K61)&amp;""&lt;&gt;"",INDEX('Reguler Class Availability'!$I:$I,K61)&amp;""&lt;&gt;""),"Tutup","Tidak dibuka"),IF(IFERROR(--(INDEX('Reguler Class Availability'!$G:$G,K61)&amp;""),0)&gt;IFERROR(--(INDEX('Reguler Class Availability'!$F:$F,K61)&amp;""),0),"Lebih",IF(IFERROR(--(INDEX('Reguler Class Availability'!$G:$G,K61)&amp;""),0)=IFERROR(--(INDEX('Reguler Class Availability'!$F:$F,K61)&amp;""),0),"Penuh",IF(IFERROR(--(INDEX('Reguler Class Availability'!$G:$G,K61)&amp;""),0)=0,IF(INDEX('Reguler Class Availability'!$B:$B,K61)&amp;""="","Kosong","Belum terisi"),IF(IFERROR(--(INDEX('Reguler Class Availability'!$G:$G,K61)&amp;""),0)/IFERROR(--(INDEX('Reguler Class Availability'!$F:$F,K61)&amp;""),0)&gt;=0.6,"Tinggi","Sebagian"))))))</f>
        <v>Tutup</v>
      </c>
      <c r="T61" s="0" t="str">
        <f aca="false">IF(L61="","",IF(AND(IFERROR(--(INDEX('Reguler Class Availability'!$F:$F,L61)&amp;""),0)=0,IFERROR(--(INDEX('Reguler Class Availability'!$G:$G,L61)&amp;""),0)=0),IF(OR(INDEX('Reguler Class Availability'!$B:$B,L61)&amp;""&lt;&gt;"",INDEX('Reguler Class Availability'!$I:$I,L61)&amp;""&lt;&gt;""),"Tutup","Tidak dibuka"),IF(IFERROR(--(INDEX('Reguler Class Availability'!$G:$G,L61)&amp;""),0)&gt;IFERROR(--(INDEX('Reguler Class Availability'!$F:$F,L61)&amp;""),0),"Lebih",IF(IFERROR(--(INDEX('Reguler Class Availability'!$G:$G,L61)&amp;""),0)=IFERROR(--(INDEX('Reguler Class Availability'!$F:$F,L61)&amp;""),0),"Penuh",IF(IFERROR(--(INDEX('Reguler Class Availability'!$G:$G,L61)&amp;""),0)=0,IF(INDEX('Reguler Class Availability'!$B:$B,L61)&amp;""="","Kosong","Belum terisi"),IF(IFERROR(--(INDEX('Reguler Class Availability'!$G:$G,L61)&amp;""),0)/IFERROR(--(INDEX('Reguler Class Availability'!$F:$F,L61)&amp;""),0)&gt;=0.6,"Tinggi","Sebagian"))))))</f>
        <v>Penuh</v>
      </c>
      <c r="U61" s="0" t="str">
        <f aca="false">IF(M61="","",IF(AND(IFERROR(--(INDEX('Reguler Class Availability'!$F:$F,M61)&amp;""),0)=0,IFERROR(--(INDEX('Reguler Class Availability'!$G:$G,M61)&amp;""),0)=0),IF(OR(INDEX('Reguler Class Availability'!$B:$B,M61)&amp;""&lt;&gt;"",INDEX('Reguler Class Availability'!$I:$I,M61)&amp;""&lt;&gt;""),"Tutup","Tidak dibuka"),IF(IFERROR(--(INDEX('Reguler Class Availability'!$G:$G,M61)&amp;""),0)&gt;IFERROR(--(INDEX('Reguler Class Availability'!$F:$F,M61)&amp;""),0),"Lebih",IF(IFERROR(--(INDEX('Reguler Class Availability'!$G:$G,M61)&amp;""),0)=IFERROR(--(INDEX('Reguler Class Availability'!$F:$F,M61)&amp;""),0),"Penuh",IF(IFERROR(--(INDEX('Reguler Class Availability'!$G:$G,M61)&amp;""),0)=0,IF(INDEX('Reguler Class Availability'!$B:$B,M61)&amp;""="","Kosong","Belum terisi"),IF(IFERROR(--(INDEX('Reguler Class Availability'!$G:$G,M61)&amp;""),0)/IFERROR(--(INDEX('Reguler Class Availability'!$F:$F,M61)&amp;""),0)&gt;=0.6,"Tinggi","Sebagian"))))))</f>
        <v>Penuh</v>
      </c>
      <c r="V61" s="0" t="str">
        <f aca="false">IF(N61="","",IF(AND(IFERROR(--(INDEX('Reguler Class Availability'!$F:$F,N61)&amp;""),0)=0,IFERROR(--(INDEX('Reguler Class Availability'!$G:$G,N61)&amp;""),0)=0),IF(OR(INDEX('Reguler Class Availability'!$B:$B,N61)&amp;""&lt;&gt;"",INDEX('Reguler Class Availability'!$I:$I,N61)&amp;""&lt;&gt;""),"Tutup","Tidak dibuka"),IF(IFERROR(--(INDEX('Reguler Class Availability'!$G:$G,N61)&amp;""),0)&gt;IFERROR(--(INDEX('Reguler Class Availability'!$F:$F,N61)&amp;""),0),"Lebih",IF(IFERROR(--(INDEX('Reguler Class Availability'!$G:$G,N61)&amp;""),0)=IFERROR(--(INDEX('Reguler Class Availability'!$F:$F,N61)&amp;""),0),"Penuh",IF(IFERROR(--(INDEX('Reguler Class Availability'!$G:$G,N61)&amp;""),0)=0,IF(INDEX('Reguler Class Availability'!$B:$B,N61)&amp;""="","Kosong","Belum terisi"),IF(IFERROR(--(INDEX('Reguler Class Availability'!$G:$G,N61)&amp;""),0)/IFERROR(--(INDEX('Reguler Class Availability'!$F:$F,N61)&amp;""),0)&gt;=0.6,"Tinggi","Sebagian"))))))</f>
        <v>Tinggi</v>
      </c>
      <c r="W61" s="0" t="str">
        <f aca="false">IF(O61="","",IF(AND(IFERROR(--(INDEX('Reguler Class Availability'!$F:$F,O61)&amp;""),0)=0,IFERROR(--(INDEX('Reguler Class Availability'!$G:$G,O61)&amp;""),0)=0),IF(OR(INDEX('Reguler Class Availability'!$B:$B,O61)&amp;""&lt;&gt;"",INDEX('Reguler Class Availability'!$I:$I,O61)&amp;""&lt;&gt;""),"Tutup","Tidak dibuka"),IF(IFERROR(--(INDEX('Reguler Class Availability'!$G:$G,O61)&amp;""),0)&gt;IFERROR(--(INDEX('Reguler Class Availability'!$F:$F,O61)&amp;""),0),"Lebih",IF(IFERROR(--(INDEX('Reguler Class Availability'!$G:$G,O61)&amp;""),0)=IFERROR(--(INDEX('Reguler Class Availability'!$F:$F,O61)&amp;""),0),"Penuh",IF(IFERROR(--(INDEX('Reguler Class Availability'!$G:$G,O61)&amp;""),0)=0,IF(INDEX('Reguler Class Availability'!$B:$B,O61)&amp;""="","Kosong","Belum terisi"),IF(IFERROR(--(INDEX('Reguler Class Availability'!$G:$G,O61)&amp;""),0)/IFERROR(--(INDEX('Reguler Class Availability'!$F:$F,O61)&amp;""),0)&gt;=0.6,"Tinggi","Sebagian"))))))</f>
        <v>Penuh</v>
      </c>
      <c r="X61" s="0" t="str">
        <f aca="false">IF(P61="","",IF(AND(IFERROR(--(INDEX('Reguler Class Availability'!$F:$F,P61)&amp;""),0)=0,IFERROR(--(INDEX('Reguler Class Availability'!$G:$G,P61)&amp;""),0)=0),IF(OR(INDEX('Reguler Class Availability'!$B:$B,P61)&amp;""&lt;&gt;"",INDEX('Reguler Class Availability'!$I:$I,P61)&amp;""&lt;&gt;""),"Tutup","Tidak dibuka"),IF(IFERROR(--(INDEX('Reguler Class Availability'!$G:$G,P61)&amp;""),0)&gt;IFERROR(--(INDEX('Reguler Class Availability'!$F:$F,P61)&amp;""),0),"Lebih",IF(IFERROR(--(INDEX('Reguler Class Availability'!$G:$G,P61)&amp;""),0)=IFERROR(--(INDEX('Reguler Class Availability'!$F:$F,P61)&amp;""),0),"Penuh",IF(IFERROR(--(INDEX('Reguler Class Availability'!$G:$G,P61)&amp;""),0)=0,IF(INDEX('Reguler Class Availability'!$B:$B,P61)&amp;""="","Kosong","Belum terisi"),IF(IFERROR(--(INDEX('Reguler Class Availability'!$G:$G,P61)&amp;""),0)/IFERROR(--(INDEX('Reguler Class Availability'!$F:$F,P61)&amp;""),0)&gt;=0.6,"Tinggi","Sebagian"))))))</f>
        <v>Penuh</v>
      </c>
      <c r="Z61" s="4" t="s">
        <v>97</v>
      </c>
      <c r="AA61" s="4" t="n">
        <f aca="false">IF(COUNTIFS('Reguler Class Availability'!$L:$L,$B$4&amp;"|- Lane 1 - *|"&amp;Z61)&gt;0,1,0)</f>
        <v>0</v>
      </c>
      <c r="AB61" s="4" t="n">
        <f aca="false">AA61+AB60</f>
        <v>14</v>
      </c>
    </row>
    <row r="62" customFormat="false" ht="39.75" hidden="false" customHeight="true" outlineLevel="0" collapsed="false">
      <c r="A62" s="39" t="str">
        <f aca="false">IFERROR(INDEX($Z$122:$Z$181,MATCH(11,$AB$122:$AB$181,0)),"")</f>
        <v>16:15</v>
      </c>
      <c r="B62" s="40" t="str">
        <f aca="false">IF(J62="","",IF(R62="Tidak dibuka","–",IF(INDEX('Reguler Class Availability'!$B:$B,J62)&amp;""="","Kosong",PROPER(INDEX('Reguler Class Availability'!$B:$B,J62)&amp;""))&amp;"  "&amp;IFERROR(--(INDEX('Reguler Class Availability'!$G:$G,J62)&amp;""),0)&amp;"/"&amp;IFERROR(--(INDEX('Reguler Class Availability'!$F:$F,J62)&amp;""),0)&amp;IF(IFERROR(--(INDEX('Reguler Class Availability'!$F:$F,J62)&amp;""),0)&gt;0,"  ("&amp;TEXT(IFERROR(--(INDEX('Reguler Class Availability'!$G:$G,J62)&amp;""),0)/IFERROR(--(INDEX('Reguler Class Availability'!$F:$F,J62)&amp;""),0),"0%")&amp;")","")&amp;CHAR(10)&amp;IF(INDEX('Reguler Class Availability'!$I:$I,J62)&amp;""="","coach: –",PROPER(INDEX('Reguler Class Availability'!$I:$I,J62)&amp;""))&amp;IF(INDEX('Reguler Class Availability'!$J:$J,J62)&amp;""="","",CHAR(10)&amp;"asst: "&amp;PROPER(INDEX('Reguler Class Availability'!$J:$J,J62)&amp;""))))</f>
        <v>Little  3/4  (75%)
Rischa</v>
      </c>
      <c r="C62" s="40" t="str">
        <f aca="false">IF(K62="","",IF(S62="Tidak dibuka","–",IF(INDEX('Reguler Class Availability'!$B:$B,K62)&amp;""="","Kosong",PROPER(INDEX('Reguler Class Availability'!$B:$B,K62)&amp;""))&amp;"  "&amp;IFERROR(--(INDEX('Reguler Class Availability'!$G:$G,K62)&amp;""),0)&amp;"/"&amp;IFERROR(--(INDEX('Reguler Class Availability'!$F:$F,K62)&amp;""),0)&amp;IF(IFERROR(--(INDEX('Reguler Class Availability'!$F:$F,K62)&amp;""),0)&gt;0,"  ("&amp;TEXT(IFERROR(--(INDEX('Reguler Class Availability'!$G:$G,K62)&amp;""),0)/IFERROR(--(INDEX('Reguler Class Availability'!$F:$F,K62)&amp;""),0),"0%")&amp;")","")&amp;CHAR(10)&amp;IF(INDEX('Reguler Class Availability'!$I:$I,K62)&amp;""="","coach: –",PROPER(INDEX('Reguler Class Availability'!$I:$I,K62)&amp;""))&amp;IF(INDEX('Reguler Class Availability'!$J:$J,K62)&amp;""="","",CHAR(10)&amp;"asst: "&amp;PROPER(INDEX('Reguler Class Availability'!$J:$J,K62)&amp;""))))</f>
        <v>Little  4/4  (100%)
Rischa</v>
      </c>
      <c r="D62" s="40" t="str">
        <f aca="false">IF(L62="","",IF(T62="Tidak dibuka","–",IF(INDEX('Reguler Class Availability'!$B:$B,L62)&amp;""="","Kosong",PROPER(INDEX('Reguler Class Availability'!$B:$B,L62)&amp;""))&amp;"  "&amp;IFERROR(--(INDEX('Reguler Class Availability'!$G:$G,L62)&amp;""),0)&amp;"/"&amp;IFERROR(--(INDEX('Reguler Class Availability'!$F:$F,L62)&amp;""),0)&amp;IF(IFERROR(--(INDEX('Reguler Class Availability'!$F:$F,L62)&amp;""),0)&gt;0,"  ("&amp;TEXT(IFERROR(--(INDEX('Reguler Class Availability'!$G:$G,L62)&amp;""),0)/IFERROR(--(INDEX('Reguler Class Availability'!$F:$F,L62)&amp;""),0),"0%")&amp;")","")&amp;CHAR(10)&amp;IF(INDEX('Reguler Class Availability'!$I:$I,L62)&amp;""="","coach: –",PROPER(INDEX('Reguler Class Availability'!$I:$I,L62)&amp;""))&amp;IF(INDEX('Reguler Class Availability'!$J:$J,L62)&amp;""="","",CHAR(10)&amp;"asst: "&amp;PROPER(INDEX('Reguler Class Availability'!$J:$J,L62)&amp;""))))</f>
        <v>Little  3/4  (75%)
Eka</v>
      </c>
      <c r="E62" s="40" t="str">
        <f aca="false">IF(M62="","",IF(U62="Tidak dibuka","–",IF(INDEX('Reguler Class Availability'!$B:$B,M62)&amp;""="","Kosong",PROPER(INDEX('Reguler Class Availability'!$B:$B,M62)&amp;""))&amp;"  "&amp;IFERROR(--(INDEX('Reguler Class Availability'!$G:$G,M62)&amp;""),0)&amp;"/"&amp;IFERROR(--(INDEX('Reguler Class Availability'!$F:$F,M62)&amp;""),0)&amp;IF(IFERROR(--(INDEX('Reguler Class Availability'!$F:$F,M62)&amp;""),0)&gt;0,"  ("&amp;TEXT(IFERROR(--(INDEX('Reguler Class Availability'!$G:$G,M62)&amp;""),0)/IFERROR(--(INDEX('Reguler Class Availability'!$F:$F,M62)&amp;""),0),"0%")&amp;")","")&amp;CHAR(10)&amp;IF(INDEX('Reguler Class Availability'!$I:$I,M62)&amp;""="","coach: –",PROPER(INDEX('Reguler Class Availability'!$I:$I,M62)&amp;""))&amp;IF(INDEX('Reguler Class Availability'!$J:$J,M62)&amp;""="","",CHAR(10)&amp;"asst: "&amp;PROPER(INDEX('Reguler Class Availability'!$J:$J,M62)&amp;""))))</f>
        <v>Little  4/4  (100%)
Surya</v>
      </c>
      <c r="F62" s="40" t="str">
        <f aca="false">IF(N62="","",IF(V62="Tidak dibuka","–",IF(INDEX('Reguler Class Availability'!$B:$B,N62)&amp;""="","Kosong",PROPER(INDEX('Reguler Class Availability'!$B:$B,N62)&amp;""))&amp;"  "&amp;IFERROR(--(INDEX('Reguler Class Availability'!$G:$G,N62)&amp;""),0)&amp;"/"&amp;IFERROR(--(INDEX('Reguler Class Availability'!$F:$F,N62)&amp;""),0)&amp;IF(IFERROR(--(INDEX('Reguler Class Availability'!$F:$F,N62)&amp;""),0)&gt;0,"  ("&amp;TEXT(IFERROR(--(INDEX('Reguler Class Availability'!$G:$G,N62)&amp;""),0)/IFERROR(--(INDEX('Reguler Class Availability'!$F:$F,N62)&amp;""),0),"0%")&amp;")","")&amp;CHAR(10)&amp;IF(INDEX('Reguler Class Availability'!$I:$I,N62)&amp;""="","coach: –",PROPER(INDEX('Reguler Class Availability'!$I:$I,N62)&amp;""))&amp;IF(INDEX('Reguler Class Availability'!$J:$J,N62)&amp;""="","",CHAR(10)&amp;"asst: "&amp;PROPER(INDEX('Reguler Class Availability'!$J:$J,N62)&amp;""))))</f>
        <v>Little  4/4  (100%)
Daffa</v>
      </c>
      <c r="G62" s="40" t="str">
        <f aca="false">IF(O62="","",IF(W62="Tidak dibuka","–",IF(INDEX('Reguler Class Availability'!$B:$B,O62)&amp;""="","Kosong",PROPER(INDEX('Reguler Class Availability'!$B:$B,O62)&amp;""))&amp;"  "&amp;IFERROR(--(INDEX('Reguler Class Availability'!$G:$G,O62)&amp;""),0)&amp;"/"&amp;IFERROR(--(INDEX('Reguler Class Availability'!$F:$F,O62)&amp;""),0)&amp;IF(IFERROR(--(INDEX('Reguler Class Availability'!$F:$F,O62)&amp;""),0)&gt;0,"  ("&amp;TEXT(IFERROR(--(INDEX('Reguler Class Availability'!$G:$G,O62)&amp;""),0)/IFERROR(--(INDEX('Reguler Class Availability'!$F:$F,O62)&amp;""),0),"0%")&amp;")","")&amp;CHAR(10)&amp;IF(INDEX('Reguler Class Availability'!$I:$I,O62)&amp;""="","coach: –",PROPER(INDEX('Reguler Class Availability'!$I:$I,O62)&amp;""))&amp;IF(INDEX('Reguler Class Availability'!$J:$J,O62)&amp;""="","",CHAR(10)&amp;"asst: "&amp;PROPER(INDEX('Reguler Class Availability'!$J:$J,O62)&amp;""))))</f>
        <v>Little  4/4  (100%)
Nuky</v>
      </c>
      <c r="H62" s="40" t="str">
        <f aca="false">IF(P62="","",IF(X62="Tidak dibuka","–",IF(INDEX('Reguler Class Availability'!$B:$B,P62)&amp;""="","Kosong",PROPER(INDEX('Reguler Class Availability'!$B:$B,P62)&amp;""))&amp;"  "&amp;IFERROR(--(INDEX('Reguler Class Availability'!$G:$G,P62)&amp;""),0)&amp;"/"&amp;IFERROR(--(INDEX('Reguler Class Availability'!$F:$F,P62)&amp;""),0)&amp;IF(IFERROR(--(INDEX('Reguler Class Availability'!$F:$F,P62)&amp;""),0)&gt;0,"  ("&amp;TEXT(IFERROR(--(INDEX('Reguler Class Availability'!$G:$G,P62)&amp;""),0)/IFERROR(--(INDEX('Reguler Class Availability'!$F:$F,P62)&amp;""),0),"0%")&amp;")","")&amp;CHAR(10)&amp;IF(INDEX('Reguler Class Availability'!$I:$I,P62)&amp;""="","coach: –",PROPER(INDEX('Reguler Class Availability'!$I:$I,P62)&amp;""))&amp;IF(INDEX('Reguler Class Availability'!$J:$J,P62)&amp;""="","",CHAR(10)&amp;"asst: "&amp;PROPER(INDEX('Reguler Class Availability'!$J:$J,P62)&amp;""))))</f>
        <v>Little  4/4  (100%)
Danti</v>
      </c>
      <c r="J62" s="4" t="n">
        <f aca="false">IF($A62="","",IFERROR(MATCH($B$4&amp;"|- Lane 3 - "&amp;B$51&amp;"|"&amp;$A62,'Reguler Class Availability'!$L:$L,0),""))</f>
        <v>194</v>
      </c>
      <c r="K62" s="4" t="n">
        <f aca="false">IF($A62="","",IFERROR(MATCH($B$4&amp;"|- Lane 3 - "&amp;C$51&amp;"|"&amp;$A62,'Reguler Class Availability'!$L:$L,0),""))</f>
        <v>206</v>
      </c>
      <c r="L62" s="4" t="n">
        <f aca="false">IF($A62="","",IFERROR(MATCH($B$4&amp;"|- Lane 3 - "&amp;D$51&amp;"|"&amp;$A62,'Reguler Class Availability'!$L:$L,0),""))</f>
        <v>218</v>
      </c>
      <c r="M62" s="4" t="n">
        <f aca="false">IF($A62="","",IFERROR(MATCH($B$4&amp;"|- Lane 3 - "&amp;E$51&amp;"|"&amp;$A62,'Reguler Class Availability'!$L:$L,0),""))</f>
        <v>230</v>
      </c>
      <c r="N62" s="4" t="n">
        <f aca="false">IF($A62="","",IFERROR(MATCH($B$4&amp;"|- Lane 3 - "&amp;F$51&amp;"|"&amp;$A62,'Reguler Class Availability'!$L:$L,0),""))</f>
        <v>242</v>
      </c>
      <c r="O62" s="4" t="n">
        <f aca="false">IF($A62="","",IFERROR(MATCH($B$4&amp;"|- Lane 3 - "&amp;G$51&amp;"|"&amp;$A62,'Reguler Class Availability'!$L:$L,0),""))</f>
        <v>254</v>
      </c>
      <c r="P62" s="4" t="n">
        <f aca="false">IF($A62="","",IFERROR(MATCH($B$4&amp;"|- Lane 3 - "&amp;H$51&amp;"|"&amp;$A62,'Reguler Class Availability'!$L:$L,0),""))</f>
        <v>266</v>
      </c>
      <c r="R62" s="0" t="str">
        <f aca="false">IF(J62="","",IF(AND(IFERROR(--(INDEX('Reguler Class Availability'!$F:$F,J62)&amp;""),0)=0,IFERROR(--(INDEX('Reguler Class Availability'!$G:$G,J62)&amp;""),0)=0),IF(OR(INDEX('Reguler Class Availability'!$B:$B,J62)&amp;""&lt;&gt;"",INDEX('Reguler Class Availability'!$I:$I,J62)&amp;""&lt;&gt;""),"Tutup","Tidak dibuka"),IF(IFERROR(--(INDEX('Reguler Class Availability'!$G:$G,J62)&amp;""),0)&gt;IFERROR(--(INDEX('Reguler Class Availability'!$F:$F,J62)&amp;""),0),"Lebih",IF(IFERROR(--(INDEX('Reguler Class Availability'!$G:$G,J62)&amp;""),0)=IFERROR(--(INDEX('Reguler Class Availability'!$F:$F,J62)&amp;""),0),"Penuh",IF(IFERROR(--(INDEX('Reguler Class Availability'!$G:$G,J62)&amp;""),0)=0,IF(INDEX('Reguler Class Availability'!$B:$B,J62)&amp;""="","Kosong","Belum terisi"),IF(IFERROR(--(INDEX('Reguler Class Availability'!$G:$G,J62)&amp;""),0)/IFERROR(--(INDEX('Reguler Class Availability'!$F:$F,J62)&amp;""),0)&gt;=0.6,"Tinggi","Sebagian"))))))</f>
        <v>Tinggi</v>
      </c>
      <c r="S62" s="0" t="str">
        <f aca="false">IF(K62="","",IF(AND(IFERROR(--(INDEX('Reguler Class Availability'!$F:$F,K62)&amp;""),0)=0,IFERROR(--(INDEX('Reguler Class Availability'!$G:$G,K62)&amp;""),0)=0),IF(OR(INDEX('Reguler Class Availability'!$B:$B,K62)&amp;""&lt;&gt;"",INDEX('Reguler Class Availability'!$I:$I,K62)&amp;""&lt;&gt;""),"Tutup","Tidak dibuka"),IF(IFERROR(--(INDEX('Reguler Class Availability'!$G:$G,K62)&amp;""),0)&gt;IFERROR(--(INDEX('Reguler Class Availability'!$F:$F,K62)&amp;""),0),"Lebih",IF(IFERROR(--(INDEX('Reguler Class Availability'!$G:$G,K62)&amp;""),0)=IFERROR(--(INDEX('Reguler Class Availability'!$F:$F,K62)&amp;""),0),"Penuh",IF(IFERROR(--(INDEX('Reguler Class Availability'!$G:$G,K62)&amp;""),0)=0,IF(INDEX('Reguler Class Availability'!$B:$B,K62)&amp;""="","Kosong","Belum terisi"),IF(IFERROR(--(INDEX('Reguler Class Availability'!$G:$G,K62)&amp;""),0)/IFERROR(--(INDEX('Reguler Class Availability'!$F:$F,K62)&amp;""),0)&gt;=0.6,"Tinggi","Sebagian"))))))</f>
        <v>Penuh</v>
      </c>
      <c r="T62" s="0" t="str">
        <f aca="false">IF(L62="","",IF(AND(IFERROR(--(INDEX('Reguler Class Availability'!$F:$F,L62)&amp;""),0)=0,IFERROR(--(INDEX('Reguler Class Availability'!$G:$G,L62)&amp;""),0)=0),IF(OR(INDEX('Reguler Class Availability'!$B:$B,L62)&amp;""&lt;&gt;"",INDEX('Reguler Class Availability'!$I:$I,L62)&amp;""&lt;&gt;""),"Tutup","Tidak dibuka"),IF(IFERROR(--(INDEX('Reguler Class Availability'!$G:$G,L62)&amp;""),0)&gt;IFERROR(--(INDEX('Reguler Class Availability'!$F:$F,L62)&amp;""),0),"Lebih",IF(IFERROR(--(INDEX('Reguler Class Availability'!$G:$G,L62)&amp;""),0)=IFERROR(--(INDEX('Reguler Class Availability'!$F:$F,L62)&amp;""),0),"Penuh",IF(IFERROR(--(INDEX('Reguler Class Availability'!$G:$G,L62)&amp;""),0)=0,IF(INDEX('Reguler Class Availability'!$B:$B,L62)&amp;""="","Kosong","Belum terisi"),IF(IFERROR(--(INDEX('Reguler Class Availability'!$G:$G,L62)&amp;""),0)/IFERROR(--(INDEX('Reguler Class Availability'!$F:$F,L62)&amp;""),0)&gt;=0.6,"Tinggi","Sebagian"))))))</f>
        <v>Tinggi</v>
      </c>
      <c r="U62" s="0" t="str">
        <f aca="false">IF(M62="","",IF(AND(IFERROR(--(INDEX('Reguler Class Availability'!$F:$F,M62)&amp;""),0)=0,IFERROR(--(INDEX('Reguler Class Availability'!$G:$G,M62)&amp;""),0)=0),IF(OR(INDEX('Reguler Class Availability'!$B:$B,M62)&amp;""&lt;&gt;"",INDEX('Reguler Class Availability'!$I:$I,M62)&amp;""&lt;&gt;""),"Tutup","Tidak dibuka"),IF(IFERROR(--(INDEX('Reguler Class Availability'!$G:$G,M62)&amp;""),0)&gt;IFERROR(--(INDEX('Reguler Class Availability'!$F:$F,M62)&amp;""),0),"Lebih",IF(IFERROR(--(INDEX('Reguler Class Availability'!$G:$G,M62)&amp;""),0)=IFERROR(--(INDEX('Reguler Class Availability'!$F:$F,M62)&amp;""),0),"Penuh",IF(IFERROR(--(INDEX('Reguler Class Availability'!$G:$G,M62)&amp;""),0)=0,IF(INDEX('Reguler Class Availability'!$B:$B,M62)&amp;""="","Kosong","Belum terisi"),IF(IFERROR(--(INDEX('Reguler Class Availability'!$G:$G,M62)&amp;""),0)/IFERROR(--(INDEX('Reguler Class Availability'!$F:$F,M62)&amp;""),0)&gt;=0.6,"Tinggi","Sebagian"))))))</f>
        <v>Penuh</v>
      </c>
      <c r="V62" s="0" t="str">
        <f aca="false">IF(N62="","",IF(AND(IFERROR(--(INDEX('Reguler Class Availability'!$F:$F,N62)&amp;""),0)=0,IFERROR(--(INDEX('Reguler Class Availability'!$G:$G,N62)&amp;""),0)=0),IF(OR(INDEX('Reguler Class Availability'!$B:$B,N62)&amp;""&lt;&gt;"",INDEX('Reguler Class Availability'!$I:$I,N62)&amp;""&lt;&gt;""),"Tutup","Tidak dibuka"),IF(IFERROR(--(INDEX('Reguler Class Availability'!$G:$G,N62)&amp;""),0)&gt;IFERROR(--(INDEX('Reguler Class Availability'!$F:$F,N62)&amp;""),0),"Lebih",IF(IFERROR(--(INDEX('Reguler Class Availability'!$G:$G,N62)&amp;""),0)=IFERROR(--(INDEX('Reguler Class Availability'!$F:$F,N62)&amp;""),0),"Penuh",IF(IFERROR(--(INDEX('Reguler Class Availability'!$G:$G,N62)&amp;""),0)=0,IF(INDEX('Reguler Class Availability'!$B:$B,N62)&amp;""="","Kosong","Belum terisi"),IF(IFERROR(--(INDEX('Reguler Class Availability'!$G:$G,N62)&amp;""),0)/IFERROR(--(INDEX('Reguler Class Availability'!$F:$F,N62)&amp;""),0)&gt;=0.6,"Tinggi","Sebagian"))))))</f>
        <v>Penuh</v>
      </c>
      <c r="W62" s="0" t="str">
        <f aca="false">IF(O62="","",IF(AND(IFERROR(--(INDEX('Reguler Class Availability'!$F:$F,O62)&amp;""),0)=0,IFERROR(--(INDEX('Reguler Class Availability'!$G:$G,O62)&amp;""),0)=0),IF(OR(INDEX('Reguler Class Availability'!$B:$B,O62)&amp;""&lt;&gt;"",INDEX('Reguler Class Availability'!$I:$I,O62)&amp;""&lt;&gt;""),"Tutup","Tidak dibuka"),IF(IFERROR(--(INDEX('Reguler Class Availability'!$G:$G,O62)&amp;""),0)&gt;IFERROR(--(INDEX('Reguler Class Availability'!$F:$F,O62)&amp;""),0),"Lebih",IF(IFERROR(--(INDEX('Reguler Class Availability'!$G:$G,O62)&amp;""),0)=IFERROR(--(INDEX('Reguler Class Availability'!$F:$F,O62)&amp;""),0),"Penuh",IF(IFERROR(--(INDEX('Reguler Class Availability'!$G:$G,O62)&amp;""),0)=0,IF(INDEX('Reguler Class Availability'!$B:$B,O62)&amp;""="","Kosong","Belum terisi"),IF(IFERROR(--(INDEX('Reguler Class Availability'!$G:$G,O62)&amp;""),0)/IFERROR(--(INDEX('Reguler Class Availability'!$F:$F,O62)&amp;""),0)&gt;=0.6,"Tinggi","Sebagian"))))))</f>
        <v>Penuh</v>
      </c>
      <c r="X62" s="0" t="str">
        <f aca="false">IF(P62="","",IF(AND(IFERROR(--(INDEX('Reguler Class Availability'!$F:$F,P62)&amp;""),0)=0,IFERROR(--(INDEX('Reguler Class Availability'!$G:$G,P62)&amp;""),0)=0),IF(OR(INDEX('Reguler Class Availability'!$B:$B,P62)&amp;""&lt;&gt;"",INDEX('Reguler Class Availability'!$I:$I,P62)&amp;""&lt;&gt;""),"Tutup","Tidak dibuka"),IF(IFERROR(--(INDEX('Reguler Class Availability'!$G:$G,P62)&amp;""),0)&gt;IFERROR(--(INDEX('Reguler Class Availability'!$F:$F,P62)&amp;""),0),"Lebih",IF(IFERROR(--(INDEX('Reguler Class Availability'!$G:$G,P62)&amp;""),0)=IFERROR(--(INDEX('Reguler Class Availability'!$F:$F,P62)&amp;""),0),"Penuh",IF(IFERROR(--(INDEX('Reguler Class Availability'!$G:$G,P62)&amp;""),0)=0,IF(INDEX('Reguler Class Availability'!$B:$B,P62)&amp;""="","Kosong","Belum terisi"),IF(IFERROR(--(INDEX('Reguler Class Availability'!$G:$G,P62)&amp;""),0)/IFERROR(--(INDEX('Reguler Class Availability'!$F:$F,P62)&amp;""),0)&gt;=0.6,"Tinggi","Sebagian"))))))</f>
        <v>Penuh</v>
      </c>
      <c r="Z62" s="4" t="s">
        <v>3</v>
      </c>
      <c r="AA62" s="4" t="n">
        <f aca="false">IF(COUNTIFS('Reguler Class Availability'!$L:$L,$B$4&amp;"|- Lane 2 - *|"&amp;Z62)&gt;0,1,0)</f>
        <v>0</v>
      </c>
      <c r="AB62" s="4" t="n">
        <f aca="false">AA62</f>
        <v>0</v>
      </c>
    </row>
    <row r="63" customFormat="false" ht="39.75" hidden="false" customHeight="true" outlineLevel="0" collapsed="false">
      <c r="A63" s="39" t="str">
        <f aca="false">IFERROR(INDEX($Z$122:$Z$181,MATCH(12,$AB$122:$AB$181,0)),"")</f>
        <v>17:00</v>
      </c>
      <c r="B63" s="40" t="str">
        <f aca="false">IF(J63="","",IF(R63="Tidak dibuka","–",IF(INDEX('Reguler Class Availability'!$B:$B,J63)&amp;""="","Kosong",PROPER(INDEX('Reguler Class Availability'!$B:$B,J63)&amp;""))&amp;"  "&amp;IFERROR(--(INDEX('Reguler Class Availability'!$G:$G,J63)&amp;""),0)&amp;"/"&amp;IFERROR(--(INDEX('Reguler Class Availability'!$F:$F,J63)&amp;""),0)&amp;IF(IFERROR(--(INDEX('Reguler Class Availability'!$F:$F,J63)&amp;""),0)&gt;0,"  ("&amp;TEXT(IFERROR(--(INDEX('Reguler Class Availability'!$G:$G,J63)&amp;""),0)/IFERROR(--(INDEX('Reguler Class Availability'!$F:$F,J63)&amp;""),0),"0%")&amp;")","")&amp;CHAR(10)&amp;IF(INDEX('Reguler Class Availability'!$I:$I,J63)&amp;""="","coach: –",PROPER(INDEX('Reguler Class Availability'!$I:$I,J63)&amp;""))&amp;IF(INDEX('Reguler Class Availability'!$J:$J,J63)&amp;""="","",CHAR(10)&amp;"asst: "&amp;PROPER(INDEX('Reguler Class Availability'!$J:$J,J63)&amp;""))))</f>
        <v>Little  4/4  (100%)
Daffa</v>
      </c>
      <c r="C63" s="40" t="str">
        <f aca="false">IF(K63="","",IF(S63="Tidak dibuka","–",IF(INDEX('Reguler Class Availability'!$B:$B,K63)&amp;""="","Kosong",PROPER(INDEX('Reguler Class Availability'!$B:$B,K63)&amp;""))&amp;"  "&amp;IFERROR(--(INDEX('Reguler Class Availability'!$G:$G,K63)&amp;""),0)&amp;"/"&amp;IFERROR(--(INDEX('Reguler Class Availability'!$F:$F,K63)&amp;""),0)&amp;IF(IFERROR(--(INDEX('Reguler Class Availability'!$F:$F,K63)&amp;""),0)&gt;0,"  ("&amp;TEXT(IFERROR(--(INDEX('Reguler Class Availability'!$G:$G,K63)&amp;""),0)/IFERROR(--(INDEX('Reguler Class Availability'!$F:$F,K63)&amp;""),0),"0%")&amp;")","")&amp;CHAR(10)&amp;IF(INDEX('Reguler Class Availability'!$I:$I,K63)&amp;""="","coach: –",PROPER(INDEX('Reguler Class Availability'!$I:$I,K63)&amp;""))&amp;IF(INDEX('Reguler Class Availability'!$J:$J,K63)&amp;""="","",CHAR(10)&amp;"asst: "&amp;PROPER(INDEX('Reguler Class Availability'!$J:$J,K63)&amp;""))))</f>
        <v>Little  4/4  (100%)
Zidane</v>
      </c>
      <c r="D63" s="40" t="str">
        <f aca="false">IF(L63="","",IF(T63="Tidak dibuka","–",IF(INDEX('Reguler Class Availability'!$B:$B,L63)&amp;""="","Kosong",PROPER(INDEX('Reguler Class Availability'!$B:$B,L63)&amp;""))&amp;"  "&amp;IFERROR(--(INDEX('Reguler Class Availability'!$G:$G,L63)&amp;""),0)&amp;"/"&amp;IFERROR(--(INDEX('Reguler Class Availability'!$F:$F,L63)&amp;""),0)&amp;IF(IFERROR(--(INDEX('Reguler Class Availability'!$F:$F,L63)&amp;""),0)&gt;0,"  ("&amp;TEXT(IFERROR(--(INDEX('Reguler Class Availability'!$G:$G,L63)&amp;""),0)/IFERROR(--(INDEX('Reguler Class Availability'!$F:$F,L63)&amp;""),0),"0%")&amp;")","")&amp;CHAR(10)&amp;IF(INDEX('Reguler Class Availability'!$I:$I,L63)&amp;""="","coach: –",PROPER(INDEX('Reguler Class Availability'!$I:$I,L63)&amp;""))&amp;IF(INDEX('Reguler Class Availability'!$J:$J,L63)&amp;""="","",CHAR(10)&amp;"asst: "&amp;PROPER(INDEX('Reguler Class Availability'!$J:$J,L63)&amp;""))))</f>
        <v>Little  4/4  (100%)
Surya</v>
      </c>
      <c r="E63" s="40" t="str">
        <f aca="false">IF(M63="","",IF(U63="Tidak dibuka","–",IF(INDEX('Reguler Class Availability'!$B:$B,M63)&amp;""="","Kosong",PROPER(INDEX('Reguler Class Availability'!$B:$B,M63)&amp;""))&amp;"  "&amp;IFERROR(--(INDEX('Reguler Class Availability'!$G:$G,M63)&amp;""),0)&amp;"/"&amp;IFERROR(--(INDEX('Reguler Class Availability'!$F:$F,M63)&amp;""),0)&amp;IF(IFERROR(--(INDEX('Reguler Class Availability'!$F:$F,M63)&amp;""),0)&gt;0,"  ("&amp;TEXT(IFERROR(--(INDEX('Reguler Class Availability'!$G:$G,M63)&amp;""),0)/IFERROR(--(INDEX('Reguler Class Availability'!$F:$F,M63)&amp;""),0),"0%")&amp;")","")&amp;CHAR(10)&amp;IF(INDEX('Reguler Class Availability'!$I:$I,M63)&amp;""="","coach: –",PROPER(INDEX('Reguler Class Availability'!$I:$I,M63)&amp;""))&amp;IF(INDEX('Reguler Class Availability'!$J:$J,M63)&amp;""="","",CHAR(10)&amp;"asst: "&amp;PROPER(INDEX('Reguler Class Availability'!$J:$J,M63)&amp;""))))</f>
        <v>Little  4/4  (100%)
Nuky</v>
      </c>
      <c r="F63" s="40" t="str">
        <f aca="false">IF(N63="","",IF(V63="Tidak dibuka","–",IF(INDEX('Reguler Class Availability'!$B:$B,N63)&amp;""="","Kosong",PROPER(INDEX('Reguler Class Availability'!$B:$B,N63)&amp;""))&amp;"  "&amp;IFERROR(--(INDEX('Reguler Class Availability'!$G:$G,N63)&amp;""),0)&amp;"/"&amp;IFERROR(--(INDEX('Reguler Class Availability'!$F:$F,N63)&amp;""),0)&amp;IF(IFERROR(--(INDEX('Reguler Class Availability'!$F:$F,N63)&amp;""),0)&gt;0,"  ("&amp;TEXT(IFERROR(--(INDEX('Reguler Class Availability'!$G:$G,N63)&amp;""),0)/IFERROR(--(INDEX('Reguler Class Availability'!$F:$F,N63)&amp;""),0),"0%")&amp;")","")&amp;CHAR(10)&amp;IF(INDEX('Reguler Class Availability'!$I:$I,N63)&amp;""="","coach: –",PROPER(INDEX('Reguler Class Availability'!$I:$I,N63)&amp;""))&amp;IF(INDEX('Reguler Class Availability'!$J:$J,N63)&amp;""="","",CHAR(10)&amp;"asst: "&amp;PROPER(INDEX('Reguler Class Availability'!$J:$J,N63)&amp;""))))</f>
        <v>Little  4/4  (100%)
Rischa</v>
      </c>
      <c r="G63" s="40" t="str">
        <f aca="false">IF(O63="","",IF(W63="Tidak dibuka","–",IF(INDEX('Reguler Class Availability'!$B:$B,O63)&amp;""="","Kosong",PROPER(INDEX('Reguler Class Availability'!$B:$B,O63)&amp;""))&amp;"  "&amp;IFERROR(--(INDEX('Reguler Class Availability'!$G:$G,O63)&amp;""),0)&amp;"/"&amp;IFERROR(--(INDEX('Reguler Class Availability'!$F:$F,O63)&amp;""),0)&amp;IF(IFERROR(--(INDEX('Reguler Class Availability'!$F:$F,O63)&amp;""),0)&gt;0,"  ("&amp;TEXT(IFERROR(--(INDEX('Reguler Class Availability'!$G:$G,O63)&amp;""),0)/IFERROR(--(INDEX('Reguler Class Availability'!$F:$F,O63)&amp;""),0),"0%")&amp;")","")&amp;CHAR(10)&amp;IF(INDEX('Reguler Class Availability'!$I:$I,O63)&amp;""="","coach: –",PROPER(INDEX('Reguler Class Availability'!$I:$I,O63)&amp;""))&amp;IF(INDEX('Reguler Class Availability'!$J:$J,O63)&amp;""="","",CHAR(10)&amp;"asst: "&amp;PROPER(INDEX('Reguler Class Availability'!$J:$J,O63)&amp;""))))</f>
        <v>Little  4/4  (100%)
Danti</v>
      </c>
      <c r="H63" s="40" t="str">
        <f aca="false">IF(P63="","",IF(X63="Tidak dibuka","–",IF(INDEX('Reguler Class Availability'!$B:$B,P63)&amp;""="","Kosong",PROPER(INDEX('Reguler Class Availability'!$B:$B,P63)&amp;""))&amp;"  "&amp;IFERROR(--(INDEX('Reguler Class Availability'!$G:$G,P63)&amp;""),0)&amp;"/"&amp;IFERROR(--(INDEX('Reguler Class Availability'!$F:$F,P63)&amp;""),0)&amp;IF(IFERROR(--(INDEX('Reguler Class Availability'!$F:$F,P63)&amp;""),0)&gt;0,"  ("&amp;TEXT(IFERROR(--(INDEX('Reguler Class Availability'!$G:$G,P63)&amp;""),0)/IFERROR(--(INDEX('Reguler Class Availability'!$F:$F,P63)&amp;""),0),"0%")&amp;")","")&amp;CHAR(10)&amp;IF(INDEX('Reguler Class Availability'!$I:$I,P63)&amp;""="","coach: –",PROPER(INDEX('Reguler Class Availability'!$I:$I,P63)&amp;""))&amp;IF(INDEX('Reguler Class Availability'!$J:$J,P63)&amp;""="","",CHAR(10)&amp;"asst: "&amp;PROPER(INDEX('Reguler Class Availability'!$J:$J,P63)&amp;""))))</f>
        <v>Little  3/4  (75%)
Eka</v>
      </c>
      <c r="J63" s="4" t="n">
        <f aca="false">IF($A63="","",IFERROR(MATCH($B$4&amp;"|- Lane 3 - "&amp;B$51&amp;"|"&amp;$A63,'Reguler Class Availability'!$L:$L,0),""))</f>
        <v>195</v>
      </c>
      <c r="K63" s="4" t="n">
        <f aca="false">IF($A63="","",IFERROR(MATCH($B$4&amp;"|- Lane 3 - "&amp;C$51&amp;"|"&amp;$A63,'Reguler Class Availability'!$L:$L,0),""))</f>
        <v>207</v>
      </c>
      <c r="L63" s="4" t="n">
        <f aca="false">IF($A63="","",IFERROR(MATCH($B$4&amp;"|- Lane 3 - "&amp;D$51&amp;"|"&amp;$A63,'Reguler Class Availability'!$L:$L,0),""))</f>
        <v>219</v>
      </c>
      <c r="M63" s="4" t="n">
        <f aca="false">IF($A63="","",IFERROR(MATCH($B$4&amp;"|- Lane 3 - "&amp;E$51&amp;"|"&amp;$A63,'Reguler Class Availability'!$L:$L,0),""))</f>
        <v>231</v>
      </c>
      <c r="N63" s="4" t="n">
        <f aca="false">IF($A63="","",IFERROR(MATCH($B$4&amp;"|- Lane 3 - "&amp;F$51&amp;"|"&amp;$A63,'Reguler Class Availability'!$L:$L,0),""))</f>
        <v>243</v>
      </c>
      <c r="O63" s="4" t="n">
        <f aca="false">IF($A63="","",IFERROR(MATCH($B$4&amp;"|- Lane 3 - "&amp;G$51&amp;"|"&amp;$A63,'Reguler Class Availability'!$L:$L,0),""))</f>
        <v>255</v>
      </c>
      <c r="P63" s="4" t="n">
        <f aca="false">IF($A63="","",IFERROR(MATCH($B$4&amp;"|- Lane 3 - "&amp;H$51&amp;"|"&amp;$A63,'Reguler Class Availability'!$L:$L,0),""))</f>
        <v>267</v>
      </c>
      <c r="R63" s="0" t="str">
        <f aca="false">IF(J63="","",IF(AND(IFERROR(--(INDEX('Reguler Class Availability'!$F:$F,J63)&amp;""),0)=0,IFERROR(--(INDEX('Reguler Class Availability'!$G:$G,J63)&amp;""),0)=0),IF(OR(INDEX('Reguler Class Availability'!$B:$B,J63)&amp;""&lt;&gt;"",INDEX('Reguler Class Availability'!$I:$I,J63)&amp;""&lt;&gt;""),"Tutup","Tidak dibuka"),IF(IFERROR(--(INDEX('Reguler Class Availability'!$G:$G,J63)&amp;""),0)&gt;IFERROR(--(INDEX('Reguler Class Availability'!$F:$F,J63)&amp;""),0),"Lebih",IF(IFERROR(--(INDEX('Reguler Class Availability'!$G:$G,J63)&amp;""),0)=IFERROR(--(INDEX('Reguler Class Availability'!$F:$F,J63)&amp;""),0),"Penuh",IF(IFERROR(--(INDEX('Reguler Class Availability'!$G:$G,J63)&amp;""),0)=0,IF(INDEX('Reguler Class Availability'!$B:$B,J63)&amp;""="","Kosong","Belum terisi"),IF(IFERROR(--(INDEX('Reguler Class Availability'!$G:$G,J63)&amp;""),0)/IFERROR(--(INDEX('Reguler Class Availability'!$F:$F,J63)&amp;""),0)&gt;=0.6,"Tinggi","Sebagian"))))))</f>
        <v>Penuh</v>
      </c>
      <c r="S63" s="0" t="str">
        <f aca="false">IF(K63="","",IF(AND(IFERROR(--(INDEX('Reguler Class Availability'!$F:$F,K63)&amp;""),0)=0,IFERROR(--(INDEX('Reguler Class Availability'!$G:$G,K63)&amp;""),0)=0),IF(OR(INDEX('Reguler Class Availability'!$B:$B,K63)&amp;""&lt;&gt;"",INDEX('Reguler Class Availability'!$I:$I,K63)&amp;""&lt;&gt;""),"Tutup","Tidak dibuka"),IF(IFERROR(--(INDEX('Reguler Class Availability'!$G:$G,K63)&amp;""),0)&gt;IFERROR(--(INDEX('Reguler Class Availability'!$F:$F,K63)&amp;""),0),"Lebih",IF(IFERROR(--(INDEX('Reguler Class Availability'!$G:$G,K63)&amp;""),0)=IFERROR(--(INDEX('Reguler Class Availability'!$F:$F,K63)&amp;""),0),"Penuh",IF(IFERROR(--(INDEX('Reguler Class Availability'!$G:$G,K63)&amp;""),0)=0,IF(INDEX('Reguler Class Availability'!$B:$B,K63)&amp;""="","Kosong","Belum terisi"),IF(IFERROR(--(INDEX('Reguler Class Availability'!$G:$G,K63)&amp;""),0)/IFERROR(--(INDEX('Reguler Class Availability'!$F:$F,K63)&amp;""),0)&gt;=0.6,"Tinggi","Sebagian"))))))</f>
        <v>Penuh</v>
      </c>
      <c r="T63" s="0" t="str">
        <f aca="false">IF(L63="","",IF(AND(IFERROR(--(INDEX('Reguler Class Availability'!$F:$F,L63)&amp;""),0)=0,IFERROR(--(INDEX('Reguler Class Availability'!$G:$G,L63)&amp;""),0)=0),IF(OR(INDEX('Reguler Class Availability'!$B:$B,L63)&amp;""&lt;&gt;"",INDEX('Reguler Class Availability'!$I:$I,L63)&amp;""&lt;&gt;""),"Tutup","Tidak dibuka"),IF(IFERROR(--(INDEX('Reguler Class Availability'!$G:$G,L63)&amp;""),0)&gt;IFERROR(--(INDEX('Reguler Class Availability'!$F:$F,L63)&amp;""),0),"Lebih",IF(IFERROR(--(INDEX('Reguler Class Availability'!$G:$G,L63)&amp;""),0)=IFERROR(--(INDEX('Reguler Class Availability'!$F:$F,L63)&amp;""),0),"Penuh",IF(IFERROR(--(INDEX('Reguler Class Availability'!$G:$G,L63)&amp;""),0)=0,IF(INDEX('Reguler Class Availability'!$B:$B,L63)&amp;""="","Kosong","Belum terisi"),IF(IFERROR(--(INDEX('Reguler Class Availability'!$G:$G,L63)&amp;""),0)/IFERROR(--(INDEX('Reguler Class Availability'!$F:$F,L63)&amp;""),0)&gt;=0.6,"Tinggi","Sebagian"))))))</f>
        <v>Penuh</v>
      </c>
      <c r="U63" s="0" t="str">
        <f aca="false">IF(M63="","",IF(AND(IFERROR(--(INDEX('Reguler Class Availability'!$F:$F,M63)&amp;""),0)=0,IFERROR(--(INDEX('Reguler Class Availability'!$G:$G,M63)&amp;""),0)=0),IF(OR(INDEX('Reguler Class Availability'!$B:$B,M63)&amp;""&lt;&gt;"",INDEX('Reguler Class Availability'!$I:$I,M63)&amp;""&lt;&gt;""),"Tutup","Tidak dibuka"),IF(IFERROR(--(INDEX('Reguler Class Availability'!$G:$G,M63)&amp;""),0)&gt;IFERROR(--(INDEX('Reguler Class Availability'!$F:$F,M63)&amp;""),0),"Lebih",IF(IFERROR(--(INDEX('Reguler Class Availability'!$G:$G,M63)&amp;""),0)=IFERROR(--(INDEX('Reguler Class Availability'!$F:$F,M63)&amp;""),0),"Penuh",IF(IFERROR(--(INDEX('Reguler Class Availability'!$G:$G,M63)&amp;""),0)=0,IF(INDEX('Reguler Class Availability'!$B:$B,M63)&amp;""="","Kosong","Belum terisi"),IF(IFERROR(--(INDEX('Reguler Class Availability'!$G:$G,M63)&amp;""),0)/IFERROR(--(INDEX('Reguler Class Availability'!$F:$F,M63)&amp;""),0)&gt;=0.6,"Tinggi","Sebagian"))))))</f>
        <v>Penuh</v>
      </c>
      <c r="V63" s="0" t="str">
        <f aca="false">IF(N63="","",IF(AND(IFERROR(--(INDEX('Reguler Class Availability'!$F:$F,N63)&amp;""),0)=0,IFERROR(--(INDEX('Reguler Class Availability'!$G:$G,N63)&amp;""),0)=0),IF(OR(INDEX('Reguler Class Availability'!$B:$B,N63)&amp;""&lt;&gt;"",INDEX('Reguler Class Availability'!$I:$I,N63)&amp;""&lt;&gt;""),"Tutup","Tidak dibuka"),IF(IFERROR(--(INDEX('Reguler Class Availability'!$G:$G,N63)&amp;""),0)&gt;IFERROR(--(INDEX('Reguler Class Availability'!$F:$F,N63)&amp;""),0),"Lebih",IF(IFERROR(--(INDEX('Reguler Class Availability'!$G:$G,N63)&amp;""),0)=IFERROR(--(INDEX('Reguler Class Availability'!$F:$F,N63)&amp;""),0),"Penuh",IF(IFERROR(--(INDEX('Reguler Class Availability'!$G:$G,N63)&amp;""),0)=0,IF(INDEX('Reguler Class Availability'!$B:$B,N63)&amp;""="","Kosong","Belum terisi"),IF(IFERROR(--(INDEX('Reguler Class Availability'!$G:$G,N63)&amp;""),0)/IFERROR(--(INDEX('Reguler Class Availability'!$F:$F,N63)&amp;""),0)&gt;=0.6,"Tinggi","Sebagian"))))))</f>
        <v>Penuh</v>
      </c>
      <c r="W63" s="0" t="str">
        <f aca="false">IF(O63="","",IF(AND(IFERROR(--(INDEX('Reguler Class Availability'!$F:$F,O63)&amp;""),0)=0,IFERROR(--(INDEX('Reguler Class Availability'!$G:$G,O63)&amp;""),0)=0),IF(OR(INDEX('Reguler Class Availability'!$B:$B,O63)&amp;""&lt;&gt;"",INDEX('Reguler Class Availability'!$I:$I,O63)&amp;""&lt;&gt;""),"Tutup","Tidak dibuka"),IF(IFERROR(--(INDEX('Reguler Class Availability'!$G:$G,O63)&amp;""),0)&gt;IFERROR(--(INDEX('Reguler Class Availability'!$F:$F,O63)&amp;""),0),"Lebih",IF(IFERROR(--(INDEX('Reguler Class Availability'!$G:$G,O63)&amp;""),0)=IFERROR(--(INDEX('Reguler Class Availability'!$F:$F,O63)&amp;""),0),"Penuh",IF(IFERROR(--(INDEX('Reguler Class Availability'!$G:$G,O63)&amp;""),0)=0,IF(INDEX('Reguler Class Availability'!$B:$B,O63)&amp;""="","Kosong","Belum terisi"),IF(IFERROR(--(INDEX('Reguler Class Availability'!$G:$G,O63)&amp;""),0)/IFERROR(--(INDEX('Reguler Class Availability'!$F:$F,O63)&amp;""),0)&gt;=0.6,"Tinggi","Sebagian"))))))</f>
        <v>Penuh</v>
      </c>
      <c r="X63" s="0" t="str">
        <f aca="false">IF(P63="","",IF(AND(IFERROR(--(INDEX('Reguler Class Availability'!$F:$F,P63)&amp;""),0)=0,IFERROR(--(INDEX('Reguler Class Availability'!$G:$G,P63)&amp;""),0)=0),IF(OR(INDEX('Reguler Class Availability'!$B:$B,P63)&amp;""&lt;&gt;"",INDEX('Reguler Class Availability'!$I:$I,P63)&amp;""&lt;&gt;""),"Tutup","Tidak dibuka"),IF(IFERROR(--(INDEX('Reguler Class Availability'!$G:$G,P63)&amp;""),0)&gt;IFERROR(--(INDEX('Reguler Class Availability'!$F:$F,P63)&amp;""),0),"Lebih",IF(IFERROR(--(INDEX('Reguler Class Availability'!$G:$G,P63)&amp;""),0)=IFERROR(--(INDEX('Reguler Class Availability'!$F:$F,P63)&amp;""),0),"Penuh",IF(IFERROR(--(INDEX('Reguler Class Availability'!$G:$G,P63)&amp;""),0)=0,IF(INDEX('Reguler Class Availability'!$B:$B,P63)&amp;""="","Kosong","Belum terisi"),IF(IFERROR(--(INDEX('Reguler Class Availability'!$G:$G,P63)&amp;""),0)/IFERROR(--(INDEX('Reguler Class Availability'!$F:$F,P63)&amp;""),0)&gt;=0.6,"Tinggi","Sebagian"))))))</f>
        <v>Tinggi</v>
      </c>
      <c r="Z63" s="4" t="s">
        <v>4</v>
      </c>
      <c r="AA63" s="4" t="n">
        <f aca="false">IF(COUNTIFS('Reguler Class Availability'!$L:$L,$B$4&amp;"|- Lane 2 - *|"&amp;Z63)&gt;0,1,0)</f>
        <v>0</v>
      </c>
      <c r="AB63" s="4" t="n">
        <f aca="false">AA63+AB62</f>
        <v>0</v>
      </c>
    </row>
    <row r="64" customFormat="false" ht="39.75" hidden="false" customHeight="true" outlineLevel="0" collapsed="false">
      <c r="A64" s="39" t="str">
        <f aca="false">IFERROR(INDEX($Z$122:$Z$181,MATCH(13,$AB$122:$AB$181,0)),"")</f>
        <v/>
      </c>
      <c r="B64" s="40" t="str">
        <f aca="false">IF(J64="","",IF(R64="Tidak dibuka","–",IF(INDEX('Reguler Class Availability'!$B:$B,J64)&amp;""="","Kosong",PROPER(INDEX('Reguler Class Availability'!$B:$B,J64)&amp;""))&amp;"  "&amp;IFERROR(--(INDEX('Reguler Class Availability'!$G:$G,J64)&amp;""),0)&amp;"/"&amp;IFERROR(--(INDEX('Reguler Class Availability'!$F:$F,J64)&amp;""),0)&amp;IF(IFERROR(--(INDEX('Reguler Class Availability'!$F:$F,J64)&amp;""),0)&gt;0,"  ("&amp;TEXT(IFERROR(--(INDEX('Reguler Class Availability'!$G:$G,J64)&amp;""),0)/IFERROR(--(INDEX('Reguler Class Availability'!$F:$F,J64)&amp;""),0),"0%")&amp;")","")&amp;CHAR(10)&amp;IF(INDEX('Reguler Class Availability'!$I:$I,J64)&amp;""="","coach: –",PROPER(INDEX('Reguler Class Availability'!$I:$I,J64)&amp;""))&amp;IF(INDEX('Reguler Class Availability'!$J:$J,J64)&amp;""="","",CHAR(10)&amp;"asst: "&amp;PROPER(INDEX('Reguler Class Availability'!$J:$J,J64)&amp;""))))</f>
        <v/>
      </c>
      <c r="C64" s="40" t="str">
        <f aca="false">IF(K64="","",IF(S64="Tidak dibuka","–",IF(INDEX('Reguler Class Availability'!$B:$B,K64)&amp;""="","Kosong",PROPER(INDEX('Reguler Class Availability'!$B:$B,K64)&amp;""))&amp;"  "&amp;IFERROR(--(INDEX('Reguler Class Availability'!$G:$G,K64)&amp;""),0)&amp;"/"&amp;IFERROR(--(INDEX('Reguler Class Availability'!$F:$F,K64)&amp;""),0)&amp;IF(IFERROR(--(INDEX('Reguler Class Availability'!$F:$F,K64)&amp;""),0)&gt;0,"  ("&amp;TEXT(IFERROR(--(INDEX('Reguler Class Availability'!$G:$G,K64)&amp;""),0)/IFERROR(--(INDEX('Reguler Class Availability'!$F:$F,K64)&amp;""),0),"0%")&amp;")","")&amp;CHAR(10)&amp;IF(INDEX('Reguler Class Availability'!$I:$I,K64)&amp;""="","coach: –",PROPER(INDEX('Reguler Class Availability'!$I:$I,K64)&amp;""))&amp;IF(INDEX('Reguler Class Availability'!$J:$J,K64)&amp;""="","",CHAR(10)&amp;"asst: "&amp;PROPER(INDEX('Reguler Class Availability'!$J:$J,K64)&amp;""))))</f>
        <v/>
      </c>
      <c r="D64" s="40" t="str">
        <f aca="false">IF(L64="","",IF(T64="Tidak dibuka","–",IF(INDEX('Reguler Class Availability'!$B:$B,L64)&amp;""="","Kosong",PROPER(INDEX('Reguler Class Availability'!$B:$B,L64)&amp;""))&amp;"  "&amp;IFERROR(--(INDEX('Reguler Class Availability'!$G:$G,L64)&amp;""),0)&amp;"/"&amp;IFERROR(--(INDEX('Reguler Class Availability'!$F:$F,L64)&amp;""),0)&amp;IF(IFERROR(--(INDEX('Reguler Class Availability'!$F:$F,L64)&amp;""),0)&gt;0,"  ("&amp;TEXT(IFERROR(--(INDEX('Reguler Class Availability'!$G:$G,L64)&amp;""),0)/IFERROR(--(INDEX('Reguler Class Availability'!$F:$F,L64)&amp;""),0),"0%")&amp;")","")&amp;CHAR(10)&amp;IF(INDEX('Reguler Class Availability'!$I:$I,L64)&amp;""="","coach: –",PROPER(INDEX('Reguler Class Availability'!$I:$I,L64)&amp;""))&amp;IF(INDEX('Reguler Class Availability'!$J:$J,L64)&amp;""="","",CHAR(10)&amp;"asst: "&amp;PROPER(INDEX('Reguler Class Availability'!$J:$J,L64)&amp;""))))</f>
        <v/>
      </c>
      <c r="E64" s="40" t="str">
        <f aca="false">IF(M64="","",IF(U64="Tidak dibuka","–",IF(INDEX('Reguler Class Availability'!$B:$B,M64)&amp;""="","Kosong",PROPER(INDEX('Reguler Class Availability'!$B:$B,M64)&amp;""))&amp;"  "&amp;IFERROR(--(INDEX('Reguler Class Availability'!$G:$G,M64)&amp;""),0)&amp;"/"&amp;IFERROR(--(INDEX('Reguler Class Availability'!$F:$F,M64)&amp;""),0)&amp;IF(IFERROR(--(INDEX('Reguler Class Availability'!$F:$F,M64)&amp;""),0)&gt;0,"  ("&amp;TEXT(IFERROR(--(INDEX('Reguler Class Availability'!$G:$G,M64)&amp;""),0)/IFERROR(--(INDEX('Reguler Class Availability'!$F:$F,M64)&amp;""),0),"0%")&amp;")","")&amp;CHAR(10)&amp;IF(INDEX('Reguler Class Availability'!$I:$I,M64)&amp;""="","coach: –",PROPER(INDEX('Reguler Class Availability'!$I:$I,M64)&amp;""))&amp;IF(INDEX('Reguler Class Availability'!$J:$J,M64)&amp;""="","",CHAR(10)&amp;"asst: "&amp;PROPER(INDEX('Reguler Class Availability'!$J:$J,M64)&amp;""))))</f>
        <v/>
      </c>
      <c r="F64" s="40" t="str">
        <f aca="false">IF(N64="","",IF(V64="Tidak dibuka","–",IF(INDEX('Reguler Class Availability'!$B:$B,N64)&amp;""="","Kosong",PROPER(INDEX('Reguler Class Availability'!$B:$B,N64)&amp;""))&amp;"  "&amp;IFERROR(--(INDEX('Reguler Class Availability'!$G:$G,N64)&amp;""),0)&amp;"/"&amp;IFERROR(--(INDEX('Reguler Class Availability'!$F:$F,N64)&amp;""),0)&amp;IF(IFERROR(--(INDEX('Reguler Class Availability'!$F:$F,N64)&amp;""),0)&gt;0,"  ("&amp;TEXT(IFERROR(--(INDEX('Reguler Class Availability'!$G:$G,N64)&amp;""),0)/IFERROR(--(INDEX('Reguler Class Availability'!$F:$F,N64)&amp;""),0),"0%")&amp;")","")&amp;CHAR(10)&amp;IF(INDEX('Reguler Class Availability'!$I:$I,N64)&amp;""="","coach: –",PROPER(INDEX('Reguler Class Availability'!$I:$I,N64)&amp;""))&amp;IF(INDEX('Reguler Class Availability'!$J:$J,N64)&amp;""="","",CHAR(10)&amp;"asst: "&amp;PROPER(INDEX('Reguler Class Availability'!$J:$J,N64)&amp;""))))</f>
        <v/>
      </c>
      <c r="G64" s="40" t="str">
        <f aca="false">IF(O64="","",IF(W64="Tidak dibuka","–",IF(INDEX('Reguler Class Availability'!$B:$B,O64)&amp;""="","Kosong",PROPER(INDEX('Reguler Class Availability'!$B:$B,O64)&amp;""))&amp;"  "&amp;IFERROR(--(INDEX('Reguler Class Availability'!$G:$G,O64)&amp;""),0)&amp;"/"&amp;IFERROR(--(INDEX('Reguler Class Availability'!$F:$F,O64)&amp;""),0)&amp;IF(IFERROR(--(INDEX('Reguler Class Availability'!$F:$F,O64)&amp;""),0)&gt;0,"  ("&amp;TEXT(IFERROR(--(INDEX('Reguler Class Availability'!$G:$G,O64)&amp;""),0)/IFERROR(--(INDEX('Reguler Class Availability'!$F:$F,O64)&amp;""),0),"0%")&amp;")","")&amp;CHAR(10)&amp;IF(INDEX('Reguler Class Availability'!$I:$I,O64)&amp;""="","coach: –",PROPER(INDEX('Reguler Class Availability'!$I:$I,O64)&amp;""))&amp;IF(INDEX('Reguler Class Availability'!$J:$J,O64)&amp;""="","",CHAR(10)&amp;"asst: "&amp;PROPER(INDEX('Reguler Class Availability'!$J:$J,O64)&amp;""))))</f>
        <v/>
      </c>
      <c r="H64" s="40" t="str">
        <f aca="false">IF(P64="","",IF(X64="Tidak dibuka","–",IF(INDEX('Reguler Class Availability'!$B:$B,P64)&amp;""="","Kosong",PROPER(INDEX('Reguler Class Availability'!$B:$B,P64)&amp;""))&amp;"  "&amp;IFERROR(--(INDEX('Reguler Class Availability'!$G:$G,P64)&amp;""),0)&amp;"/"&amp;IFERROR(--(INDEX('Reguler Class Availability'!$F:$F,P64)&amp;""),0)&amp;IF(IFERROR(--(INDEX('Reguler Class Availability'!$F:$F,P64)&amp;""),0)&gt;0,"  ("&amp;TEXT(IFERROR(--(INDEX('Reguler Class Availability'!$G:$G,P64)&amp;""),0)/IFERROR(--(INDEX('Reguler Class Availability'!$F:$F,P64)&amp;""),0),"0%")&amp;")","")&amp;CHAR(10)&amp;IF(INDEX('Reguler Class Availability'!$I:$I,P64)&amp;""="","coach: –",PROPER(INDEX('Reguler Class Availability'!$I:$I,P64)&amp;""))&amp;IF(INDEX('Reguler Class Availability'!$J:$J,P64)&amp;""="","",CHAR(10)&amp;"asst: "&amp;PROPER(INDEX('Reguler Class Availability'!$J:$J,P64)&amp;""))))</f>
        <v/>
      </c>
      <c r="J64" s="0" t="str">
        <f aca="false">IF($A64="","",IFERROR(MATCH($B$4&amp;"|- Lane 3 - "&amp;B$51&amp;"|"&amp;$A64,'Reguler Class Availability'!$L:$L,0),""))</f>
        <v/>
      </c>
      <c r="K64" s="0" t="str">
        <f aca="false">IF($A64="","",IFERROR(MATCH($B$4&amp;"|- Lane 3 - "&amp;C$51&amp;"|"&amp;$A64,'Reguler Class Availability'!$L:$L,0),""))</f>
        <v/>
      </c>
      <c r="L64" s="0" t="str">
        <f aca="false">IF($A64="","",IFERROR(MATCH($B$4&amp;"|- Lane 3 - "&amp;D$51&amp;"|"&amp;$A64,'Reguler Class Availability'!$L:$L,0),""))</f>
        <v/>
      </c>
      <c r="M64" s="0" t="str">
        <f aca="false">IF($A64="","",IFERROR(MATCH($B$4&amp;"|- Lane 3 - "&amp;E$51&amp;"|"&amp;$A64,'Reguler Class Availability'!$L:$L,0),""))</f>
        <v/>
      </c>
      <c r="N64" s="0" t="str">
        <f aca="false">IF($A64="","",IFERROR(MATCH($B$4&amp;"|- Lane 3 - "&amp;F$51&amp;"|"&amp;$A64,'Reguler Class Availability'!$L:$L,0),""))</f>
        <v/>
      </c>
      <c r="O64" s="0" t="str">
        <f aca="false">IF($A64="","",IFERROR(MATCH($B$4&amp;"|- Lane 3 - "&amp;G$51&amp;"|"&amp;$A64,'Reguler Class Availability'!$L:$L,0),""))</f>
        <v/>
      </c>
      <c r="P64" s="0" t="str">
        <f aca="false">IF($A64="","",IFERROR(MATCH($B$4&amp;"|- Lane 3 - "&amp;H$51&amp;"|"&amp;$A64,'Reguler Class Availability'!$L:$L,0),""))</f>
        <v/>
      </c>
      <c r="R64" s="0" t="str">
        <f aca="false">IF(J64="","",IF(AND(IFERROR(--(INDEX('Reguler Class Availability'!$F:$F,J64)&amp;""),0)=0,IFERROR(--(INDEX('Reguler Class Availability'!$G:$G,J64)&amp;""),0)=0),IF(OR(INDEX('Reguler Class Availability'!$B:$B,J64)&amp;""&lt;&gt;"",INDEX('Reguler Class Availability'!$I:$I,J64)&amp;""&lt;&gt;""),"Tutup","Tidak dibuka"),IF(IFERROR(--(INDEX('Reguler Class Availability'!$G:$G,J64)&amp;""),0)&gt;IFERROR(--(INDEX('Reguler Class Availability'!$F:$F,J64)&amp;""),0),"Lebih",IF(IFERROR(--(INDEX('Reguler Class Availability'!$G:$G,J64)&amp;""),0)=IFERROR(--(INDEX('Reguler Class Availability'!$F:$F,J64)&amp;""),0),"Penuh",IF(IFERROR(--(INDEX('Reguler Class Availability'!$G:$G,J64)&amp;""),0)=0,IF(INDEX('Reguler Class Availability'!$B:$B,J64)&amp;""="","Kosong","Belum terisi"),IF(IFERROR(--(INDEX('Reguler Class Availability'!$G:$G,J64)&amp;""),0)/IFERROR(--(INDEX('Reguler Class Availability'!$F:$F,J64)&amp;""),0)&gt;=0.6,"Tinggi","Sebagian"))))))</f>
        <v/>
      </c>
      <c r="S64" s="0" t="str">
        <f aca="false">IF(K64="","",IF(AND(IFERROR(--(INDEX('Reguler Class Availability'!$F:$F,K64)&amp;""),0)=0,IFERROR(--(INDEX('Reguler Class Availability'!$G:$G,K64)&amp;""),0)=0),IF(OR(INDEX('Reguler Class Availability'!$B:$B,K64)&amp;""&lt;&gt;"",INDEX('Reguler Class Availability'!$I:$I,K64)&amp;""&lt;&gt;""),"Tutup","Tidak dibuka"),IF(IFERROR(--(INDEX('Reguler Class Availability'!$G:$G,K64)&amp;""),0)&gt;IFERROR(--(INDEX('Reguler Class Availability'!$F:$F,K64)&amp;""),0),"Lebih",IF(IFERROR(--(INDEX('Reguler Class Availability'!$G:$G,K64)&amp;""),0)=IFERROR(--(INDEX('Reguler Class Availability'!$F:$F,K64)&amp;""),0),"Penuh",IF(IFERROR(--(INDEX('Reguler Class Availability'!$G:$G,K64)&amp;""),0)=0,IF(INDEX('Reguler Class Availability'!$B:$B,K64)&amp;""="","Kosong","Belum terisi"),IF(IFERROR(--(INDEX('Reguler Class Availability'!$G:$G,K64)&amp;""),0)/IFERROR(--(INDEX('Reguler Class Availability'!$F:$F,K64)&amp;""),0)&gt;=0.6,"Tinggi","Sebagian"))))))</f>
        <v/>
      </c>
      <c r="T64" s="0" t="str">
        <f aca="false">IF(L64="","",IF(AND(IFERROR(--(INDEX('Reguler Class Availability'!$F:$F,L64)&amp;""),0)=0,IFERROR(--(INDEX('Reguler Class Availability'!$G:$G,L64)&amp;""),0)=0),IF(OR(INDEX('Reguler Class Availability'!$B:$B,L64)&amp;""&lt;&gt;"",INDEX('Reguler Class Availability'!$I:$I,L64)&amp;""&lt;&gt;""),"Tutup","Tidak dibuka"),IF(IFERROR(--(INDEX('Reguler Class Availability'!$G:$G,L64)&amp;""),0)&gt;IFERROR(--(INDEX('Reguler Class Availability'!$F:$F,L64)&amp;""),0),"Lebih",IF(IFERROR(--(INDEX('Reguler Class Availability'!$G:$G,L64)&amp;""),0)=IFERROR(--(INDEX('Reguler Class Availability'!$F:$F,L64)&amp;""),0),"Penuh",IF(IFERROR(--(INDEX('Reguler Class Availability'!$G:$G,L64)&amp;""),0)=0,IF(INDEX('Reguler Class Availability'!$B:$B,L64)&amp;""="","Kosong","Belum terisi"),IF(IFERROR(--(INDEX('Reguler Class Availability'!$G:$G,L64)&amp;""),0)/IFERROR(--(INDEX('Reguler Class Availability'!$F:$F,L64)&amp;""),0)&gt;=0.6,"Tinggi","Sebagian"))))))</f>
        <v/>
      </c>
      <c r="U64" s="0" t="str">
        <f aca="false">IF(M64="","",IF(AND(IFERROR(--(INDEX('Reguler Class Availability'!$F:$F,M64)&amp;""),0)=0,IFERROR(--(INDEX('Reguler Class Availability'!$G:$G,M64)&amp;""),0)=0),IF(OR(INDEX('Reguler Class Availability'!$B:$B,M64)&amp;""&lt;&gt;"",INDEX('Reguler Class Availability'!$I:$I,M64)&amp;""&lt;&gt;""),"Tutup","Tidak dibuka"),IF(IFERROR(--(INDEX('Reguler Class Availability'!$G:$G,M64)&amp;""),0)&gt;IFERROR(--(INDEX('Reguler Class Availability'!$F:$F,M64)&amp;""),0),"Lebih",IF(IFERROR(--(INDEX('Reguler Class Availability'!$G:$G,M64)&amp;""),0)=IFERROR(--(INDEX('Reguler Class Availability'!$F:$F,M64)&amp;""),0),"Penuh",IF(IFERROR(--(INDEX('Reguler Class Availability'!$G:$G,M64)&amp;""),0)=0,IF(INDEX('Reguler Class Availability'!$B:$B,M64)&amp;""="","Kosong","Belum terisi"),IF(IFERROR(--(INDEX('Reguler Class Availability'!$G:$G,M64)&amp;""),0)/IFERROR(--(INDEX('Reguler Class Availability'!$F:$F,M64)&amp;""),0)&gt;=0.6,"Tinggi","Sebagian"))))))</f>
        <v/>
      </c>
      <c r="V64" s="0" t="str">
        <f aca="false">IF(N64="","",IF(AND(IFERROR(--(INDEX('Reguler Class Availability'!$F:$F,N64)&amp;""),0)=0,IFERROR(--(INDEX('Reguler Class Availability'!$G:$G,N64)&amp;""),0)=0),IF(OR(INDEX('Reguler Class Availability'!$B:$B,N64)&amp;""&lt;&gt;"",INDEX('Reguler Class Availability'!$I:$I,N64)&amp;""&lt;&gt;""),"Tutup","Tidak dibuka"),IF(IFERROR(--(INDEX('Reguler Class Availability'!$G:$G,N64)&amp;""),0)&gt;IFERROR(--(INDEX('Reguler Class Availability'!$F:$F,N64)&amp;""),0),"Lebih",IF(IFERROR(--(INDEX('Reguler Class Availability'!$G:$G,N64)&amp;""),0)=IFERROR(--(INDEX('Reguler Class Availability'!$F:$F,N64)&amp;""),0),"Penuh",IF(IFERROR(--(INDEX('Reguler Class Availability'!$G:$G,N64)&amp;""),0)=0,IF(INDEX('Reguler Class Availability'!$B:$B,N64)&amp;""="","Kosong","Belum terisi"),IF(IFERROR(--(INDEX('Reguler Class Availability'!$G:$G,N64)&amp;""),0)/IFERROR(--(INDEX('Reguler Class Availability'!$F:$F,N64)&amp;""),0)&gt;=0.6,"Tinggi","Sebagian"))))))</f>
        <v/>
      </c>
      <c r="W64" s="0" t="str">
        <f aca="false">IF(O64="","",IF(AND(IFERROR(--(INDEX('Reguler Class Availability'!$F:$F,O64)&amp;""),0)=0,IFERROR(--(INDEX('Reguler Class Availability'!$G:$G,O64)&amp;""),0)=0),IF(OR(INDEX('Reguler Class Availability'!$B:$B,O64)&amp;""&lt;&gt;"",INDEX('Reguler Class Availability'!$I:$I,O64)&amp;""&lt;&gt;""),"Tutup","Tidak dibuka"),IF(IFERROR(--(INDEX('Reguler Class Availability'!$G:$G,O64)&amp;""),0)&gt;IFERROR(--(INDEX('Reguler Class Availability'!$F:$F,O64)&amp;""),0),"Lebih",IF(IFERROR(--(INDEX('Reguler Class Availability'!$G:$G,O64)&amp;""),0)=IFERROR(--(INDEX('Reguler Class Availability'!$F:$F,O64)&amp;""),0),"Penuh",IF(IFERROR(--(INDEX('Reguler Class Availability'!$G:$G,O64)&amp;""),0)=0,IF(INDEX('Reguler Class Availability'!$B:$B,O64)&amp;""="","Kosong","Belum terisi"),IF(IFERROR(--(INDEX('Reguler Class Availability'!$G:$G,O64)&amp;""),0)/IFERROR(--(INDEX('Reguler Class Availability'!$F:$F,O64)&amp;""),0)&gt;=0.6,"Tinggi","Sebagian"))))))</f>
        <v/>
      </c>
      <c r="X64" s="0" t="str">
        <f aca="false">IF(P64="","",IF(AND(IFERROR(--(INDEX('Reguler Class Availability'!$F:$F,P64)&amp;""),0)=0,IFERROR(--(INDEX('Reguler Class Availability'!$G:$G,P64)&amp;""),0)=0),IF(OR(INDEX('Reguler Class Availability'!$B:$B,P64)&amp;""&lt;&gt;"",INDEX('Reguler Class Availability'!$I:$I,P64)&amp;""&lt;&gt;""),"Tutup","Tidak dibuka"),IF(IFERROR(--(INDEX('Reguler Class Availability'!$G:$G,P64)&amp;""),0)&gt;IFERROR(--(INDEX('Reguler Class Availability'!$F:$F,P64)&amp;""),0),"Lebih",IF(IFERROR(--(INDEX('Reguler Class Availability'!$G:$G,P64)&amp;""),0)=IFERROR(--(INDEX('Reguler Class Availability'!$F:$F,P64)&amp;""),0),"Penuh",IF(IFERROR(--(INDEX('Reguler Class Availability'!$G:$G,P64)&amp;""),0)=0,IF(INDEX('Reguler Class Availability'!$B:$B,P64)&amp;""="","Kosong","Belum terisi"),IF(IFERROR(--(INDEX('Reguler Class Availability'!$G:$G,P64)&amp;""),0)/IFERROR(--(INDEX('Reguler Class Availability'!$F:$F,P64)&amp;""),0)&gt;=0.6,"Tinggi","Sebagian"))))))</f>
        <v/>
      </c>
      <c r="Z64" s="4" t="s">
        <v>8</v>
      </c>
      <c r="AA64" s="4" t="n">
        <f aca="false">IF(COUNTIFS('Reguler Class Availability'!$L:$L,$B$4&amp;"|- Lane 2 - *|"&amp;Z64)&gt;0,1,0)</f>
        <v>0</v>
      </c>
      <c r="AB64" s="4" t="n">
        <f aca="false">AA64+AB63</f>
        <v>0</v>
      </c>
    </row>
    <row r="65" customFormat="false" ht="39.75" hidden="false" customHeight="true" outlineLevel="0" collapsed="false">
      <c r="A65" s="39" t="str">
        <f aca="false">IFERROR(INDEX($Z$122:$Z$181,MATCH(14,$AB$122:$AB$181,0)),"")</f>
        <v/>
      </c>
      <c r="B65" s="40" t="str">
        <f aca="false">IF(J65="","",IF(R65="Tidak dibuka","–",IF(INDEX('Reguler Class Availability'!$B:$B,J65)&amp;""="","Kosong",PROPER(INDEX('Reguler Class Availability'!$B:$B,J65)&amp;""))&amp;"  "&amp;IFERROR(--(INDEX('Reguler Class Availability'!$G:$G,J65)&amp;""),0)&amp;"/"&amp;IFERROR(--(INDEX('Reguler Class Availability'!$F:$F,J65)&amp;""),0)&amp;IF(IFERROR(--(INDEX('Reguler Class Availability'!$F:$F,J65)&amp;""),0)&gt;0,"  ("&amp;TEXT(IFERROR(--(INDEX('Reguler Class Availability'!$G:$G,J65)&amp;""),0)/IFERROR(--(INDEX('Reguler Class Availability'!$F:$F,J65)&amp;""),0),"0%")&amp;")","")&amp;CHAR(10)&amp;IF(INDEX('Reguler Class Availability'!$I:$I,J65)&amp;""="","coach: –",PROPER(INDEX('Reguler Class Availability'!$I:$I,J65)&amp;""))&amp;IF(INDEX('Reguler Class Availability'!$J:$J,J65)&amp;""="","",CHAR(10)&amp;"asst: "&amp;PROPER(INDEX('Reguler Class Availability'!$J:$J,J65)&amp;""))))</f>
        <v/>
      </c>
      <c r="C65" s="40" t="str">
        <f aca="false">IF(K65="","",IF(S65="Tidak dibuka","–",IF(INDEX('Reguler Class Availability'!$B:$B,K65)&amp;""="","Kosong",PROPER(INDEX('Reguler Class Availability'!$B:$B,K65)&amp;""))&amp;"  "&amp;IFERROR(--(INDEX('Reguler Class Availability'!$G:$G,K65)&amp;""),0)&amp;"/"&amp;IFERROR(--(INDEX('Reguler Class Availability'!$F:$F,K65)&amp;""),0)&amp;IF(IFERROR(--(INDEX('Reguler Class Availability'!$F:$F,K65)&amp;""),0)&gt;0,"  ("&amp;TEXT(IFERROR(--(INDEX('Reguler Class Availability'!$G:$G,K65)&amp;""),0)/IFERROR(--(INDEX('Reguler Class Availability'!$F:$F,K65)&amp;""),0),"0%")&amp;")","")&amp;CHAR(10)&amp;IF(INDEX('Reguler Class Availability'!$I:$I,K65)&amp;""="","coach: –",PROPER(INDEX('Reguler Class Availability'!$I:$I,K65)&amp;""))&amp;IF(INDEX('Reguler Class Availability'!$J:$J,K65)&amp;""="","",CHAR(10)&amp;"asst: "&amp;PROPER(INDEX('Reguler Class Availability'!$J:$J,K65)&amp;""))))</f>
        <v/>
      </c>
      <c r="D65" s="40" t="str">
        <f aca="false">IF(L65="","",IF(T65="Tidak dibuka","–",IF(INDEX('Reguler Class Availability'!$B:$B,L65)&amp;""="","Kosong",PROPER(INDEX('Reguler Class Availability'!$B:$B,L65)&amp;""))&amp;"  "&amp;IFERROR(--(INDEX('Reguler Class Availability'!$G:$G,L65)&amp;""),0)&amp;"/"&amp;IFERROR(--(INDEX('Reguler Class Availability'!$F:$F,L65)&amp;""),0)&amp;IF(IFERROR(--(INDEX('Reguler Class Availability'!$F:$F,L65)&amp;""),0)&gt;0,"  ("&amp;TEXT(IFERROR(--(INDEX('Reguler Class Availability'!$G:$G,L65)&amp;""),0)/IFERROR(--(INDEX('Reguler Class Availability'!$F:$F,L65)&amp;""),0),"0%")&amp;")","")&amp;CHAR(10)&amp;IF(INDEX('Reguler Class Availability'!$I:$I,L65)&amp;""="","coach: –",PROPER(INDEX('Reguler Class Availability'!$I:$I,L65)&amp;""))&amp;IF(INDEX('Reguler Class Availability'!$J:$J,L65)&amp;""="","",CHAR(10)&amp;"asst: "&amp;PROPER(INDEX('Reguler Class Availability'!$J:$J,L65)&amp;""))))</f>
        <v/>
      </c>
      <c r="E65" s="40" t="str">
        <f aca="false">IF(M65="","",IF(U65="Tidak dibuka","–",IF(INDEX('Reguler Class Availability'!$B:$B,M65)&amp;""="","Kosong",PROPER(INDEX('Reguler Class Availability'!$B:$B,M65)&amp;""))&amp;"  "&amp;IFERROR(--(INDEX('Reguler Class Availability'!$G:$G,M65)&amp;""),0)&amp;"/"&amp;IFERROR(--(INDEX('Reguler Class Availability'!$F:$F,M65)&amp;""),0)&amp;IF(IFERROR(--(INDEX('Reguler Class Availability'!$F:$F,M65)&amp;""),0)&gt;0,"  ("&amp;TEXT(IFERROR(--(INDEX('Reguler Class Availability'!$G:$G,M65)&amp;""),0)/IFERROR(--(INDEX('Reguler Class Availability'!$F:$F,M65)&amp;""),0),"0%")&amp;")","")&amp;CHAR(10)&amp;IF(INDEX('Reguler Class Availability'!$I:$I,M65)&amp;""="","coach: –",PROPER(INDEX('Reguler Class Availability'!$I:$I,M65)&amp;""))&amp;IF(INDEX('Reguler Class Availability'!$J:$J,M65)&amp;""="","",CHAR(10)&amp;"asst: "&amp;PROPER(INDEX('Reguler Class Availability'!$J:$J,M65)&amp;""))))</f>
        <v/>
      </c>
      <c r="F65" s="40" t="str">
        <f aca="false">IF(N65="","",IF(V65="Tidak dibuka","–",IF(INDEX('Reguler Class Availability'!$B:$B,N65)&amp;""="","Kosong",PROPER(INDEX('Reguler Class Availability'!$B:$B,N65)&amp;""))&amp;"  "&amp;IFERROR(--(INDEX('Reguler Class Availability'!$G:$G,N65)&amp;""),0)&amp;"/"&amp;IFERROR(--(INDEX('Reguler Class Availability'!$F:$F,N65)&amp;""),0)&amp;IF(IFERROR(--(INDEX('Reguler Class Availability'!$F:$F,N65)&amp;""),0)&gt;0,"  ("&amp;TEXT(IFERROR(--(INDEX('Reguler Class Availability'!$G:$G,N65)&amp;""),0)/IFERROR(--(INDEX('Reguler Class Availability'!$F:$F,N65)&amp;""),0),"0%")&amp;")","")&amp;CHAR(10)&amp;IF(INDEX('Reguler Class Availability'!$I:$I,N65)&amp;""="","coach: –",PROPER(INDEX('Reguler Class Availability'!$I:$I,N65)&amp;""))&amp;IF(INDEX('Reguler Class Availability'!$J:$J,N65)&amp;""="","",CHAR(10)&amp;"asst: "&amp;PROPER(INDEX('Reguler Class Availability'!$J:$J,N65)&amp;""))))</f>
        <v/>
      </c>
      <c r="G65" s="40" t="str">
        <f aca="false">IF(O65="","",IF(W65="Tidak dibuka","–",IF(INDEX('Reguler Class Availability'!$B:$B,O65)&amp;""="","Kosong",PROPER(INDEX('Reguler Class Availability'!$B:$B,O65)&amp;""))&amp;"  "&amp;IFERROR(--(INDEX('Reguler Class Availability'!$G:$G,O65)&amp;""),0)&amp;"/"&amp;IFERROR(--(INDEX('Reguler Class Availability'!$F:$F,O65)&amp;""),0)&amp;IF(IFERROR(--(INDEX('Reguler Class Availability'!$F:$F,O65)&amp;""),0)&gt;0,"  ("&amp;TEXT(IFERROR(--(INDEX('Reguler Class Availability'!$G:$G,O65)&amp;""),0)/IFERROR(--(INDEX('Reguler Class Availability'!$F:$F,O65)&amp;""),0),"0%")&amp;")","")&amp;CHAR(10)&amp;IF(INDEX('Reguler Class Availability'!$I:$I,O65)&amp;""="","coach: –",PROPER(INDEX('Reguler Class Availability'!$I:$I,O65)&amp;""))&amp;IF(INDEX('Reguler Class Availability'!$J:$J,O65)&amp;""="","",CHAR(10)&amp;"asst: "&amp;PROPER(INDEX('Reguler Class Availability'!$J:$J,O65)&amp;""))))</f>
        <v/>
      </c>
      <c r="H65" s="40" t="str">
        <f aca="false">IF(P65="","",IF(X65="Tidak dibuka","–",IF(INDEX('Reguler Class Availability'!$B:$B,P65)&amp;""="","Kosong",PROPER(INDEX('Reguler Class Availability'!$B:$B,P65)&amp;""))&amp;"  "&amp;IFERROR(--(INDEX('Reguler Class Availability'!$G:$G,P65)&amp;""),0)&amp;"/"&amp;IFERROR(--(INDEX('Reguler Class Availability'!$F:$F,P65)&amp;""),0)&amp;IF(IFERROR(--(INDEX('Reguler Class Availability'!$F:$F,P65)&amp;""),0)&gt;0,"  ("&amp;TEXT(IFERROR(--(INDEX('Reguler Class Availability'!$G:$G,P65)&amp;""),0)/IFERROR(--(INDEX('Reguler Class Availability'!$F:$F,P65)&amp;""),0),"0%")&amp;")","")&amp;CHAR(10)&amp;IF(INDEX('Reguler Class Availability'!$I:$I,P65)&amp;""="","coach: –",PROPER(INDEX('Reguler Class Availability'!$I:$I,P65)&amp;""))&amp;IF(INDEX('Reguler Class Availability'!$J:$J,P65)&amp;""="","",CHAR(10)&amp;"asst: "&amp;PROPER(INDEX('Reguler Class Availability'!$J:$J,P65)&amp;""))))</f>
        <v/>
      </c>
      <c r="J65" s="0" t="str">
        <f aca="false">IF($A65="","",IFERROR(MATCH($B$4&amp;"|- Lane 3 - "&amp;B$51&amp;"|"&amp;$A65,'Reguler Class Availability'!$L:$L,0),""))</f>
        <v/>
      </c>
      <c r="K65" s="0" t="str">
        <f aca="false">IF($A65="","",IFERROR(MATCH($B$4&amp;"|- Lane 3 - "&amp;C$51&amp;"|"&amp;$A65,'Reguler Class Availability'!$L:$L,0),""))</f>
        <v/>
      </c>
      <c r="L65" s="0" t="str">
        <f aca="false">IF($A65="","",IFERROR(MATCH($B$4&amp;"|- Lane 3 - "&amp;D$51&amp;"|"&amp;$A65,'Reguler Class Availability'!$L:$L,0),""))</f>
        <v/>
      </c>
      <c r="M65" s="0" t="str">
        <f aca="false">IF($A65="","",IFERROR(MATCH($B$4&amp;"|- Lane 3 - "&amp;E$51&amp;"|"&amp;$A65,'Reguler Class Availability'!$L:$L,0),""))</f>
        <v/>
      </c>
      <c r="N65" s="0" t="str">
        <f aca="false">IF($A65="","",IFERROR(MATCH($B$4&amp;"|- Lane 3 - "&amp;F$51&amp;"|"&amp;$A65,'Reguler Class Availability'!$L:$L,0),""))</f>
        <v/>
      </c>
      <c r="O65" s="0" t="str">
        <f aca="false">IF($A65="","",IFERROR(MATCH($B$4&amp;"|- Lane 3 - "&amp;G$51&amp;"|"&amp;$A65,'Reguler Class Availability'!$L:$L,0),""))</f>
        <v/>
      </c>
      <c r="P65" s="0" t="str">
        <f aca="false">IF($A65="","",IFERROR(MATCH($B$4&amp;"|- Lane 3 - "&amp;H$51&amp;"|"&amp;$A65,'Reguler Class Availability'!$L:$L,0),""))</f>
        <v/>
      </c>
      <c r="R65" s="0" t="str">
        <f aca="false">IF(J65="","",IF(AND(IFERROR(--(INDEX('Reguler Class Availability'!$F:$F,J65)&amp;""),0)=0,IFERROR(--(INDEX('Reguler Class Availability'!$G:$G,J65)&amp;""),0)=0),IF(OR(INDEX('Reguler Class Availability'!$B:$B,J65)&amp;""&lt;&gt;"",INDEX('Reguler Class Availability'!$I:$I,J65)&amp;""&lt;&gt;""),"Tutup","Tidak dibuka"),IF(IFERROR(--(INDEX('Reguler Class Availability'!$G:$G,J65)&amp;""),0)&gt;IFERROR(--(INDEX('Reguler Class Availability'!$F:$F,J65)&amp;""),0),"Lebih",IF(IFERROR(--(INDEX('Reguler Class Availability'!$G:$G,J65)&amp;""),0)=IFERROR(--(INDEX('Reguler Class Availability'!$F:$F,J65)&amp;""),0),"Penuh",IF(IFERROR(--(INDEX('Reguler Class Availability'!$G:$G,J65)&amp;""),0)=0,IF(INDEX('Reguler Class Availability'!$B:$B,J65)&amp;""="","Kosong","Belum terisi"),IF(IFERROR(--(INDEX('Reguler Class Availability'!$G:$G,J65)&amp;""),0)/IFERROR(--(INDEX('Reguler Class Availability'!$F:$F,J65)&amp;""),0)&gt;=0.6,"Tinggi","Sebagian"))))))</f>
        <v/>
      </c>
      <c r="S65" s="0" t="str">
        <f aca="false">IF(K65="","",IF(AND(IFERROR(--(INDEX('Reguler Class Availability'!$F:$F,K65)&amp;""),0)=0,IFERROR(--(INDEX('Reguler Class Availability'!$G:$G,K65)&amp;""),0)=0),IF(OR(INDEX('Reguler Class Availability'!$B:$B,K65)&amp;""&lt;&gt;"",INDEX('Reguler Class Availability'!$I:$I,K65)&amp;""&lt;&gt;""),"Tutup","Tidak dibuka"),IF(IFERROR(--(INDEX('Reguler Class Availability'!$G:$G,K65)&amp;""),0)&gt;IFERROR(--(INDEX('Reguler Class Availability'!$F:$F,K65)&amp;""),0),"Lebih",IF(IFERROR(--(INDEX('Reguler Class Availability'!$G:$G,K65)&amp;""),0)=IFERROR(--(INDEX('Reguler Class Availability'!$F:$F,K65)&amp;""),0),"Penuh",IF(IFERROR(--(INDEX('Reguler Class Availability'!$G:$G,K65)&amp;""),0)=0,IF(INDEX('Reguler Class Availability'!$B:$B,K65)&amp;""="","Kosong","Belum terisi"),IF(IFERROR(--(INDEX('Reguler Class Availability'!$G:$G,K65)&amp;""),0)/IFERROR(--(INDEX('Reguler Class Availability'!$F:$F,K65)&amp;""),0)&gt;=0.6,"Tinggi","Sebagian"))))))</f>
        <v/>
      </c>
      <c r="T65" s="0" t="str">
        <f aca="false">IF(L65="","",IF(AND(IFERROR(--(INDEX('Reguler Class Availability'!$F:$F,L65)&amp;""),0)=0,IFERROR(--(INDEX('Reguler Class Availability'!$G:$G,L65)&amp;""),0)=0),IF(OR(INDEX('Reguler Class Availability'!$B:$B,L65)&amp;""&lt;&gt;"",INDEX('Reguler Class Availability'!$I:$I,L65)&amp;""&lt;&gt;""),"Tutup","Tidak dibuka"),IF(IFERROR(--(INDEX('Reguler Class Availability'!$G:$G,L65)&amp;""),0)&gt;IFERROR(--(INDEX('Reguler Class Availability'!$F:$F,L65)&amp;""),0),"Lebih",IF(IFERROR(--(INDEX('Reguler Class Availability'!$G:$G,L65)&amp;""),0)=IFERROR(--(INDEX('Reguler Class Availability'!$F:$F,L65)&amp;""),0),"Penuh",IF(IFERROR(--(INDEX('Reguler Class Availability'!$G:$G,L65)&amp;""),0)=0,IF(INDEX('Reguler Class Availability'!$B:$B,L65)&amp;""="","Kosong","Belum terisi"),IF(IFERROR(--(INDEX('Reguler Class Availability'!$G:$G,L65)&amp;""),0)/IFERROR(--(INDEX('Reguler Class Availability'!$F:$F,L65)&amp;""),0)&gt;=0.6,"Tinggi","Sebagian"))))))</f>
        <v/>
      </c>
      <c r="U65" s="0" t="str">
        <f aca="false">IF(M65="","",IF(AND(IFERROR(--(INDEX('Reguler Class Availability'!$F:$F,M65)&amp;""),0)=0,IFERROR(--(INDEX('Reguler Class Availability'!$G:$G,M65)&amp;""),0)=0),IF(OR(INDEX('Reguler Class Availability'!$B:$B,M65)&amp;""&lt;&gt;"",INDEX('Reguler Class Availability'!$I:$I,M65)&amp;""&lt;&gt;""),"Tutup","Tidak dibuka"),IF(IFERROR(--(INDEX('Reguler Class Availability'!$G:$G,M65)&amp;""),0)&gt;IFERROR(--(INDEX('Reguler Class Availability'!$F:$F,M65)&amp;""),0),"Lebih",IF(IFERROR(--(INDEX('Reguler Class Availability'!$G:$G,M65)&amp;""),0)=IFERROR(--(INDEX('Reguler Class Availability'!$F:$F,M65)&amp;""),0),"Penuh",IF(IFERROR(--(INDEX('Reguler Class Availability'!$G:$G,M65)&amp;""),0)=0,IF(INDEX('Reguler Class Availability'!$B:$B,M65)&amp;""="","Kosong","Belum terisi"),IF(IFERROR(--(INDEX('Reguler Class Availability'!$G:$G,M65)&amp;""),0)/IFERROR(--(INDEX('Reguler Class Availability'!$F:$F,M65)&amp;""),0)&gt;=0.6,"Tinggi","Sebagian"))))))</f>
        <v/>
      </c>
      <c r="V65" s="0" t="str">
        <f aca="false">IF(N65="","",IF(AND(IFERROR(--(INDEX('Reguler Class Availability'!$F:$F,N65)&amp;""),0)=0,IFERROR(--(INDEX('Reguler Class Availability'!$G:$G,N65)&amp;""),0)=0),IF(OR(INDEX('Reguler Class Availability'!$B:$B,N65)&amp;""&lt;&gt;"",INDEX('Reguler Class Availability'!$I:$I,N65)&amp;""&lt;&gt;""),"Tutup","Tidak dibuka"),IF(IFERROR(--(INDEX('Reguler Class Availability'!$G:$G,N65)&amp;""),0)&gt;IFERROR(--(INDEX('Reguler Class Availability'!$F:$F,N65)&amp;""),0),"Lebih",IF(IFERROR(--(INDEX('Reguler Class Availability'!$G:$G,N65)&amp;""),0)=IFERROR(--(INDEX('Reguler Class Availability'!$F:$F,N65)&amp;""),0),"Penuh",IF(IFERROR(--(INDEX('Reguler Class Availability'!$G:$G,N65)&amp;""),0)=0,IF(INDEX('Reguler Class Availability'!$B:$B,N65)&amp;""="","Kosong","Belum terisi"),IF(IFERROR(--(INDEX('Reguler Class Availability'!$G:$G,N65)&amp;""),0)/IFERROR(--(INDEX('Reguler Class Availability'!$F:$F,N65)&amp;""),0)&gt;=0.6,"Tinggi","Sebagian"))))))</f>
        <v/>
      </c>
      <c r="W65" s="0" t="str">
        <f aca="false">IF(O65="","",IF(AND(IFERROR(--(INDEX('Reguler Class Availability'!$F:$F,O65)&amp;""),0)=0,IFERROR(--(INDEX('Reguler Class Availability'!$G:$G,O65)&amp;""),0)=0),IF(OR(INDEX('Reguler Class Availability'!$B:$B,O65)&amp;""&lt;&gt;"",INDEX('Reguler Class Availability'!$I:$I,O65)&amp;""&lt;&gt;""),"Tutup","Tidak dibuka"),IF(IFERROR(--(INDEX('Reguler Class Availability'!$G:$G,O65)&amp;""),0)&gt;IFERROR(--(INDEX('Reguler Class Availability'!$F:$F,O65)&amp;""),0),"Lebih",IF(IFERROR(--(INDEX('Reguler Class Availability'!$G:$G,O65)&amp;""),0)=IFERROR(--(INDEX('Reguler Class Availability'!$F:$F,O65)&amp;""),0),"Penuh",IF(IFERROR(--(INDEX('Reguler Class Availability'!$G:$G,O65)&amp;""),0)=0,IF(INDEX('Reguler Class Availability'!$B:$B,O65)&amp;""="","Kosong","Belum terisi"),IF(IFERROR(--(INDEX('Reguler Class Availability'!$G:$G,O65)&amp;""),0)/IFERROR(--(INDEX('Reguler Class Availability'!$F:$F,O65)&amp;""),0)&gt;=0.6,"Tinggi","Sebagian"))))))</f>
        <v/>
      </c>
      <c r="X65" s="0" t="str">
        <f aca="false">IF(P65="","",IF(AND(IFERROR(--(INDEX('Reguler Class Availability'!$F:$F,P65)&amp;""),0)=0,IFERROR(--(INDEX('Reguler Class Availability'!$G:$G,P65)&amp;""),0)=0),IF(OR(INDEX('Reguler Class Availability'!$B:$B,P65)&amp;""&lt;&gt;"",INDEX('Reguler Class Availability'!$I:$I,P65)&amp;""&lt;&gt;""),"Tutup","Tidak dibuka"),IF(IFERROR(--(INDEX('Reguler Class Availability'!$G:$G,P65)&amp;""),0)&gt;IFERROR(--(INDEX('Reguler Class Availability'!$F:$F,P65)&amp;""),0),"Lebih",IF(IFERROR(--(INDEX('Reguler Class Availability'!$G:$G,P65)&amp;""),0)=IFERROR(--(INDEX('Reguler Class Availability'!$F:$F,P65)&amp;""),0),"Penuh",IF(IFERROR(--(INDEX('Reguler Class Availability'!$G:$G,P65)&amp;""),0)=0,IF(INDEX('Reguler Class Availability'!$B:$B,P65)&amp;""="","Kosong","Belum terisi"),IF(IFERROR(--(INDEX('Reguler Class Availability'!$G:$G,P65)&amp;""),0)/IFERROR(--(INDEX('Reguler Class Availability'!$F:$F,P65)&amp;""),0)&gt;=0.6,"Tinggi","Sebagian"))))))</f>
        <v/>
      </c>
      <c r="Z65" s="4" t="s">
        <v>9</v>
      </c>
      <c r="AA65" s="4" t="n">
        <f aca="false">IF(COUNTIFS('Reguler Class Availability'!$L:$L,$B$4&amp;"|- Lane 2 - *|"&amp;Z65)&gt;0,1,0)</f>
        <v>0</v>
      </c>
      <c r="AB65" s="4" t="n">
        <f aca="false">AA65+AB64</f>
        <v>0</v>
      </c>
    </row>
    <row r="66" customFormat="false" ht="15" hidden="false" customHeight="false" outlineLevel="0" collapsed="false">
      <c r="A66" s="41" t="s">
        <v>63</v>
      </c>
      <c r="B66" s="42" t="str">
        <f aca="false">IFERROR(TEXT(SUMIFS('Reguler Class Availability'!$G:$G,'Reguler Class Availability'!$A:$A,$B$4,'Reguler Class Availability'!$C:$C,"- Lane 3 - "&amp;B$51,'Reguler Class Availability'!$F:$F,"&gt;0")/SUMIFS('Reguler Class Availability'!$F:$F,'Reguler Class Availability'!$A:$A,$B$4,'Reguler Class Availability'!$C:$C,"- Lane 3 - "&amp;B$51,'Reguler Class Availability'!$F:$F,"&gt;0"),"0%"),"–")</f>
        <v>56%</v>
      </c>
      <c r="C66" s="42" t="str">
        <f aca="false">IFERROR(TEXT(SUMIFS('Reguler Class Availability'!$G:$G,'Reguler Class Availability'!$A:$A,$B$4,'Reguler Class Availability'!$C:$C,"- Lane 3 - "&amp;C$51,'Reguler Class Availability'!$F:$F,"&gt;0")/SUMIFS('Reguler Class Availability'!$F:$F,'Reguler Class Availability'!$A:$A,$B$4,'Reguler Class Availability'!$C:$C,"- Lane 3 - "&amp;C$51,'Reguler Class Availability'!$F:$F,"&gt;0"),"0%"),"–")</f>
        <v>69%</v>
      </c>
      <c r="D66" s="42" t="str">
        <f aca="false">IFERROR(TEXT(SUMIFS('Reguler Class Availability'!$G:$G,'Reguler Class Availability'!$A:$A,$B$4,'Reguler Class Availability'!$C:$C,"- Lane 3 - "&amp;D$51,'Reguler Class Availability'!$F:$F,"&gt;0")/SUMIFS('Reguler Class Availability'!$F:$F,'Reguler Class Availability'!$A:$A,$B$4,'Reguler Class Availability'!$C:$C,"- Lane 3 - "&amp;D$51,'Reguler Class Availability'!$F:$F,"&gt;0"),"0%"),"–")</f>
        <v>72%</v>
      </c>
      <c r="E66" s="42" t="str">
        <f aca="false">IFERROR(TEXT(SUMIFS('Reguler Class Availability'!$G:$G,'Reguler Class Availability'!$A:$A,$B$4,'Reguler Class Availability'!$C:$C,"- Lane 3 - "&amp;E$51,'Reguler Class Availability'!$F:$F,"&gt;0")/SUMIFS('Reguler Class Availability'!$F:$F,'Reguler Class Availability'!$A:$A,$B$4,'Reguler Class Availability'!$C:$C,"- Lane 3 - "&amp;E$51,'Reguler Class Availability'!$F:$F,"&gt;0"),"0%"),"–")</f>
        <v>92%</v>
      </c>
      <c r="F66" s="42" t="str">
        <f aca="false">IFERROR(TEXT(SUMIFS('Reguler Class Availability'!$G:$G,'Reguler Class Availability'!$A:$A,$B$4,'Reguler Class Availability'!$C:$C,"- Lane 3 - "&amp;F$51,'Reguler Class Availability'!$F:$F,"&gt;0")/SUMIFS('Reguler Class Availability'!$F:$F,'Reguler Class Availability'!$A:$A,$B$4,'Reguler Class Availability'!$C:$C,"- Lane 3 - "&amp;F$51,'Reguler Class Availability'!$F:$F,"&gt;0"),"0%"),"–")</f>
        <v>63%</v>
      </c>
      <c r="G66" s="42" t="str">
        <f aca="false">IFERROR(TEXT(SUMIFS('Reguler Class Availability'!$G:$G,'Reguler Class Availability'!$A:$A,$B$4,'Reguler Class Availability'!$C:$C,"- Lane 3 - "&amp;G$51,'Reguler Class Availability'!$F:$F,"&gt;0")/SUMIFS('Reguler Class Availability'!$F:$F,'Reguler Class Availability'!$A:$A,$B$4,'Reguler Class Availability'!$C:$C,"- Lane 3 - "&amp;G$51,'Reguler Class Availability'!$F:$F,"&gt;0"),"0%"),"–")</f>
        <v>93%</v>
      </c>
      <c r="H66" s="42" t="str">
        <f aca="false">IFERROR(TEXT(SUMIFS('Reguler Class Availability'!$G:$G,'Reguler Class Availability'!$A:$A,$B$4,'Reguler Class Availability'!$C:$C,"- Lane 3 - "&amp;H$51,'Reguler Class Availability'!$F:$F,"&gt;0")/SUMIFS('Reguler Class Availability'!$F:$F,'Reguler Class Availability'!$A:$A,$B$4,'Reguler Class Availability'!$C:$C,"- Lane 3 - "&amp;H$51,'Reguler Class Availability'!$F:$F,"&gt;0"),"0%"),"–")</f>
        <v>91%</v>
      </c>
      <c r="Z66" s="4" t="s">
        <v>18</v>
      </c>
      <c r="AA66" s="4" t="n">
        <f aca="false">IF(COUNTIFS('Reguler Class Availability'!$L:$L,$B$4&amp;"|- Lane 2 - *|"&amp;Z66)&gt;0,1,0)</f>
        <v>0</v>
      </c>
      <c r="AB66" s="4" t="n">
        <f aca="false">AA66+AB65</f>
        <v>0</v>
      </c>
    </row>
    <row r="67" customFormat="false" ht="15" hidden="false" customHeight="false" outlineLevel="0" collapsed="false">
      <c r="Z67" s="0" t="s">
        <v>19</v>
      </c>
      <c r="AA67" s="0" t="n">
        <f aca="false">IF(COUNTIFS('Reguler Class Availability'!$L:$L,$B$4&amp;"|- Lane 2 - *|"&amp;Z67)&gt;0,1,0)</f>
        <v>0</v>
      </c>
      <c r="AB67" s="0" t="n">
        <f aca="false">AA67+AB66</f>
        <v>0</v>
      </c>
    </row>
    <row r="68" customFormat="false" ht="15" hidden="false" customHeight="false" outlineLevel="0" collapsed="false">
      <c r="A68" s="34" t="s">
        <v>98</v>
      </c>
      <c r="B68" s="35"/>
      <c r="C68" s="36" t="str">
        <f aca="false">"Utilisasi lane: "&amp;IFERROR(TEXT(SUMIFS('Reguler Class Availability'!$G:$G,'Reguler Class Availability'!$A:$A,$B$4,'Reguler Class Availability'!$C:$C,"- Lane 4 - *",'Reguler Class Availability'!$F:$F,"&gt;0")/SUMIFS('Reguler Class Availability'!$F:$F,'Reguler Class Availability'!$A:$A,$B$4,'Reguler Class Availability'!$C:$C,"- Lane 4 - *",'Reguler Class Availability'!$F:$F,"&gt;0"),"0%"),"–")&amp;"   ·   Belum terisi: "&amp;COUNTIF($R$70:$X$83,"Belum terisi")&amp;"   ·   Slot kosong: "&amp;COUNTIF($R$70:$X$83,"Kosong")</f>
        <v>Utilisasi lane: 67%   ·   Belum terisi: 17   ·   Slot kosong: 0</v>
      </c>
      <c r="D68" s="35"/>
      <c r="E68" s="35"/>
      <c r="F68" s="35"/>
      <c r="G68" s="35"/>
      <c r="H68" s="35"/>
      <c r="Z68" s="4" t="s">
        <v>20</v>
      </c>
      <c r="AA68" s="4" t="n">
        <f aca="false">IF(COUNTIFS('Reguler Class Availability'!$L:$L,$B$4&amp;"|- Lane 2 - *|"&amp;Z68)&gt;0,1,0)</f>
        <v>0</v>
      </c>
      <c r="AB68" s="4" t="n">
        <f aca="false">AA68+AB67</f>
        <v>0</v>
      </c>
    </row>
    <row r="69" customFormat="false" ht="15" hidden="false" customHeight="false" outlineLevel="0" collapsed="false">
      <c r="A69" s="37" t="s">
        <v>38</v>
      </c>
      <c r="B69" s="38" t="s">
        <v>39</v>
      </c>
      <c r="C69" s="38" t="s">
        <v>40</v>
      </c>
      <c r="D69" s="38" t="s">
        <v>41</v>
      </c>
      <c r="E69" s="38" t="s">
        <v>42</v>
      </c>
      <c r="F69" s="38" t="s">
        <v>43</v>
      </c>
      <c r="G69" s="38" t="s">
        <v>44</v>
      </c>
      <c r="H69" s="38" t="s">
        <v>45</v>
      </c>
      <c r="Z69" s="4" t="s">
        <v>27</v>
      </c>
      <c r="AA69" s="4" t="n">
        <f aca="false">IF(COUNTIFS('Reguler Class Availability'!$L:$L,$B$4&amp;"|- Lane 2 - *|"&amp;Z69)&gt;0,1,0)</f>
        <v>0</v>
      </c>
      <c r="AB69" s="4" t="n">
        <f aca="false">AA69+AB68</f>
        <v>0</v>
      </c>
    </row>
    <row r="70" customFormat="false" ht="39.75" hidden="false" customHeight="true" outlineLevel="0" collapsed="false">
      <c r="A70" s="39" t="str">
        <f aca="false">IFERROR(INDEX($Z$182:$Z$241,MATCH(1,$AB$182:$AB$241,0)),"")</f>
        <v>08:00</v>
      </c>
      <c r="B70" s="40" t="str">
        <f aca="false">IF(J70="","",IF(R70="Tidak dibuka","–",IF(INDEX('Reguler Class Availability'!$B:$B,J70)&amp;""="","Kosong",PROPER(INDEX('Reguler Class Availability'!$B:$B,J70)&amp;""))&amp;"  "&amp;IFERROR(--(INDEX('Reguler Class Availability'!$G:$G,J70)&amp;""),0)&amp;"/"&amp;IFERROR(--(INDEX('Reguler Class Availability'!$F:$F,J70)&amp;""),0)&amp;IF(IFERROR(--(INDEX('Reguler Class Availability'!$F:$F,J70)&amp;""),0)&gt;0,"  ("&amp;TEXT(IFERROR(--(INDEX('Reguler Class Availability'!$G:$G,J70)&amp;""),0)/IFERROR(--(INDEX('Reguler Class Availability'!$F:$F,J70)&amp;""),0),"0%")&amp;")","")&amp;CHAR(10)&amp;IF(INDEX('Reguler Class Availability'!$I:$I,J70)&amp;""="","coach: –",PROPER(INDEX('Reguler Class Availability'!$I:$I,J70)&amp;""))&amp;IF(INDEX('Reguler Class Availability'!$J:$J,J70)&amp;""="","",CHAR(10)&amp;"asst: "&amp;PROPER(INDEX('Reguler Class Availability'!$J:$J,J70)&amp;""))))</f>
        <v>Kids  0/0
coach: –</v>
      </c>
      <c r="C70" s="40" t="str">
        <f aca="false">IF(K70="","",IF(S70="Tidak dibuka","–",IF(INDEX('Reguler Class Availability'!$B:$B,K70)&amp;""="","Kosong",PROPER(INDEX('Reguler Class Availability'!$B:$B,K70)&amp;""))&amp;"  "&amp;IFERROR(--(INDEX('Reguler Class Availability'!$G:$G,K70)&amp;""),0)&amp;"/"&amp;IFERROR(--(INDEX('Reguler Class Availability'!$F:$F,K70)&amp;""),0)&amp;IF(IFERROR(--(INDEX('Reguler Class Availability'!$F:$F,K70)&amp;""),0)&gt;0,"  ("&amp;TEXT(IFERROR(--(INDEX('Reguler Class Availability'!$G:$G,K70)&amp;""),0)/IFERROR(--(INDEX('Reguler Class Availability'!$F:$F,K70)&amp;""),0),"0%")&amp;")","")&amp;CHAR(10)&amp;IF(INDEX('Reguler Class Availability'!$I:$I,K70)&amp;""="","coach: –",PROPER(INDEX('Reguler Class Availability'!$I:$I,K70)&amp;""))&amp;IF(INDEX('Reguler Class Availability'!$J:$J,K70)&amp;""="","",CHAR(10)&amp;"asst: "&amp;PROPER(INDEX('Reguler Class Availability'!$J:$J,K70)&amp;""))))</f>
        <v>Kids  0/0
coach: –</v>
      </c>
      <c r="D70" s="40" t="str">
        <f aca="false">IF(L70="","",IF(T70="Tidak dibuka","–",IF(INDEX('Reguler Class Availability'!$B:$B,L70)&amp;""="","Kosong",PROPER(INDEX('Reguler Class Availability'!$B:$B,L70)&amp;""))&amp;"  "&amp;IFERROR(--(INDEX('Reguler Class Availability'!$G:$G,L70)&amp;""),0)&amp;"/"&amp;IFERROR(--(INDEX('Reguler Class Availability'!$F:$F,L70)&amp;""),0)&amp;IF(IFERROR(--(INDEX('Reguler Class Availability'!$F:$F,L70)&amp;""),0)&gt;0,"  ("&amp;TEXT(IFERROR(--(INDEX('Reguler Class Availability'!$G:$G,L70)&amp;""),0)/IFERROR(--(INDEX('Reguler Class Availability'!$F:$F,L70)&amp;""),0),"0%")&amp;")","")&amp;CHAR(10)&amp;IF(INDEX('Reguler Class Availability'!$I:$I,L70)&amp;""="","coach: –",PROPER(INDEX('Reguler Class Availability'!$I:$I,L70)&amp;""))&amp;IF(INDEX('Reguler Class Availability'!$J:$J,L70)&amp;""="","",CHAR(10)&amp;"asst: "&amp;PROPER(INDEX('Reguler Class Availability'!$J:$J,L70)&amp;""))))</f>
        <v>Kids  0/0
coach: –</v>
      </c>
      <c r="E70" s="40" t="str">
        <f aca="false">IF(M70="","",IF(U70="Tidak dibuka","–",IF(INDEX('Reguler Class Availability'!$B:$B,M70)&amp;""="","Kosong",PROPER(INDEX('Reguler Class Availability'!$B:$B,M70)&amp;""))&amp;"  "&amp;IFERROR(--(INDEX('Reguler Class Availability'!$G:$G,M70)&amp;""),0)&amp;"/"&amp;IFERROR(--(INDEX('Reguler Class Availability'!$F:$F,M70)&amp;""),0)&amp;IF(IFERROR(--(INDEX('Reguler Class Availability'!$F:$F,M70)&amp;""),0)&gt;0,"  ("&amp;TEXT(IFERROR(--(INDEX('Reguler Class Availability'!$G:$G,M70)&amp;""),0)/IFERROR(--(INDEX('Reguler Class Availability'!$F:$F,M70)&amp;""),0),"0%")&amp;")","")&amp;CHAR(10)&amp;IF(INDEX('Reguler Class Availability'!$I:$I,M70)&amp;""="","coach: –",PROPER(INDEX('Reguler Class Availability'!$I:$I,M70)&amp;""))&amp;IF(INDEX('Reguler Class Availability'!$J:$J,M70)&amp;""="","",CHAR(10)&amp;"asst: "&amp;PROPER(INDEX('Reguler Class Availability'!$J:$J,M70)&amp;""))))</f>
        <v>Kids  0/0
coach: –</v>
      </c>
      <c r="F70" s="40" t="str">
        <f aca="false">IF(N70="","",IF(V70="Tidak dibuka","–",IF(INDEX('Reguler Class Availability'!$B:$B,N70)&amp;""="","Kosong",PROPER(INDEX('Reguler Class Availability'!$B:$B,N70)&amp;""))&amp;"  "&amp;IFERROR(--(INDEX('Reguler Class Availability'!$G:$G,N70)&amp;""),0)&amp;"/"&amp;IFERROR(--(INDEX('Reguler Class Availability'!$F:$F,N70)&amp;""),0)&amp;IF(IFERROR(--(INDEX('Reguler Class Availability'!$F:$F,N70)&amp;""),0)&gt;0,"  ("&amp;TEXT(IFERROR(--(INDEX('Reguler Class Availability'!$G:$G,N70)&amp;""),0)/IFERROR(--(INDEX('Reguler Class Availability'!$F:$F,N70)&amp;""),0),"0%")&amp;")","")&amp;CHAR(10)&amp;IF(INDEX('Reguler Class Availability'!$I:$I,N70)&amp;""="","coach: –",PROPER(INDEX('Reguler Class Availability'!$I:$I,N70)&amp;""))&amp;IF(INDEX('Reguler Class Availability'!$J:$J,N70)&amp;""="","",CHAR(10)&amp;"asst: "&amp;PROPER(INDEX('Reguler Class Availability'!$J:$J,N70)&amp;""))))</f>
        <v>Kids  0/0
coach: –</v>
      </c>
      <c r="G70" s="40" t="str">
        <f aca="false">IF(O70="","",IF(W70="Tidak dibuka","–",IF(INDEX('Reguler Class Availability'!$B:$B,O70)&amp;""="","Kosong",PROPER(INDEX('Reguler Class Availability'!$B:$B,O70)&amp;""))&amp;"  "&amp;IFERROR(--(INDEX('Reguler Class Availability'!$G:$G,O70)&amp;""),0)&amp;"/"&amp;IFERROR(--(INDEX('Reguler Class Availability'!$F:$F,O70)&amp;""),0)&amp;IF(IFERROR(--(INDEX('Reguler Class Availability'!$F:$F,O70)&amp;""),0)&gt;0,"  ("&amp;TEXT(IFERROR(--(INDEX('Reguler Class Availability'!$G:$G,O70)&amp;""),0)/IFERROR(--(INDEX('Reguler Class Availability'!$F:$F,O70)&amp;""),0),"0%")&amp;")","")&amp;CHAR(10)&amp;IF(INDEX('Reguler Class Availability'!$I:$I,O70)&amp;""="","coach: –",PROPER(INDEX('Reguler Class Availability'!$I:$I,O70)&amp;""))&amp;IF(INDEX('Reguler Class Availability'!$J:$J,O70)&amp;""="","",CHAR(10)&amp;"asst: "&amp;PROPER(INDEX('Reguler Class Availability'!$J:$J,O70)&amp;""))))</f>
        <v>Kids  0/0
coach: –</v>
      </c>
      <c r="H70" s="40" t="str">
        <f aca="false">IF(P70="","",IF(X70="Tidak dibuka","–",IF(INDEX('Reguler Class Availability'!$B:$B,P70)&amp;""="","Kosong",PROPER(INDEX('Reguler Class Availability'!$B:$B,P70)&amp;""))&amp;"  "&amp;IFERROR(--(INDEX('Reguler Class Availability'!$G:$G,P70)&amp;""),0)&amp;"/"&amp;IFERROR(--(INDEX('Reguler Class Availability'!$F:$F,P70)&amp;""),0)&amp;IF(IFERROR(--(INDEX('Reguler Class Availability'!$F:$F,P70)&amp;""),0)&gt;0,"  ("&amp;TEXT(IFERROR(--(INDEX('Reguler Class Availability'!$G:$G,P70)&amp;""),0)/IFERROR(--(INDEX('Reguler Class Availability'!$F:$F,P70)&amp;""),0),"0%")&amp;")","")&amp;CHAR(10)&amp;IF(INDEX('Reguler Class Availability'!$I:$I,P70)&amp;""="","coach: –",PROPER(INDEX('Reguler Class Availability'!$I:$I,P70)&amp;""))&amp;IF(INDEX('Reguler Class Availability'!$J:$J,P70)&amp;""="","",CHAR(10)&amp;"asst: "&amp;PROPER(INDEX('Reguler Class Availability'!$J:$J,P70)&amp;""))))</f>
        <v>Kids  0/0
coach: –</v>
      </c>
      <c r="J70" s="4" t="n">
        <f aca="false">IF($A70="","",IFERROR(MATCH($B$4&amp;"|- Lane 4 - "&amp;B$69&amp;"|"&amp;$A70,'Reguler Class Availability'!$L:$L,0),""))</f>
        <v>268</v>
      </c>
      <c r="K70" s="4" t="n">
        <f aca="false">IF($A70="","",IFERROR(MATCH($B$4&amp;"|- Lane 4 - "&amp;C$69&amp;"|"&amp;$A70,'Reguler Class Availability'!$L:$L,0),""))</f>
        <v>280</v>
      </c>
      <c r="L70" s="4" t="n">
        <f aca="false">IF($A70="","",IFERROR(MATCH($B$4&amp;"|- Lane 4 - "&amp;D$69&amp;"|"&amp;$A70,'Reguler Class Availability'!$L:$L,0),""))</f>
        <v>292</v>
      </c>
      <c r="M70" s="4" t="n">
        <f aca="false">IF($A70="","",IFERROR(MATCH($B$4&amp;"|- Lane 4 - "&amp;E$69&amp;"|"&amp;$A70,'Reguler Class Availability'!$L:$L,0),""))</f>
        <v>304</v>
      </c>
      <c r="N70" s="4" t="n">
        <f aca="false">IF($A70="","",IFERROR(MATCH($B$4&amp;"|- Lane 4 - "&amp;F$69&amp;"|"&amp;$A70,'Reguler Class Availability'!$L:$L,0),""))</f>
        <v>316</v>
      </c>
      <c r="O70" s="4" t="n">
        <f aca="false">IF($A70="","",IFERROR(MATCH($B$4&amp;"|- Lane 4 - "&amp;G$69&amp;"|"&amp;$A70,'Reguler Class Availability'!$L:$L,0),""))</f>
        <v>328</v>
      </c>
      <c r="P70" s="4" t="n">
        <f aca="false">IF($A70="","",IFERROR(MATCH($B$4&amp;"|- Lane 4 - "&amp;H$69&amp;"|"&amp;$A70,'Reguler Class Availability'!$L:$L,0),""))</f>
        <v>340</v>
      </c>
      <c r="R70" s="0" t="str">
        <f aca="false">IF(J70="","",IF(AND(IFERROR(--(INDEX('Reguler Class Availability'!$F:$F,J70)&amp;""),0)=0,IFERROR(--(INDEX('Reguler Class Availability'!$G:$G,J70)&amp;""),0)=0),IF(OR(INDEX('Reguler Class Availability'!$B:$B,J70)&amp;""&lt;&gt;"",INDEX('Reguler Class Availability'!$I:$I,J70)&amp;""&lt;&gt;""),"Tutup","Tidak dibuka"),IF(IFERROR(--(INDEX('Reguler Class Availability'!$G:$G,J70)&amp;""),0)&gt;IFERROR(--(INDEX('Reguler Class Availability'!$F:$F,J70)&amp;""),0),"Lebih",IF(IFERROR(--(INDEX('Reguler Class Availability'!$G:$G,J70)&amp;""),0)=IFERROR(--(INDEX('Reguler Class Availability'!$F:$F,J70)&amp;""),0),"Penuh",IF(IFERROR(--(INDEX('Reguler Class Availability'!$G:$G,J70)&amp;""),0)=0,IF(INDEX('Reguler Class Availability'!$B:$B,J70)&amp;""="","Kosong","Belum terisi"),IF(IFERROR(--(INDEX('Reguler Class Availability'!$G:$G,J70)&amp;""),0)/IFERROR(--(INDEX('Reguler Class Availability'!$F:$F,J70)&amp;""),0)&gt;=0.6,"Tinggi","Sebagian"))))))</f>
        <v>Tutup</v>
      </c>
      <c r="S70" s="0" t="str">
        <f aca="false">IF(K70="","",IF(AND(IFERROR(--(INDEX('Reguler Class Availability'!$F:$F,K70)&amp;""),0)=0,IFERROR(--(INDEX('Reguler Class Availability'!$G:$G,K70)&amp;""),0)=0),IF(OR(INDEX('Reguler Class Availability'!$B:$B,K70)&amp;""&lt;&gt;"",INDEX('Reguler Class Availability'!$I:$I,K70)&amp;""&lt;&gt;""),"Tutup","Tidak dibuka"),IF(IFERROR(--(INDEX('Reguler Class Availability'!$G:$G,K70)&amp;""),0)&gt;IFERROR(--(INDEX('Reguler Class Availability'!$F:$F,K70)&amp;""),0),"Lebih",IF(IFERROR(--(INDEX('Reguler Class Availability'!$G:$G,K70)&amp;""),0)=IFERROR(--(INDEX('Reguler Class Availability'!$F:$F,K70)&amp;""),0),"Penuh",IF(IFERROR(--(INDEX('Reguler Class Availability'!$G:$G,K70)&amp;""),0)=0,IF(INDEX('Reguler Class Availability'!$B:$B,K70)&amp;""="","Kosong","Belum terisi"),IF(IFERROR(--(INDEX('Reguler Class Availability'!$G:$G,K70)&amp;""),0)/IFERROR(--(INDEX('Reguler Class Availability'!$F:$F,K70)&amp;""),0)&gt;=0.6,"Tinggi","Sebagian"))))))</f>
        <v>Tutup</v>
      </c>
      <c r="T70" s="0" t="str">
        <f aca="false">IF(L70="","",IF(AND(IFERROR(--(INDEX('Reguler Class Availability'!$F:$F,L70)&amp;""),0)=0,IFERROR(--(INDEX('Reguler Class Availability'!$G:$G,L70)&amp;""),0)=0),IF(OR(INDEX('Reguler Class Availability'!$B:$B,L70)&amp;""&lt;&gt;"",INDEX('Reguler Class Availability'!$I:$I,L70)&amp;""&lt;&gt;""),"Tutup","Tidak dibuka"),IF(IFERROR(--(INDEX('Reguler Class Availability'!$G:$G,L70)&amp;""),0)&gt;IFERROR(--(INDEX('Reguler Class Availability'!$F:$F,L70)&amp;""),0),"Lebih",IF(IFERROR(--(INDEX('Reguler Class Availability'!$G:$G,L70)&amp;""),0)=IFERROR(--(INDEX('Reguler Class Availability'!$F:$F,L70)&amp;""),0),"Penuh",IF(IFERROR(--(INDEX('Reguler Class Availability'!$G:$G,L70)&amp;""),0)=0,IF(INDEX('Reguler Class Availability'!$B:$B,L70)&amp;""="","Kosong","Belum terisi"),IF(IFERROR(--(INDEX('Reguler Class Availability'!$G:$G,L70)&amp;""),0)/IFERROR(--(INDEX('Reguler Class Availability'!$F:$F,L70)&amp;""),0)&gt;=0.6,"Tinggi","Sebagian"))))))</f>
        <v>Tutup</v>
      </c>
      <c r="U70" s="0" t="str">
        <f aca="false">IF(M70="","",IF(AND(IFERROR(--(INDEX('Reguler Class Availability'!$F:$F,M70)&amp;""),0)=0,IFERROR(--(INDEX('Reguler Class Availability'!$G:$G,M70)&amp;""),0)=0),IF(OR(INDEX('Reguler Class Availability'!$B:$B,M70)&amp;""&lt;&gt;"",INDEX('Reguler Class Availability'!$I:$I,M70)&amp;""&lt;&gt;""),"Tutup","Tidak dibuka"),IF(IFERROR(--(INDEX('Reguler Class Availability'!$G:$G,M70)&amp;""),0)&gt;IFERROR(--(INDEX('Reguler Class Availability'!$F:$F,M70)&amp;""),0),"Lebih",IF(IFERROR(--(INDEX('Reguler Class Availability'!$G:$G,M70)&amp;""),0)=IFERROR(--(INDEX('Reguler Class Availability'!$F:$F,M70)&amp;""),0),"Penuh",IF(IFERROR(--(INDEX('Reguler Class Availability'!$G:$G,M70)&amp;""),0)=0,IF(INDEX('Reguler Class Availability'!$B:$B,M70)&amp;""="","Kosong","Belum terisi"),IF(IFERROR(--(INDEX('Reguler Class Availability'!$G:$G,M70)&amp;""),0)/IFERROR(--(INDEX('Reguler Class Availability'!$F:$F,M70)&amp;""),0)&gt;=0.6,"Tinggi","Sebagian"))))))</f>
        <v>Tutup</v>
      </c>
      <c r="V70" s="0" t="str">
        <f aca="false">IF(N70="","",IF(AND(IFERROR(--(INDEX('Reguler Class Availability'!$F:$F,N70)&amp;""),0)=0,IFERROR(--(INDEX('Reguler Class Availability'!$G:$G,N70)&amp;""),0)=0),IF(OR(INDEX('Reguler Class Availability'!$B:$B,N70)&amp;""&lt;&gt;"",INDEX('Reguler Class Availability'!$I:$I,N70)&amp;""&lt;&gt;""),"Tutup","Tidak dibuka"),IF(IFERROR(--(INDEX('Reguler Class Availability'!$G:$G,N70)&amp;""),0)&gt;IFERROR(--(INDEX('Reguler Class Availability'!$F:$F,N70)&amp;""),0),"Lebih",IF(IFERROR(--(INDEX('Reguler Class Availability'!$G:$G,N70)&amp;""),0)=IFERROR(--(INDEX('Reguler Class Availability'!$F:$F,N70)&amp;""),0),"Penuh",IF(IFERROR(--(INDEX('Reguler Class Availability'!$G:$G,N70)&amp;""),0)=0,IF(INDEX('Reguler Class Availability'!$B:$B,N70)&amp;""="","Kosong","Belum terisi"),IF(IFERROR(--(INDEX('Reguler Class Availability'!$G:$G,N70)&amp;""),0)/IFERROR(--(INDEX('Reguler Class Availability'!$F:$F,N70)&amp;""),0)&gt;=0.6,"Tinggi","Sebagian"))))))</f>
        <v>Tutup</v>
      </c>
      <c r="W70" s="0" t="str">
        <f aca="false">IF(O70="","",IF(AND(IFERROR(--(INDEX('Reguler Class Availability'!$F:$F,O70)&amp;""),0)=0,IFERROR(--(INDEX('Reguler Class Availability'!$G:$G,O70)&amp;""),0)=0),IF(OR(INDEX('Reguler Class Availability'!$B:$B,O70)&amp;""&lt;&gt;"",INDEX('Reguler Class Availability'!$I:$I,O70)&amp;""&lt;&gt;""),"Tutup","Tidak dibuka"),IF(IFERROR(--(INDEX('Reguler Class Availability'!$G:$G,O70)&amp;""),0)&gt;IFERROR(--(INDEX('Reguler Class Availability'!$F:$F,O70)&amp;""),0),"Lebih",IF(IFERROR(--(INDEX('Reguler Class Availability'!$G:$G,O70)&amp;""),0)=IFERROR(--(INDEX('Reguler Class Availability'!$F:$F,O70)&amp;""),0),"Penuh",IF(IFERROR(--(INDEX('Reguler Class Availability'!$G:$G,O70)&amp;""),0)=0,IF(INDEX('Reguler Class Availability'!$B:$B,O70)&amp;""="","Kosong","Belum terisi"),IF(IFERROR(--(INDEX('Reguler Class Availability'!$G:$G,O70)&amp;""),0)/IFERROR(--(INDEX('Reguler Class Availability'!$F:$F,O70)&amp;""),0)&gt;=0.6,"Tinggi","Sebagian"))))))</f>
        <v>Tutup</v>
      </c>
      <c r="X70" s="0" t="str">
        <f aca="false">IF(P70="","",IF(AND(IFERROR(--(INDEX('Reguler Class Availability'!$F:$F,P70)&amp;""),0)=0,IFERROR(--(INDEX('Reguler Class Availability'!$G:$G,P70)&amp;""),0)=0),IF(OR(INDEX('Reguler Class Availability'!$B:$B,P70)&amp;""&lt;&gt;"",INDEX('Reguler Class Availability'!$I:$I,P70)&amp;""&lt;&gt;""),"Tutup","Tidak dibuka"),IF(IFERROR(--(INDEX('Reguler Class Availability'!$G:$G,P70)&amp;""),0)&gt;IFERROR(--(INDEX('Reguler Class Availability'!$F:$F,P70)&amp;""),0),"Lebih",IF(IFERROR(--(INDEX('Reguler Class Availability'!$G:$G,P70)&amp;""),0)=IFERROR(--(INDEX('Reguler Class Availability'!$F:$F,P70)&amp;""),0),"Penuh",IF(IFERROR(--(INDEX('Reguler Class Availability'!$G:$G,P70)&amp;""),0)=0,IF(INDEX('Reguler Class Availability'!$B:$B,P70)&amp;""="","Kosong","Belum terisi"),IF(IFERROR(--(INDEX('Reguler Class Availability'!$G:$G,P70)&amp;""),0)/IFERROR(--(INDEX('Reguler Class Availability'!$F:$F,P70)&amp;""),0)&gt;=0.6,"Tinggi","Sebagian"))))))</f>
        <v>Tutup</v>
      </c>
      <c r="Z70" s="4" t="s">
        <v>34</v>
      </c>
      <c r="AA70" s="4" t="n">
        <f aca="false">IF(COUNTIFS('Reguler Class Availability'!$L:$L,$B$4&amp;"|- Lane 2 - *|"&amp;Z70)&gt;0,1,0)</f>
        <v>0</v>
      </c>
      <c r="AB70" s="4" t="n">
        <f aca="false">AA70+AB69</f>
        <v>0</v>
      </c>
    </row>
    <row r="71" customFormat="false" ht="39.75" hidden="false" customHeight="true" outlineLevel="0" collapsed="false">
      <c r="A71" s="39" t="str">
        <f aca="false">IFERROR(INDEX($Z$182:$Z$241,MATCH(2,$AB$182:$AB$241,0)),"")</f>
        <v>08:45</v>
      </c>
      <c r="B71" s="40" t="str">
        <f aca="false">IF(J71="","",IF(R71="Tidak dibuka","–",IF(INDEX('Reguler Class Availability'!$B:$B,J71)&amp;""="","Kosong",PROPER(INDEX('Reguler Class Availability'!$B:$B,J71)&amp;""))&amp;"  "&amp;IFERROR(--(INDEX('Reguler Class Availability'!$G:$G,J71)&amp;""),0)&amp;"/"&amp;IFERROR(--(INDEX('Reguler Class Availability'!$F:$F,J71)&amp;""),0)&amp;IF(IFERROR(--(INDEX('Reguler Class Availability'!$F:$F,J71)&amp;""),0)&gt;0,"  ("&amp;TEXT(IFERROR(--(INDEX('Reguler Class Availability'!$G:$G,J71)&amp;""),0)/IFERROR(--(INDEX('Reguler Class Availability'!$F:$F,J71)&amp;""),0),"0%")&amp;")","")&amp;CHAR(10)&amp;IF(INDEX('Reguler Class Availability'!$I:$I,J71)&amp;""="","coach: –",PROPER(INDEX('Reguler Class Availability'!$I:$I,J71)&amp;""))&amp;IF(INDEX('Reguler Class Availability'!$J:$J,J71)&amp;""="","",CHAR(10)&amp;"asst: "&amp;PROPER(INDEX('Reguler Class Availability'!$J:$J,J71)&amp;""))))</f>
        <v>Kids  0/4  (0%)
coach: –</v>
      </c>
      <c r="C71" s="40" t="str">
        <f aca="false">IF(K71="","",IF(S71="Tidak dibuka","–",IF(INDEX('Reguler Class Availability'!$B:$B,K71)&amp;""="","Kosong",PROPER(INDEX('Reguler Class Availability'!$B:$B,K71)&amp;""))&amp;"  "&amp;IFERROR(--(INDEX('Reguler Class Availability'!$G:$G,K71)&amp;""),0)&amp;"/"&amp;IFERROR(--(INDEX('Reguler Class Availability'!$F:$F,K71)&amp;""),0)&amp;IF(IFERROR(--(INDEX('Reguler Class Availability'!$F:$F,K71)&amp;""),0)&gt;0,"  ("&amp;TEXT(IFERROR(--(INDEX('Reguler Class Availability'!$G:$G,K71)&amp;""),0)/IFERROR(--(INDEX('Reguler Class Availability'!$F:$F,K71)&amp;""),0),"0%")&amp;")","")&amp;CHAR(10)&amp;IF(INDEX('Reguler Class Availability'!$I:$I,K71)&amp;""="","coach: –",PROPER(INDEX('Reguler Class Availability'!$I:$I,K71)&amp;""))&amp;IF(INDEX('Reguler Class Availability'!$J:$J,K71)&amp;""="","",CHAR(10)&amp;"asst: "&amp;PROPER(INDEX('Reguler Class Availability'!$J:$J,K71)&amp;""))))</f>
        <v>Kids  0/4  (0%)
coach: –</v>
      </c>
      <c r="D71" s="40" t="str">
        <f aca="false">IF(L71="","",IF(T71="Tidak dibuka","–",IF(INDEX('Reguler Class Availability'!$B:$B,L71)&amp;""="","Kosong",PROPER(INDEX('Reguler Class Availability'!$B:$B,L71)&amp;""))&amp;"  "&amp;IFERROR(--(INDEX('Reguler Class Availability'!$G:$G,L71)&amp;""),0)&amp;"/"&amp;IFERROR(--(INDEX('Reguler Class Availability'!$F:$F,L71)&amp;""),0)&amp;IF(IFERROR(--(INDEX('Reguler Class Availability'!$F:$F,L71)&amp;""),0)&gt;0,"  ("&amp;TEXT(IFERROR(--(INDEX('Reguler Class Availability'!$G:$G,L71)&amp;""),0)/IFERROR(--(INDEX('Reguler Class Availability'!$F:$F,L71)&amp;""),0),"0%")&amp;")","")&amp;CHAR(10)&amp;IF(INDEX('Reguler Class Availability'!$I:$I,L71)&amp;""="","coach: –",PROPER(INDEX('Reguler Class Availability'!$I:$I,L71)&amp;""))&amp;IF(INDEX('Reguler Class Availability'!$J:$J,L71)&amp;""="","",CHAR(10)&amp;"asst: "&amp;PROPER(INDEX('Reguler Class Availability'!$J:$J,L71)&amp;""))))</f>
        <v>Kids  3/4  (75%)
Gita</v>
      </c>
      <c r="E71" s="40" t="str">
        <f aca="false">IF(M71="","",IF(U71="Tidak dibuka","–",IF(INDEX('Reguler Class Availability'!$B:$B,M71)&amp;""="","Kosong",PROPER(INDEX('Reguler Class Availability'!$B:$B,M71)&amp;""))&amp;"  "&amp;IFERROR(--(INDEX('Reguler Class Availability'!$G:$G,M71)&amp;""),0)&amp;"/"&amp;IFERROR(--(INDEX('Reguler Class Availability'!$F:$F,M71)&amp;""),0)&amp;IF(IFERROR(--(INDEX('Reguler Class Availability'!$F:$F,M71)&amp;""),0)&gt;0,"  ("&amp;TEXT(IFERROR(--(INDEX('Reguler Class Availability'!$G:$G,M71)&amp;""),0)/IFERROR(--(INDEX('Reguler Class Availability'!$F:$F,M71)&amp;""),0),"0%")&amp;")","")&amp;CHAR(10)&amp;IF(INDEX('Reguler Class Availability'!$I:$I,M71)&amp;""="","coach: –",PROPER(INDEX('Reguler Class Availability'!$I:$I,M71)&amp;""))&amp;IF(INDEX('Reguler Class Availability'!$J:$J,M71)&amp;""="","",CHAR(10)&amp;"asst: "&amp;PROPER(INDEX('Reguler Class Availability'!$J:$J,M71)&amp;""))))</f>
        <v>Kids  0/4  (0%)
coach: –</v>
      </c>
      <c r="F71" s="40" t="str">
        <f aca="false">IF(N71="","",IF(V71="Tidak dibuka","–",IF(INDEX('Reguler Class Availability'!$B:$B,N71)&amp;""="","Kosong",PROPER(INDEX('Reguler Class Availability'!$B:$B,N71)&amp;""))&amp;"  "&amp;IFERROR(--(INDEX('Reguler Class Availability'!$G:$G,N71)&amp;""),0)&amp;"/"&amp;IFERROR(--(INDEX('Reguler Class Availability'!$F:$F,N71)&amp;""),0)&amp;IF(IFERROR(--(INDEX('Reguler Class Availability'!$F:$F,N71)&amp;""),0)&gt;0,"  ("&amp;TEXT(IFERROR(--(INDEX('Reguler Class Availability'!$G:$G,N71)&amp;""),0)/IFERROR(--(INDEX('Reguler Class Availability'!$F:$F,N71)&amp;""),0),"0%")&amp;")","")&amp;CHAR(10)&amp;IF(INDEX('Reguler Class Availability'!$I:$I,N71)&amp;""="","coach: –",PROPER(INDEX('Reguler Class Availability'!$I:$I,N71)&amp;""))&amp;IF(INDEX('Reguler Class Availability'!$J:$J,N71)&amp;""="","",CHAR(10)&amp;"asst: "&amp;PROPER(INDEX('Reguler Class Availability'!$J:$J,N71)&amp;""))))</f>
        <v>Kids  0/4  (0%)
coach: –</v>
      </c>
      <c r="G71" s="40" t="str">
        <f aca="false">IF(O71="","",IF(W71="Tidak dibuka","–",IF(INDEX('Reguler Class Availability'!$B:$B,O71)&amp;""="","Kosong",PROPER(INDEX('Reguler Class Availability'!$B:$B,O71)&amp;""))&amp;"  "&amp;IFERROR(--(INDEX('Reguler Class Availability'!$G:$G,O71)&amp;""),0)&amp;"/"&amp;IFERROR(--(INDEX('Reguler Class Availability'!$F:$F,O71)&amp;""),0)&amp;IF(IFERROR(--(INDEX('Reguler Class Availability'!$F:$F,O71)&amp;""),0)&gt;0,"  ("&amp;TEXT(IFERROR(--(INDEX('Reguler Class Availability'!$G:$G,O71)&amp;""),0)/IFERROR(--(INDEX('Reguler Class Availability'!$F:$F,O71)&amp;""),0),"0%")&amp;")","")&amp;CHAR(10)&amp;IF(INDEX('Reguler Class Availability'!$I:$I,O71)&amp;""="","coach: –",PROPER(INDEX('Reguler Class Availability'!$I:$I,O71)&amp;""))&amp;IF(INDEX('Reguler Class Availability'!$J:$J,O71)&amp;""="","",CHAR(10)&amp;"asst: "&amp;PROPER(INDEX('Reguler Class Availability'!$J:$J,O71)&amp;""))))</f>
        <v>Kids  4/4  (100%)
Dian</v>
      </c>
      <c r="H71" s="40" t="str">
        <f aca="false">IF(P71="","",IF(X71="Tidak dibuka","–",IF(INDEX('Reguler Class Availability'!$B:$B,P71)&amp;""="","Kosong",PROPER(INDEX('Reguler Class Availability'!$B:$B,P71)&amp;""))&amp;"  "&amp;IFERROR(--(INDEX('Reguler Class Availability'!$G:$G,P71)&amp;""),0)&amp;"/"&amp;IFERROR(--(INDEX('Reguler Class Availability'!$F:$F,P71)&amp;""),0)&amp;IF(IFERROR(--(INDEX('Reguler Class Availability'!$F:$F,P71)&amp;""),0)&gt;0,"  ("&amp;TEXT(IFERROR(--(INDEX('Reguler Class Availability'!$G:$G,P71)&amp;""),0)/IFERROR(--(INDEX('Reguler Class Availability'!$F:$F,P71)&amp;""),0),"0%")&amp;")","")&amp;CHAR(10)&amp;IF(INDEX('Reguler Class Availability'!$I:$I,P71)&amp;""="","coach: –",PROPER(INDEX('Reguler Class Availability'!$I:$I,P71)&amp;""))&amp;IF(INDEX('Reguler Class Availability'!$J:$J,P71)&amp;""="","",CHAR(10)&amp;"asst: "&amp;PROPER(INDEX('Reguler Class Availability'!$J:$J,P71)&amp;""))))</f>
        <v>Kids  4/4  (100%)
Dian</v>
      </c>
      <c r="J71" s="4" t="n">
        <f aca="false">IF($A71="","",IFERROR(MATCH($B$4&amp;"|- Lane 4 - "&amp;B$69&amp;"|"&amp;$A71,'Reguler Class Availability'!$L:$L,0),""))</f>
        <v>269</v>
      </c>
      <c r="K71" s="4" t="n">
        <f aca="false">IF($A71="","",IFERROR(MATCH($B$4&amp;"|- Lane 4 - "&amp;C$69&amp;"|"&amp;$A71,'Reguler Class Availability'!$L:$L,0),""))</f>
        <v>281</v>
      </c>
      <c r="L71" s="4" t="n">
        <f aca="false">IF($A71="","",IFERROR(MATCH($B$4&amp;"|- Lane 4 - "&amp;D$69&amp;"|"&amp;$A71,'Reguler Class Availability'!$L:$L,0),""))</f>
        <v>293</v>
      </c>
      <c r="M71" s="4" t="n">
        <f aca="false">IF($A71="","",IFERROR(MATCH($B$4&amp;"|- Lane 4 - "&amp;E$69&amp;"|"&amp;$A71,'Reguler Class Availability'!$L:$L,0),""))</f>
        <v>305</v>
      </c>
      <c r="N71" s="4" t="n">
        <f aca="false">IF($A71="","",IFERROR(MATCH($B$4&amp;"|- Lane 4 - "&amp;F$69&amp;"|"&amp;$A71,'Reguler Class Availability'!$L:$L,0),""))</f>
        <v>317</v>
      </c>
      <c r="O71" s="4" t="n">
        <f aca="false">IF($A71="","",IFERROR(MATCH($B$4&amp;"|- Lane 4 - "&amp;G$69&amp;"|"&amp;$A71,'Reguler Class Availability'!$L:$L,0),""))</f>
        <v>329</v>
      </c>
      <c r="P71" s="4" t="n">
        <f aca="false">IF($A71="","",IFERROR(MATCH($B$4&amp;"|- Lane 4 - "&amp;H$69&amp;"|"&amp;$A71,'Reguler Class Availability'!$L:$L,0),""))</f>
        <v>341</v>
      </c>
      <c r="R71" s="0" t="str">
        <f aca="false">IF(J71="","",IF(AND(IFERROR(--(INDEX('Reguler Class Availability'!$F:$F,J71)&amp;""),0)=0,IFERROR(--(INDEX('Reguler Class Availability'!$G:$G,J71)&amp;""),0)=0),IF(OR(INDEX('Reguler Class Availability'!$B:$B,J71)&amp;""&lt;&gt;"",INDEX('Reguler Class Availability'!$I:$I,J71)&amp;""&lt;&gt;""),"Tutup","Tidak dibuka"),IF(IFERROR(--(INDEX('Reguler Class Availability'!$G:$G,J71)&amp;""),0)&gt;IFERROR(--(INDEX('Reguler Class Availability'!$F:$F,J71)&amp;""),0),"Lebih",IF(IFERROR(--(INDEX('Reguler Class Availability'!$G:$G,J71)&amp;""),0)=IFERROR(--(INDEX('Reguler Class Availability'!$F:$F,J71)&amp;""),0),"Penuh",IF(IFERROR(--(INDEX('Reguler Class Availability'!$G:$G,J71)&amp;""),0)=0,IF(INDEX('Reguler Class Availability'!$B:$B,J71)&amp;""="","Kosong","Belum terisi"),IF(IFERROR(--(INDEX('Reguler Class Availability'!$G:$G,J71)&amp;""),0)/IFERROR(--(INDEX('Reguler Class Availability'!$F:$F,J71)&amp;""),0)&gt;=0.6,"Tinggi","Sebagian"))))))</f>
        <v>Belum terisi</v>
      </c>
      <c r="S71" s="0" t="str">
        <f aca="false">IF(K71="","",IF(AND(IFERROR(--(INDEX('Reguler Class Availability'!$F:$F,K71)&amp;""),0)=0,IFERROR(--(INDEX('Reguler Class Availability'!$G:$G,K71)&amp;""),0)=0),IF(OR(INDEX('Reguler Class Availability'!$B:$B,K71)&amp;""&lt;&gt;"",INDEX('Reguler Class Availability'!$I:$I,K71)&amp;""&lt;&gt;""),"Tutup","Tidak dibuka"),IF(IFERROR(--(INDEX('Reguler Class Availability'!$G:$G,K71)&amp;""),0)&gt;IFERROR(--(INDEX('Reguler Class Availability'!$F:$F,K71)&amp;""),0),"Lebih",IF(IFERROR(--(INDEX('Reguler Class Availability'!$G:$G,K71)&amp;""),0)=IFERROR(--(INDEX('Reguler Class Availability'!$F:$F,K71)&amp;""),0),"Penuh",IF(IFERROR(--(INDEX('Reguler Class Availability'!$G:$G,K71)&amp;""),0)=0,IF(INDEX('Reguler Class Availability'!$B:$B,K71)&amp;""="","Kosong","Belum terisi"),IF(IFERROR(--(INDEX('Reguler Class Availability'!$G:$G,K71)&amp;""),0)/IFERROR(--(INDEX('Reguler Class Availability'!$F:$F,K71)&amp;""),0)&gt;=0.6,"Tinggi","Sebagian"))))))</f>
        <v>Belum terisi</v>
      </c>
      <c r="T71" s="0" t="str">
        <f aca="false">IF(L71="","",IF(AND(IFERROR(--(INDEX('Reguler Class Availability'!$F:$F,L71)&amp;""),0)=0,IFERROR(--(INDEX('Reguler Class Availability'!$G:$G,L71)&amp;""),0)=0),IF(OR(INDEX('Reguler Class Availability'!$B:$B,L71)&amp;""&lt;&gt;"",INDEX('Reguler Class Availability'!$I:$I,L71)&amp;""&lt;&gt;""),"Tutup","Tidak dibuka"),IF(IFERROR(--(INDEX('Reguler Class Availability'!$G:$G,L71)&amp;""),0)&gt;IFERROR(--(INDEX('Reguler Class Availability'!$F:$F,L71)&amp;""),0),"Lebih",IF(IFERROR(--(INDEX('Reguler Class Availability'!$G:$G,L71)&amp;""),0)=IFERROR(--(INDEX('Reguler Class Availability'!$F:$F,L71)&amp;""),0),"Penuh",IF(IFERROR(--(INDEX('Reguler Class Availability'!$G:$G,L71)&amp;""),0)=0,IF(INDEX('Reguler Class Availability'!$B:$B,L71)&amp;""="","Kosong","Belum terisi"),IF(IFERROR(--(INDEX('Reguler Class Availability'!$G:$G,L71)&amp;""),0)/IFERROR(--(INDEX('Reguler Class Availability'!$F:$F,L71)&amp;""),0)&gt;=0.6,"Tinggi","Sebagian"))))))</f>
        <v>Tinggi</v>
      </c>
      <c r="U71" s="0" t="str">
        <f aca="false">IF(M71="","",IF(AND(IFERROR(--(INDEX('Reguler Class Availability'!$F:$F,M71)&amp;""),0)=0,IFERROR(--(INDEX('Reguler Class Availability'!$G:$G,M71)&amp;""),0)=0),IF(OR(INDEX('Reguler Class Availability'!$B:$B,M71)&amp;""&lt;&gt;"",INDEX('Reguler Class Availability'!$I:$I,M71)&amp;""&lt;&gt;""),"Tutup","Tidak dibuka"),IF(IFERROR(--(INDEX('Reguler Class Availability'!$G:$G,M71)&amp;""),0)&gt;IFERROR(--(INDEX('Reguler Class Availability'!$F:$F,M71)&amp;""),0),"Lebih",IF(IFERROR(--(INDEX('Reguler Class Availability'!$G:$G,M71)&amp;""),0)=IFERROR(--(INDEX('Reguler Class Availability'!$F:$F,M71)&amp;""),0),"Penuh",IF(IFERROR(--(INDEX('Reguler Class Availability'!$G:$G,M71)&amp;""),0)=0,IF(INDEX('Reguler Class Availability'!$B:$B,M71)&amp;""="","Kosong","Belum terisi"),IF(IFERROR(--(INDEX('Reguler Class Availability'!$G:$G,M71)&amp;""),0)/IFERROR(--(INDEX('Reguler Class Availability'!$F:$F,M71)&amp;""),0)&gt;=0.6,"Tinggi","Sebagian"))))))</f>
        <v>Belum terisi</v>
      </c>
      <c r="V71" s="0" t="str">
        <f aca="false">IF(N71="","",IF(AND(IFERROR(--(INDEX('Reguler Class Availability'!$F:$F,N71)&amp;""),0)=0,IFERROR(--(INDEX('Reguler Class Availability'!$G:$G,N71)&amp;""),0)=0),IF(OR(INDEX('Reguler Class Availability'!$B:$B,N71)&amp;""&lt;&gt;"",INDEX('Reguler Class Availability'!$I:$I,N71)&amp;""&lt;&gt;""),"Tutup","Tidak dibuka"),IF(IFERROR(--(INDEX('Reguler Class Availability'!$G:$G,N71)&amp;""),0)&gt;IFERROR(--(INDEX('Reguler Class Availability'!$F:$F,N71)&amp;""),0),"Lebih",IF(IFERROR(--(INDEX('Reguler Class Availability'!$G:$G,N71)&amp;""),0)=IFERROR(--(INDEX('Reguler Class Availability'!$F:$F,N71)&amp;""),0),"Penuh",IF(IFERROR(--(INDEX('Reguler Class Availability'!$G:$G,N71)&amp;""),0)=0,IF(INDEX('Reguler Class Availability'!$B:$B,N71)&amp;""="","Kosong","Belum terisi"),IF(IFERROR(--(INDEX('Reguler Class Availability'!$G:$G,N71)&amp;""),0)/IFERROR(--(INDEX('Reguler Class Availability'!$F:$F,N71)&amp;""),0)&gt;=0.6,"Tinggi","Sebagian"))))))</f>
        <v>Belum terisi</v>
      </c>
      <c r="W71" s="0" t="str">
        <f aca="false">IF(O71="","",IF(AND(IFERROR(--(INDEX('Reguler Class Availability'!$F:$F,O71)&amp;""),0)=0,IFERROR(--(INDEX('Reguler Class Availability'!$G:$G,O71)&amp;""),0)=0),IF(OR(INDEX('Reguler Class Availability'!$B:$B,O71)&amp;""&lt;&gt;"",INDEX('Reguler Class Availability'!$I:$I,O71)&amp;""&lt;&gt;""),"Tutup","Tidak dibuka"),IF(IFERROR(--(INDEX('Reguler Class Availability'!$G:$G,O71)&amp;""),0)&gt;IFERROR(--(INDEX('Reguler Class Availability'!$F:$F,O71)&amp;""),0),"Lebih",IF(IFERROR(--(INDEX('Reguler Class Availability'!$G:$G,O71)&amp;""),0)=IFERROR(--(INDEX('Reguler Class Availability'!$F:$F,O71)&amp;""),0),"Penuh",IF(IFERROR(--(INDEX('Reguler Class Availability'!$G:$G,O71)&amp;""),0)=0,IF(INDEX('Reguler Class Availability'!$B:$B,O71)&amp;""="","Kosong","Belum terisi"),IF(IFERROR(--(INDEX('Reguler Class Availability'!$G:$G,O71)&amp;""),0)/IFERROR(--(INDEX('Reguler Class Availability'!$F:$F,O71)&amp;""),0)&gt;=0.6,"Tinggi","Sebagian"))))))</f>
        <v>Penuh</v>
      </c>
      <c r="X71" s="0" t="str">
        <f aca="false">IF(P71="","",IF(AND(IFERROR(--(INDEX('Reguler Class Availability'!$F:$F,P71)&amp;""),0)=0,IFERROR(--(INDEX('Reguler Class Availability'!$G:$G,P71)&amp;""),0)=0),IF(OR(INDEX('Reguler Class Availability'!$B:$B,P71)&amp;""&lt;&gt;"",INDEX('Reguler Class Availability'!$I:$I,P71)&amp;""&lt;&gt;""),"Tutup","Tidak dibuka"),IF(IFERROR(--(INDEX('Reguler Class Availability'!$G:$G,P71)&amp;""),0)&gt;IFERROR(--(INDEX('Reguler Class Availability'!$F:$F,P71)&amp;""),0),"Lebih",IF(IFERROR(--(INDEX('Reguler Class Availability'!$G:$G,P71)&amp;""),0)=IFERROR(--(INDEX('Reguler Class Availability'!$F:$F,P71)&amp;""),0),"Penuh",IF(IFERROR(--(INDEX('Reguler Class Availability'!$G:$G,P71)&amp;""),0)=0,IF(INDEX('Reguler Class Availability'!$B:$B,P71)&amp;""="","Kosong","Belum terisi"),IF(IFERROR(--(INDEX('Reguler Class Availability'!$G:$G,P71)&amp;""),0)/IFERROR(--(INDEX('Reguler Class Availability'!$F:$F,P71)&amp;""),0)&gt;=0.6,"Tinggi","Sebagian"))))))</f>
        <v>Penuh</v>
      </c>
      <c r="Z71" s="4" t="s">
        <v>35</v>
      </c>
      <c r="AA71" s="4" t="n">
        <f aca="false">IF(COUNTIFS('Reguler Class Availability'!$L:$L,$B$4&amp;"|- Lane 2 - *|"&amp;Z71)&gt;0,1,0)</f>
        <v>1</v>
      </c>
      <c r="AB71" s="4" t="n">
        <f aca="false">AA71+AB70</f>
        <v>1</v>
      </c>
    </row>
    <row r="72" customFormat="false" ht="39.75" hidden="false" customHeight="true" outlineLevel="0" collapsed="false">
      <c r="A72" s="39" t="str">
        <f aca="false">IFERROR(INDEX($Z$182:$Z$241,MATCH(3,$AB$182:$AB$241,0)),"")</f>
        <v>09:30</v>
      </c>
      <c r="B72" s="40" t="str">
        <f aca="false">IF(J72="","",IF(R72="Tidak dibuka","–",IF(INDEX('Reguler Class Availability'!$B:$B,J72)&amp;""="","Kosong",PROPER(INDEX('Reguler Class Availability'!$B:$B,J72)&amp;""))&amp;"  "&amp;IFERROR(--(INDEX('Reguler Class Availability'!$G:$G,J72)&amp;""),0)&amp;"/"&amp;IFERROR(--(INDEX('Reguler Class Availability'!$F:$F,J72)&amp;""),0)&amp;IF(IFERROR(--(INDEX('Reguler Class Availability'!$F:$F,J72)&amp;""),0)&gt;0,"  ("&amp;TEXT(IFERROR(--(INDEX('Reguler Class Availability'!$G:$G,J72)&amp;""),0)/IFERROR(--(INDEX('Reguler Class Availability'!$F:$F,J72)&amp;""),0),"0%")&amp;")","")&amp;CHAR(10)&amp;IF(INDEX('Reguler Class Availability'!$I:$I,J72)&amp;""="","coach: –",PROPER(INDEX('Reguler Class Availability'!$I:$I,J72)&amp;""))&amp;IF(INDEX('Reguler Class Availability'!$J:$J,J72)&amp;""="","",CHAR(10)&amp;"asst: "&amp;PROPER(INDEX('Reguler Class Availability'!$J:$J,J72)&amp;""))))</f>
        <v>Kids  0/4  (0%)
coach: –</v>
      </c>
      <c r="C72" s="40" t="str">
        <f aca="false">IF(K72="","",IF(S72="Tidak dibuka","–",IF(INDEX('Reguler Class Availability'!$B:$B,K72)&amp;""="","Kosong",PROPER(INDEX('Reguler Class Availability'!$B:$B,K72)&amp;""))&amp;"  "&amp;IFERROR(--(INDEX('Reguler Class Availability'!$G:$G,K72)&amp;""),0)&amp;"/"&amp;IFERROR(--(INDEX('Reguler Class Availability'!$F:$F,K72)&amp;""),0)&amp;IF(IFERROR(--(INDEX('Reguler Class Availability'!$F:$F,K72)&amp;""),0)&gt;0,"  ("&amp;TEXT(IFERROR(--(INDEX('Reguler Class Availability'!$G:$G,K72)&amp;""),0)/IFERROR(--(INDEX('Reguler Class Availability'!$F:$F,K72)&amp;""),0),"0%")&amp;")","")&amp;CHAR(10)&amp;IF(INDEX('Reguler Class Availability'!$I:$I,K72)&amp;""="","coach: –",PROPER(INDEX('Reguler Class Availability'!$I:$I,K72)&amp;""))&amp;IF(INDEX('Reguler Class Availability'!$J:$J,K72)&amp;""="","",CHAR(10)&amp;"asst: "&amp;PROPER(INDEX('Reguler Class Availability'!$J:$J,K72)&amp;""))))</f>
        <v>Kids  0/4  (0%)
coach: –</v>
      </c>
      <c r="D72" s="40" t="str">
        <f aca="false">IF(L72="","",IF(T72="Tidak dibuka","–",IF(INDEX('Reguler Class Availability'!$B:$B,L72)&amp;""="","Kosong",PROPER(INDEX('Reguler Class Availability'!$B:$B,L72)&amp;""))&amp;"  "&amp;IFERROR(--(INDEX('Reguler Class Availability'!$G:$G,L72)&amp;""),0)&amp;"/"&amp;IFERROR(--(INDEX('Reguler Class Availability'!$F:$F,L72)&amp;""),0)&amp;IF(IFERROR(--(INDEX('Reguler Class Availability'!$F:$F,L72)&amp;""),0)&gt;0,"  ("&amp;TEXT(IFERROR(--(INDEX('Reguler Class Availability'!$G:$G,L72)&amp;""),0)/IFERROR(--(INDEX('Reguler Class Availability'!$F:$F,L72)&amp;""),0),"0%")&amp;")","")&amp;CHAR(10)&amp;IF(INDEX('Reguler Class Availability'!$I:$I,L72)&amp;""="","coach: –",PROPER(INDEX('Reguler Class Availability'!$I:$I,L72)&amp;""))&amp;IF(INDEX('Reguler Class Availability'!$J:$J,L72)&amp;""="","",CHAR(10)&amp;"asst: "&amp;PROPER(INDEX('Reguler Class Availability'!$J:$J,L72)&amp;""))))</f>
        <v>Kids  0/4  (0%)
coach: –</v>
      </c>
      <c r="E72" s="40" t="str">
        <f aca="false">IF(M72="","",IF(U72="Tidak dibuka","–",IF(INDEX('Reguler Class Availability'!$B:$B,M72)&amp;""="","Kosong",PROPER(INDEX('Reguler Class Availability'!$B:$B,M72)&amp;""))&amp;"  "&amp;IFERROR(--(INDEX('Reguler Class Availability'!$G:$G,M72)&amp;""),0)&amp;"/"&amp;IFERROR(--(INDEX('Reguler Class Availability'!$F:$F,M72)&amp;""),0)&amp;IF(IFERROR(--(INDEX('Reguler Class Availability'!$F:$F,M72)&amp;""),0)&gt;0,"  ("&amp;TEXT(IFERROR(--(INDEX('Reguler Class Availability'!$G:$G,M72)&amp;""),0)/IFERROR(--(INDEX('Reguler Class Availability'!$F:$F,M72)&amp;""),0),"0%")&amp;")","")&amp;CHAR(10)&amp;IF(INDEX('Reguler Class Availability'!$I:$I,M72)&amp;""="","coach: –",PROPER(INDEX('Reguler Class Availability'!$I:$I,M72)&amp;""))&amp;IF(INDEX('Reguler Class Availability'!$J:$J,M72)&amp;""="","",CHAR(10)&amp;"asst: "&amp;PROPER(INDEX('Reguler Class Availability'!$J:$J,M72)&amp;""))))</f>
        <v>Kids  3/4  (75%)
Surya</v>
      </c>
      <c r="F72" s="40" t="str">
        <f aca="false">IF(N72="","",IF(V72="Tidak dibuka","–",IF(INDEX('Reguler Class Availability'!$B:$B,N72)&amp;""="","Kosong",PROPER(INDEX('Reguler Class Availability'!$B:$B,N72)&amp;""))&amp;"  "&amp;IFERROR(--(INDEX('Reguler Class Availability'!$G:$G,N72)&amp;""),0)&amp;"/"&amp;IFERROR(--(INDEX('Reguler Class Availability'!$F:$F,N72)&amp;""),0)&amp;IF(IFERROR(--(INDEX('Reguler Class Availability'!$F:$F,N72)&amp;""),0)&gt;0,"  ("&amp;TEXT(IFERROR(--(INDEX('Reguler Class Availability'!$G:$G,N72)&amp;""),0)/IFERROR(--(INDEX('Reguler Class Availability'!$F:$F,N72)&amp;""),0),"0%")&amp;")","")&amp;CHAR(10)&amp;IF(INDEX('Reguler Class Availability'!$I:$I,N72)&amp;""="","coach: –",PROPER(INDEX('Reguler Class Availability'!$I:$I,N72)&amp;""))&amp;IF(INDEX('Reguler Class Availability'!$J:$J,N72)&amp;""="","",CHAR(10)&amp;"asst: "&amp;PROPER(INDEX('Reguler Class Availability'!$J:$J,N72)&amp;""))))</f>
        <v>Kids  0/4  (0%)
coach: –</v>
      </c>
      <c r="G72" s="40" t="str">
        <f aca="false">IF(O72="","",IF(W72="Tidak dibuka","–",IF(INDEX('Reguler Class Availability'!$B:$B,O72)&amp;""="","Kosong",PROPER(INDEX('Reguler Class Availability'!$B:$B,O72)&amp;""))&amp;"  "&amp;IFERROR(--(INDEX('Reguler Class Availability'!$G:$G,O72)&amp;""),0)&amp;"/"&amp;IFERROR(--(INDEX('Reguler Class Availability'!$F:$F,O72)&amp;""),0)&amp;IF(IFERROR(--(INDEX('Reguler Class Availability'!$F:$F,O72)&amp;""),0)&gt;0,"  ("&amp;TEXT(IFERROR(--(INDEX('Reguler Class Availability'!$G:$G,O72)&amp;""),0)/IFERROR(--(INDEX('Reguler Class Availability'!$F:$F,O72)&amp;""),0),"0%")&amp;")","")&amp;CHAR(10)&amp;IF(INDEX('Reguler Class Availability'!$I:$I,O72)&amp;""="","coach: –",PROPER(INDEX('Reguler Class Availability'!$I:$I,O72)&amp;""))&amp;IF(INDEX('Reguler Class Availability'!$J:$J,O72)&amp;""="","",CHAR(10)&amp;"asst: "&amp;PROPER(INDEX('Reguler Class Availability'!$J:$J,O72)&amp;""))))</f>
        <v>Kids  3/4  (75%)
Dian</v>
      </c>
      <c r="H72" s="40" t="str">
        <f aca="false">IF(P72="","",IF(X72="Tidak dibuka","–",IF(INDEX('Reguler Class Availability'!$B:$B,P72)&amp;""="","Kosong",PROPER(INDEX('Reguler Class Availability'!$B:$B,P72)&amp;""))&amp;"  "&amp;IFERROR(--(INDEX('Reguler Class Availability'!$G:$G,P72)&amp;""),0)&amp;"/"&amp;IFERROR(--(INDEX('Reguler Class Availability'!$F:$F,P72)&amp;""),0)&amp;IF(IFERROR(--(INDEX('Reguler Class Availability'!$F:$F,P72)&amp;""),0)&gt;0,"  ("&amp;TEXT(IFERROR(--(INDEX('Reguler Class Availability'!$G:$G,P72)&amp;""),0)/IFERROR(--(INDEX('Reguler Class Availability'!$F:$F,P72)&amp;""),0),"0%")&amp;")","")&amp;CHAR(10)&amp;IF(INDEX('Reguler Class Availability'!$I:$I,P72)&amp;""="","coach: –",PROPER(INDEX('Reguler Class Availability'!$I:$I,P72)&amp;""))&amp;IF(INDEX('Reguler Class Availability'!$J:$J,P72)&amp;""="","",CHAR(10)&amp;"asst: "&amp;PROPER(INDEX('Reguler Class Availability'!$J:$J,P72)&amp;""))))</f>
        <v>Kids  3/4  (75%)
Eka</v>
      </c>
      <c r="J72" s="4" t="n">
        <f aca="false">IF($A72="","",IFERROR(MATCH($B$4&amp;"|- Lane 4 - "&amp;B$69&amp;"|"&amp;$A72,'Reguler Class Availability'!$L:$L,0),""))</f>
        <v>270</v>
      </c>
      <c r="K72" s="4" t="n">
        <f aca="false">IF($A72="","",IFERROR(MATCH($B$4&amp;"|- Lane 4 - "&amp;C$69&amp;"|"&amp;$A72,'Reguler Class Availability'!$L:$L,0),""))</f>
        <v>282</v>
      </c>
      <c r="L72" s="4" t="n">
        <f aca="false">IF($A72="","",IFERROR(MATCH($B$4&amp;"|- Lane 4 - "&amp;D$69&amp;"|"&amp;$A72,'Reguler Class Availability'!$L:$L,0),""))</f>
        <v>294</v>
      </c>
      <c r="M72" s="4" t="n">
        <f aca="false">IF($A72="","",IFERROR(MATCH($B$4&amp;"|- Lane 4 - "&amp;E$69&amp;"|"&amp;$A72,'Reguler Class Availability'!$L:$L,0),""))</f>
        <v>306</v>
      </c>
      <c r="N72" s="4" t="n">
        <f aca="false">IF($A72="","",IFERROR(MATCH($B$4&amp;"|- Lane 4 - "&amp;F$69&amp;"|"&amp;$A72,'Reguler Class Availability'!$L:$L,0),""))</f>
        <v>318</v>
      </c>
      <c r="O72" s="4" t="n">
        <f aca="false">IF($A72="","",IFERROR(MATCH($B$4&amp;"|- Lane 4 - "&amp;G$69&amp;"|"&amp;$A72,'Reguler Class Availability'!$L:$L,0),""))</f>
        <v>330</v>
      </c>
      <c r="P72" s="4" t="n">
        <f aca="false">IF($A72="","",IFERROR(MATCH($B$4&amp;"|- Lane 4 - "&amp;H$69&amp;"|"&amp;$A72,'Reguler Class Availability'!$L:$L,0),""))</f>
        <v>342</v>
      </c>
      <c r="R72" s="0" t="str">
        <f aca="false">IF(J72="","",IF(AND(IFERROR(--(INDEX('Reguler Class Availability'!$F:$F,J72)&amp;""),0)=0,IFERROR(--(INDEX('Reguler Class Availability'!$G:$G,J72)&amp;""),0)=0),IF(OR(INDEX('Reguler Class Availability'!$B:$B,J72)&amp;""&lt;&gt;"",INDEX('Reguler Class Availability'!$I:$I,J72)&amp;""&lt;&gt;""),"Tutup","Tidak dibuka"),IF(IFERROR(--(INDEX('Reguler Class Availability'!$G:$G,J72)&amp;""),0)&gt;IFERROR(--(INDEX('Reguler Class Availability'!$F:$F,J72)&amp;""),0),"Lebih",IF(IFERROR(--(INDEX('Reguler Class Availability'!$G:$G,J72)&amp;""),0)=IFERROR(--(INDEX('Reguler Class Availability'!$F:$F,J72)&amp;""),0),"Penuh",IF(IFERROR(--(INDEX('Reguler Class Availability'!$G:$G,J72)&amp;""),0)=0,IF(INDEX('Reguler Class Availability'!$B:$B,J72)&amp;""="","Kosong","Belum terisi"),IF(IFERROR(--(INDEX('Reguler Class Availability'!$G:$G,J72)&amp;""),0)/IFERROR(--(INDEX('Reguler Class Availability'!$F:$F,J72)&amp;""),0)&gt;=0.6,"Tinggi","Sebagian"))))))</f>
        <v>Belum terisi</v>
      </c>
      <c r="S72" s="0" t="str">
        <f aca="false">IF(K72="","",IF(AND(IFERROR(--(INDEX('Reguler Class Availability'!$F:$F,K72)&amp;""),0)=0,IFERROR(--(INDEX('Reguler Class Availability'!$G:$G,K72)&amp;""),0)=0),IF(OR(INDEX('Reguler Class Availability'!$B:$B,K72)&amp;""&lt;&gt;"",INDEX('Reguler Class Availability'!$I:$I,K72)&amp;""&lt;&gt;""),"Tutup","Tidak dibuka"),IF(IFERROR(--(INDEX('Reguler Class Availability'!$G:$G,K72)&amp;""),0)&gt;IFERROR(--(INDEX('Reguler Class Availability'!$F:$F,K72)&amp;""),0),"Lebih",IF(IFERROR(--(INDEX('Reguler Class Availability'!$G:$G,K72)&amp;""),0)=IFERROR(--(INDEX('Reguler Class Availability'!$F:$F,K72)&amp;""),0),"Penuh",IF(IFERROR(--(INDEX('Reguler Class Availability'!$G:$G,K72)&amp;""),0)=0,IF(INDEX('Reguler Class Availability'!$B:$B,K72)&amp;""="","Kosong","Belum terisi"),IF(IFERROR(--(INDEX('Reguler Class Availability'!$G:$G,K72)&amp;""),0)/IFERROR(--(INDEX('Reguler Class Availability'!$F:$F,K72)&amp;""),0)&gt;=0.6,"Tinggi","Sebagian"))))))</f>
        <v>Belum terisi</v>
      </c>
      <c r="T72" s="0" t="str">
        <f aca="false">IF(L72="","",IF(AND(IFERROR(--(INDEX('Reguler Class Availability'!$F:$F,L72)&amp;""),0)=0,IFERROR(--(INDEX('Reguler Class Availability'!$G:$G,L72)&amp;""),0)=0),IF(OR(INDEX('Reguler Class Availability'!$B:$B,L72)&amp;""&lt;&gt;"",INDEX('Reguler Class Availability'!$I:$I,L72)&amp;""&lt;&gt;""),"Tutup","Tidak dibuka"),IF(IFERROR(--(INDEX('Reguler Class Availability'!$G:$G,L72)&amp;""),0)&gt;IFERROR(--(INDEX('Reguler Class Availability'!$F:$F,L72)&amp;""),0),"Lebih",IF(IFERROR(--(INDEX('Reguler Class Availability'!$G:$G,L72)&amp;""),0)=IFERROR(--(INDEX('Reguler Class Availability'!$F:$F,L72)&amp;""),0),"Penuh",IF(IFERROR(--(INDEX('Reguler Class Availability'!$G:$G,L72)&amp;""),0)=0,IF(INDEX('Reguler Class Availability'!$B:$B,L72)&amp;""="","Kosong","Belum terisi"),IF(IFERROR(--(INDEX('Reguler Class Availability'!$G:$G,L72)&amp;""),0)/IFERROR(--(INDEX('Reguler Class Availability'!$F:$F,L72)&amp;""),0)&gt;=0.6,"Tinggi","Sebagian"))))))</f>
        <v>Belum terisi</v>
      </c>
      <c r="U72" s="0" t="str">
        <f aca="false">IF(M72="","",IF(AND(IFERROR(--(INDEX('Reguler Class Availability'!$F:$F,M72)&amp;""),0)=0,IFERROR(--(INDEX('Reguler Class Availability'!$G:$G,M72)&amp;""),0)=0),IF(OR(INDEX('Reguler Class Availability'!$B:$B,M72)&amp;""&lt;&gt;"",INDEX('Reguler Class Availability'!$I:$I,M72)&amp;""&lt;&gt;""),"Tutup","Tidak dibuka"),IF(IFERROR(--(INDEX('Reguler Class Availability'!$G:$G,M72)&amp;""),0)&gt;IFERROR(--(INDEX('Reguler Class Availability'!$F:$F,M72)&amp;""),0),"Lebih",IF(IFERROR(--(INDEX('Reguler Class Availability'!$G:$G,M72)&amp;""),0)=IFERROR(--(INDEX('Reguler Class Availability'!$F:$F,M72)&amp;""),0),"Penuh",IF(IFERROR(--(INDEX('Reguler Class Availability'!$G:$G,M72)&amp;""),0)=0,IF(INDEX('Reguler Class Availability'!$B:$B,M72)&amp;""="","Kosong","Belum terisi"),IF(IFERROR(--(INDEX('Reguler Class Availability'!$G:$G,M72)&amp;""),0)/IFERROR(--(INDEX('Reguler Class Availability'!$F:$F,M72)&amp;""),0)&gt;=0.6,"Tinggi","Sebagian"))))))</f>
        <v>Tinggi</v>
      </c>
      <c r="V72" s="0" t="str">
        <f aca="false">IF(N72="","",IF(AND(IFERROR(--(INDEX('Reguler Class Availability'!$F:$F,N72)&amp;""),0)=0,IFERROR(--(INDEX('Reguler Class Availability'!$G:$G,N72)&amp;""),0)=0),IF(OR(INDEX('Reguler Class Availability'!$B:$B,N72)&amp;""&lt;&gt;"",INDEX('Reguler Class Availability'!$I:$I,N72)&amp;""&lt;&gt;""),"Tutup","Tidak dibuka"),IF(IFERROR(--(INDEX('Reguler Class Availability'!$G:$G,N72)&amp;""),0)&gt;IFERROR(--(INDEX('Reguler Class Availability'!$F:$F,N72)&amp;""),0),"Lebih",IF(IFERROR(--(INDEX('Reguler Class Availability'!$G:$G,N72)&amp;""),0)=IFERROR(--(INDEX('Reguler Class Availability'!$F:$F,N72)&amp;""),0),"Penuh",IF(IFERROR(--(INDEX('Reguler Class Availability'!$G:$G,N72)&amp;""),0)=0,IF(INDEX('Reguler Class Availability'!$B:$B,N72)&amp;""="","Kosong","Belum terisi"),IF(IFERROR(--(INDEX('Reguler Class Availability'!$G:$G,N72)&amp;""),0)/IFERROR(--(INDEX('Reguler Class Availability'!$F:$F,N72)&amp;""),0)&gt;=0.6,"Tinggi","Sebagian"))))))</f>
        <v>Belum terisi</v>
      </c>
      <c r="W72" s="0" t="str">
        <f aca="false">IF(O72="","",IF(AND(IFERROR(--(INDEX('Reguler Class Availability'!$F:$F,O72)&amp;""),0)=0,IFERROR(--(INDEX('Reguler Class Availability'!$G:$G,O72)&amp;""),0)=0),IF(OR(INDEX('Reguler Class Availability'!$B:$B,O72)&amp;""&lt;&gt;"",INDEX('Reguler Class Availability'!$I:$I,O72)&amp;""&lt;&gt;""),"Tutup","Tidak dibuka"),IF(IFERROR(--(INDEX('Reguler Class Availability'!$G:$G,O72)&amp;""),0)&gt;IFERROR(--(INDEX('Reguler Class Availability'!$F:$F,O72)&amp;""),0),"Lebih",IF(IFERROR(--(INDEX('Reguler Class Availability'!$G:$G,O72)&amp;""),0)=IFERROR(--(INDEX('Reguler Class Availability'!$F:$F,O72)&amp;""),0),"Penuh",IF(IFERROR(--(INDEX('Reguler Class Availability'!$G:$G,O72)&amp;""),0)=0,IF(INDEX('Reguler Class Availability'!$B:$B,O72)&amp;""="","Kosong","Belum terisi"),IF(IFERROR(--(INDEX('Reguler Class Availability'!$G:$G,O72)&amp;""),0)/IFERROR(--(INDEX('Reguler Class Availability'!$F:$F,O72)&amp;""),0)&gt;=0.6,"Tinggi","Sebagian"))))))</f>
        <v>Tinggi</v>
      </c>
      <c r="X72" s="0" t="str">
        <f aca="false">IF(P72="","",IF(AND(IFERROR(--(INDEX('Reguler Class Availability'!$F:$F,P72)&amp;""),0)=0,IFERROR(--(INDEX('Reguler Class Availability'!$G:$G,P72)&amp;""),0)=0),IF(OR(INDEX('Reguler Class Availability'!$B:$B,P72)&amp;""&lt;&gt;"",INDEX('Reguler Class Availability'!$I:$I,P72)&amp;""&lt;&gt;""),"Tutup","Tidak dibuka"),IF(IFERROR(--(INDEX('Reguler Class Availability'!$G:$G,P72)&amp;""),0)&gt;IFERROR(--(INDEX('Reguler Class Availability'!$F:$F,P72)&amp;""),0),"Lebih",IF(IFERROR(--(INDEX('Reguler Class Availability'!$G:$G,P72)&amp;""),0)=IFERROR(--(INDEX('Reguler Class Availability'!$F:$F,P72)&amp;""),0),"Penuh",IF(IFERROR(--(INDEX('Reguler Class Availability'!$G:$G,P72)&amp;""),0)=0,IF(INDEX('Reguler Class Availability'!$B:$B,P72)&amp;""="","Kosong","Belum terisi"),IF(IFERROR(--(INDEX('Reguler Class Availability'!$G:$G,P72)&amp;""),0)/IFERROR(--(INDEX('Reguler Class Availability'!$F:$F,P72)&amp;""),0)&gt;=0.6,"Tinggi","Sebagian"))))))</f>
        <v>Tinggi</v>
      </c>
      <c r="Z72" s="4" t="s">
        <v>37</v>
      </c>
      <c r="AA72" s="4" t="n">
        <f aca="false">IF(COUNTIFS('Reguler Class Availability'!$L:$L,$B$4&amp;"|- Lane 2 - *|"&amp;Z72)&gt;0,1,0)</f>
        <v>0</v>
      </c>
      <c r="AB72" s="4" t="n">
        <f aca="false">AA72+AB71</f>
        <v>1</v>
      </c>
    </row>
    <row r="73" customFormat="false" ht="39.75" hidden="false" customHeight="true" outlineLevel="0" collapsed="false">
      <c r="A73" s="39" t="str">
        <f aca="false">IFERROR(INDEX($Z$182:$Z$241,MATCH(4,$AB$182:$AB$241,0)),"")</f>
        <v>10:15</v>
      </c>
      <c r="B73" s="40" t="str">
        <f aca="false">IF(J73="","",IF(R73="Tidak dibuka","–",IF(INDEX('Reguler Class Availability'!$B:$B,J73)&amp;""="","Kosong",PROPER(INDEX('Reguler Class Availability'!$B:$B,J73)&amp;""))&amp;"  "&amp;IFERROR(--(INDEX('Reguler Class Availability'!$G:$G,J73)&amp;""),0)&amp;"/"&amp;IFERROR(--(INDEX('Reguler Class Availability'!$F:$F,J73)&amp;""),0)&amp;IF(IFERROR(--(INDEX('Reguler Class Availability'!$F:$F,J73)&amp;""),0)&gt;0,"  ("&amp;TEXT(IFERROR(--(INDEX('Reguler Class Availability'!$G:$G,J73)&amp;""),0)/IFERROR(--(INDEX('Reguler Class Availability'!$F:$F,J73)&amp;""),0),"0%")&amp;")","")&amp;CHAR(10)&amp;IF(INDEX('Reguler Class Availability'!$I:$I,J73)&amp;""="","coach: –",PROPER(INDEX('Reguler Class Availability'!$I:$I,J73)&amp;""))&amp;IF(INDEX('Reguler Class Availability'!$J:$J,J73)&amp;""="","",CHAR(10)&amp;"asst: "&amp;PROPER(INDEX('Reguler Class Availability'!$J:$J,J73)&amp;""))))</f>
        <v>Kids  0/4  (0%)
coach: –</v>
      </c>
      <c r="C73" s="40" t="str">
        <f aca="false">IF(K73="","",IF(S73="Tidak dibuka","–",IF(INDEX('Reguler Class Availability'!$B:$B,K73)&amp;""="","Kosong",PROPER(INDEX('Reguler Class Availability'!$B:$B,K73)&amp;""))&amp;"  "&amp;IFERROR(--(INDEX('Reguler Class Availability'!$G:$G,K73)&amp;""),0)&amp;"/"&amp;IFERROR(--(INDEX('Reguler Class Availability'!$F:$F,K73)&amp;""),0)&amp;IF(IFERROR(--(INDEX('Reguler Class Availability'!$F:$F,K73)&amp;""),0)&gt;0,"  ("&amp;TEXT(IFERROR(--(INDEX('Reguler Class Availability'!$G:$G,K73)&amp;""),0)/IFERROR(--(INDEX('Reguler Class Availability'!$F:$F,K73)&amp;""),0),"0%")&amp;")","")&amp;CHAR(10)&amp;IF(INDEX('Reguler Class Availability'!$I:$I,K73)&amp;""="","coach: –",PROPER(INDEX('Reguler Class Availability'!$I:$I,K73)&amp;""))&amp;IF(INDEX('Reguler Class Availability'!$J:$J,K73)&amp;""="","",CHAR(10)&amp;"asst: "&amp;PROPER(INDEX('Reguler Class Availability'!$J:$J,K73)&amp;""))))</f>
        <v>Kids  0/4  (0%)
coach: –</v>
      </c>
      <c r="D73" s="40" t="str">
        <f aca="false">IF(L73="","",IF(T73="Tidak dibuka","–",IF(INDEX('Reguler Class Availability'!$B:$B,L73)&amp;""="","Kosong",PROPER(INDEX('Reguler Class Availability'!$B:$B,L73)&amp;""))&amp;"  "&amp;IFERROR(--(INDEX('Reguler Class Availability'!$G:$G,L73)&amp;""),0)&amp;"/"&amp;IFERROR(--(INDEX('Reguler Class Availability'!$F:$F,L73)&amp;""),0)&amp;IF(IFERROR(--(INDEX('Reguler Class Availability'!$F:$F,L73)&amp;""),0)&gt;0,"  ("&amp;TEXT(IFERROR(--(INDEX('Reguler Class Availability'!$G:$G,L73)&amp;""),0)/IFERROR(--(INDEX('Reguler Class Availability'!$F:$F,L73)&amp;""),0),"0%")&amp;")","")&amp;CHAR(10)&amp;IF(INDEX('Reguler Class Availability'!$I:$I,L73)&amp;""="","coach: –",PROPER(INDEX('Reguler Class Availability'!$I:$I,L73)&amp;""))&amp;IF(INDEX('Reguler Class Availability'!$J:$J,L73)&amp;""="","",CHAR(10)&amp;"asst: "&amp;PROPER(INDEX('Reguler Class Availability'!$J:$J,L73)&amp;""))))</f>
        <v>Kids  0/4  (0%)
coach: –</v>
      </c>
      <c r="E73" s="40" t="str">
        <f aca="false">IF(M73="","",IF(U73="Tidak dibuka","–",IF(INDEX('Reguler Class Availability'!$B:$B,M73)&amp;""="","Kosong",PROPER(INDEX('Reguler Class Availability'!$B:$B,M73)&amp;""))&amp;"  "&amp;IFERROR(--(INDEX('Reguler Class Availability'!$G:$G,M73)&amp;""),0)&amp;"/"&amp;IFERROR(--(INDEX('Reguler Class Availability'!$F:$F,M73)&amp;""),0)&amp;IF(IFERROR(--(INDEX('Reguler Class Availability'!$F:$F,M73)&amp;""),0)&gt;0,"  ("&amp;TEXT(IFERROR(--(INDEX('Reguler Class Availability'!$G:$G,M73)&amp;""),0)/IFERROR(--(INDEX('Reguler Class Availability'!$F:$F,M73)&amp;""),0),"0%")&amp;")","")&amp;CHAR(10)&amp;IF(INDEX('Reguler Class Availability'!$I:$I,M73)&amp;""="","coach: –",PROPER(INDEX('Reguler Class Availability'!$I:$I,M73)&amp;""))&amp;IF(INDEX('Reguler Class Availability'!$J:$J,M73)&amp;""="","",CHAR(10)&amp;"asst: "&amp;PROPER(INDEX('Reguler Class Availability'!$J:$J,M73)&amp;""))))</f>
        <v>Kids  0/4  (0%)
coach: –</v>
      </c>
      <c r="F73" s="40" t="str">
        <f aca="false">IF(N73="","",IF(V73="Tidak dibuka","–",IF(INDEX('Reguler Class Availability'!$B:$B,N73)&amp;""="","Kosong",PROPER(INDEX('Reguler Class Availability'!$B:$B,N73)&amp;""))&amp;"  "&amp;IFERROR(--(INDEX('Reguler Class Availability'!$G:$G,N73)&amp;""),0)&amp;"/"&amp;IFERROR(--(INDEX('Reguler Class Availability'!$F:$F,N73)&amp;""),0)&amp;IF(IFERROR(--(INDEX('Reguler Class Availability'!$F:$F,N73)&amp;""),0)&gt;0,"  ("&amp;TEXT(IFERROR(--(INDEX('Reguler Class Availability'!$G:$G,N73)&amp;""),0)/IFERROR(--(INDEX('Reguler Class Availability'!$F:$F,N73)&amp;""),0),"0%")&amp;")","")&amp;CHAR(10)&amp;IF(INDEX('Reguler Class Availability'!$I:$I,N73)&amp;""="","coach: –",PROPER(INDEX('Reguler Class Availability'!$I:$I,N73)&amp;""))&amp;IF(INDEX('Reguler Class Availability'!$J:$J,N73)&amp;""="","",CHAR(10)&amp;"asst: "&amp;PROPER(INDEX('Reguler Class Availability'!$J:$J,N73)&amp;""))))</f>
        <v>Kids  3/4  (75%)
Rischa</v>
      </c>
      <c r="G73" s="40" t="str">
        <f aca="false">IF(O73="","",IF(W73="Tidak dibuka","–",IF(INDEX('Reguler Class Availability'!$B:$B,O73)&amp;""="","Kosong",PROPER(INDEX('Reguler Class Availability'!$B:$B,O73)&amp;""))&amp;"  "&amp;IFERROR(--(INDEX('Reguler Class Availability'!$G:$G,O73)&amp;""),0)&amp;"/"&amp;IFERROR(--(INDEX('Reguler Class Availability'!$F:$F,O73)&amp;""),0)&amp;IF(IFERROR(--(INDEX('Reguler Class Availability'!$F:$F,O73)&amp;""),0)&gt;0,"  ("&amp;TEXT(IFERROR(--(INDEX('Reguler Class Availability'!$G:$G,O73)&amp;""),0)/IFERROR(--(INDEX('Reguler Class Availability'!$F:$F,O73)&amp;""),0),"0%")&amp;")","")&amp;CHAR(10)&amp;IF(INDEX('Reguler Class Availability'!$I:$I,O73)&amp;""="","coach: –",PROPER(INDEX('Reguler Class Availability'!$I:$I,O73)&amp;""))&amp;IF(INDEX('Reguler Class Availability'!$J:$J,O73)&amp;""="","",CHAR(10)&amp;"asst: "&amp;PROPER(INDEX('Reguler Class Availability'!$J:$J,O73)&amp;""))))</f>
        <v>Kids  4/4  (100%)
Danti</v>
      </c>
      <c r="H73" s="40" t="str">
        <f aca="false">IF(P73="","",IF(X73="Tidak dibuka","–",IF(INDEX('Reguler Class Availability'!$B:$B,P73)&amp;""="","Kosong",PROPER(INDEX('Reguler Class Availability'!$B:$B,P73)&amp;""))&amp;"  "&amp;IFERROR(--(INDEX('Reguler Class Availability'!$G:$G,P73)&amp;""),0)&amp;"/"&amp;IFERROR(--(INDEX('Reguler Class Availability'!$F:$F,P73)&amp;""),0)&amp;IF(IFERROR(--(INDEX('Reguler Class Availability'!$F:$F,P73)&amp;""),0)&gt;0,"  ("&amp;TEXT(IFERROR(--(INDEX('Reguler Class Availability'!$G:$G,P73)&amp;""),0)/IFERROR(--(INDEX('Reguler Class Availability'!$F:$F,P73)&amp;""),0),"0%")&amp;")","")&amp;CHAR(10)&amp;IF(INDEX('Reguler Class Availability'!$I:$I,P73)&amp;""="","coach: –",PROPER(INDEX('Reguler Class Availability'!$I:$I,P73)&amp;""))&amp;IF(INDEX('Reguler Class Availability'!$J:$J,P73)&amp;""="","",CHAR(10)&amp;"asst: "&amp;PROPER(INDEX('Reguler Class Availability'!$J:$J,P73)&amp;""))))</f>
        <v>Kids  4/4  (100%)
Daffa</v>
      </c>
      <c r="J73" s="4" t="n">
        <f aca="false">IF($A73="","",IFERROR(MATCH($B$4&amp;"|- Lane 4 - "&amp;B$69&amp;"|"&amp;$A73,'Reguler Class Availability'!$L:$L,0),""))</f>
        <v>271</v>
      </c>
      <c r="K73" s="4" t="n">
        <f aca="false">IF($A73="","",IFERROR(MATCH($B$4&amp;"|- Lane 4 - "&amp;C$69&amp;"|"&amp;$A73,'Reguler Class Availability'!$L:$L,0),""))</f>
        <v>283</v>
      </c>
      <c r="L73" s="4" t="n">
        <f aca="false">IF($A73="","",IFERROR(MATCH($B$4&amp;"|- Lane 4 - "&amp;D$69&amp;"|"&amp;$A73,'Reguler Class Availability'!$L:$L,0),""))</f>
        <v>295</v>
      </c>
      <c r="M73" s="4" t="n">
        <f aca="false">IF($A73="","",IFERROR(MATCH($B$4&amp;"|- Lane 4 - "&amp;E$69&amp;"|"&amp;$A73,'Reguler Class Availability'!$L:$L,0),""))</f>
        <v>307</v>
      </c>
      <c r="N73" s="4" t="n">
        <f aca="false">IF($A73="","",IFERROR(MATCH($B$4&amp;"|- Lane 4 - "&amp;F$69&amp;"|"&amp;$A73,'Reguler Class Availability'!$L:$L,0),""))</f>
        <v>319</v>
      </c>
      <c r="O73" s="4" t="n">
        <f aca="false">IF($A73="","",IFERROR(MATCH($B$4&amp;"|- Lane 4 - "&amp;G$69&amp;"|"&amp;$A73,'Reguler Class Availability'!$L:$L,0),""))</f>
        <v>331</v>
      </c>
      <c r="P73" s="4" t="n">
        <f aca="false">IF($A73="","",IFERROR(MATCH($B$4&amp;"|- Lane 4 - "&amp;H$69&amp;"|"&amp;$A73,'Reguler Class Availability'!$L:$L,0),""))</f>
        <v>343</v>
      </c>
      <c r="R73" s="0" t="str">
        <f aca="false">IF(J73="","",IF(AND(IFERROR(--(INDEX('Reguler Class Availability'!$F:$F,J73)&amp;""),0)=0,IFERROR(--(INDEX('Reguler Class Availability'!$G:$G,J73)&amp;""),0)=0),IF(OR(INDEX('Reguler Class Availability'!$B:$B,J73)&amp;""&lt;&gt;"",INDEX('Reguler Class Availability'!$I:$I,J73)&amp;""&lt;&gt;""),"Tutup","Tidak dibuka"),IF(IFERROR(--(INDEX('Reguler Class Availability'!$G:$G,J73)&amp;""),0)&gt;IFERROR(--(INDEX('Reguler Class Availability'!$F:$F,J73)&amp;""),0),"Lebih",IF(IFERROR(--(INDEX('Reguler Class Availability'!$G:$G,J73)&amp;""),0)=IFERROR(--(INDEX('Reguler Class Availability'!$F:$F,J73)&amp;""),0),"Penuh",IF(IFERROR(--(INDEX('Reguler Class Availability'!$G:$G,J73)&amp;""),0)=0,IF(INDEX('Reguler Class Availability'!$B:$B,J73)&amp;""="","Kosong","Belum terisi"),IF(IFERROR(--(INDEX('Reguler Class Availability'!$G:$G,J73)&amp;""),0)/IFERROR(--(INDEX('Reguler Class Availability'!$F:$F,J73)&amp;""),0)&gt;=0.6,"Tinggi","Sebagian"))))))</f>
        <v>Belum terisi</v>
      </c>
      <c r="S73" s="0" t="str">
        <f aca="false">IF(K73="","",IF(AND(IFERROR(--(INDEX('Reguler Class Availability'!$F:$F,K73)&amp;""),0)=0,IFERROR(--(INDEX('Reguler Class Availability'!$G:$G,K73)&amp;""),0)=0),IF(OR(INDEX('Reguler Class Availability'!$B:$B,K73)&amp;""&lt;&gt;"",INDEX('Reguler Class Availability'!$I:$I,K73)&amp;""&lt;&gt;""),"Tutup","Tidak dibuka"),IF(IFERROR(--(INDEX('Reguler Class Availability'!$G:$G,K73)&amp;""),0)&gt;IFERROR(--(INDEX('Reguler Class Availability'!$F:$F,K73)&amp;""),0),"Lebih",IF(IFERROR(--(INDEX('Reguler Class Availability'!$G:$G,K73)&amp;""),0)=IFERROR(--(INDEX('Reguler Class Availability'!$F:$F,K73)&amp;""),0),"Penuh",IF(IFERROR(--(INDEX('Reguler Class Availability'!$G:$G,K73)&amp;""),0)=0,IF(INDEX('Reguler Class Availability'!$B:$B,K73)&amp;""="","Kosong","Belum terisi"),IF(IFERROR(--(INDEX('Reguler Class Availability'!$G:$G,K73)&amp;""),0)/IFERROR(--(INDEX('Reguler Class Availability'!$F:$F,K73)&amp;""),0)&gt;=0.6,"Tinggi","Sebagian"))))))</f>
        <v>Belum terisi</v>
      </c>
      <c r="T73" s="0" t="str">
        <f aca="false">IF(L73="","",IF(AND(IFERROR(--(INDEX('Reguler Class Availability'!$F:$F,L73)&amp;""),0)=0,IFERROR(--(INDEX('Reguler Class Availability'!$G:$G,L73)&amp;""),0)=0),IF(OR(INDEX('Reguler Class Availability'!$B:$B,L73)&amp;""&lt;&gt;"",INDEX('Reguler Class Availability'!$I:$I,L73)&amp;""&lt;&gt;""),"Tutup","Tidak dibuka"),IF(IFERROR(--(INDEX('Reguler Class Availability'!$G:$G,L73)&amp;""),0)&gt;IFERROR(--(INDEX('Reguler Class Availability'!$F:$F,L73)&amp;""),0),"Lebih",IF(IFERROR(--(INDEX('Reguler Class Availability'!$G:$G,L73)&amp;""),0)=IFERROR(--(INDEX('Reguler Class Availability'!$F:$F,L73)&amp;""),0),"Penuh",IF(IFERROR(--(INDEX('Reguler Class Availability'!$G:$G,L73)&amp;""),0)=0,IF(INDEX('Reguler Class Availability'!$B:$B,L73)&amp;""="","Kosong","Belum terisi"),IF(IFERROR(--(INDEX('Reguler Class Availability'!$G:$G,L73)&amp;""),0)/IFERROR(--(INDEX('Reguler Class Availability'!$F:$F,L73)&amp;""),0)&gt;=0.6,"Tinggi","Sebagian"))))))</f>
        <v>Belum terisi</v>
      </c>
      <c r="U73" s="0" t="str">
        <f aca="false">IF(M73="","",IF(AND(IFERROR(--(INDEX('Reguler Class Availability'!$F:$F,M73)&amp;""),0)=0,IFERROR(--(INDEX('Reguler Class Availability'!$G:$G,M73)&amp;""),0)=0),IF(OR(INDEX('Reguler Class Availability'!$B:$B,M73)&amp;""&lt;&gt;"",INDEX('Reguler Class Availability'!$I:$I,M73)&amp;""&lt;&gt;""),"Tutup","Tidak dibuka"),IF(IFERROR(--(INDEX('Reguler Class Availability'!$G:$G,M73)&amp;""),0)&gt;IFERROR(--(INDEX('Reguler Class Availability'!$F:$F,M73)&amp;""),0),"Lebih",IF(IFERROR(--(INDEX('Reguler Class Availability'!$G:$G,M73)&amp;""),0)=IFERROR(--(INDEX('Reguler Class Availability'!$F:$F,M73)&amp;""),0),"Penuh",IF(IFERROR(--(INDEX('Reguler Class Availability'!$G:$G,M73)&amp;""),0)=0,IF(INDEX('Reguler Class Availability'!$B:$B,M73)&amp;""="","Kosong","Belum terisi"),IF(IFERROR(--(INDEX('Reguler Class Availability'!$G:$G,M73)&amp;""),0)/IFERROR(--(INDEX('Reguler Class Availability'!$F:$F,M73)&amp;""),0)&gt;=0.6,"Tinggi","Sebagian"))))))</f>
        <v>Belum terisi</v>
      </c>
      <c r="V73" s="0" t="str">
        <f aca="false">IF(N73="","",IF(AND(IFERROR(--(INDEX('Reguler Class Availability'!$F:$F,N73)&amp;""),0)=0,IFERROR(--(INDEX('Reguler Class Availability'!$G:$G,N73)&amp;""),0)=0),IF(OR(INDEX('Reguler Class Availability'!$B:$B,N73)&amp;""&lt;&gt;"",INDEX('Reguler Class Availability'!$I:$I,N73)&amp;""&lt;&gt;""),"Tutup","Tidak dibuka"),IF(IFERROR(--(INDEX('Reguler Class Availability'!$G:$G,N73)&amp;""),0)&gt;IFERROR(--(INDEX('Reguler Class Availability'!$F:$F,N73)&amp;""),0),"Lebih",IF(IFERROR(--(INDEX('Reguler Class Availability'!$G:$G,N73)&amp;""),0)=IFERROR(--(INDEX('Reguler Class Availability'!$F:$F,N73)&amp;""),0),"Penuh",IF(IFERROR(--(INDEX('Reguler Class Availability'!$G:$G,N73)&amp;""),0)=0,IF(INDEX('Reguler Class Availability'!$B:$B,N73)&amp;""="","Kosong","Belum terisi"),IF(IFERROR(--(INDEX('Reguler Class Availability'!$G:$G,N73)&amp;""),0)/IFERROR(--(INDEX('Reguler Class Availability'!$F:$F,N73)&amp;""),0)&gt;=0.6,"Tinggi","Sebagian"))))))</f>
        <v>Tinggi</v>
      </c>
      <c r="W73" s="0" t="str">
        <f aca="false">IF(O73="","",IF(AND(IFERROR(--(INDEX('Reguler Class Availability'!$F:$F,O73)&amp;""),0)=0,IFERROR(--(INDEX('Reguler Class Availability'!$G:$G,O73)&amp;""),0)=0),IF(OR(INDEX('Reguler Class Availability'!$B:$B,O73)&amp;""&lt;&gt;"",INDEX('Reguler Class Availability'!$I:$I,O73)&amp;""&lt;&gt;""),"Tutup","Tidak dibuka"),IF(IFERROR(--(INDEX('Reguler Class Availability'!$G:$G,O73)&amp;""),0)&gt;IFERROR(--(INDEX('Reguler Class Availability'!$F:$F,O73)&amp;""),0),"Lebih",IF(IFERROR(--(INDEX('Reguler Class Availability'!$G:$G,O73)&amp;""),0)=IFERROR(--(INDEX('Reguler Class Availability'!$F:$F,O73)&amp;""),0),"Penuh",IF(IFERROR(--(INDEX('Reguler Class Availability'!$G:$G,O73)&amp;""),0)=0,IF(INDEX('Reguler Class Availability'!$B:$B,O73)&amp;""="","Kosong","Belum terisi"),IF(IFERROR(--(INDEX('Reguler Class Availability'!$G:$G,O73)&amp;""),0)/IFERROR(--(INDEX('Reguler Class Availability'!$F:$F,O73)&amp;""),0)&gt;=0.6,"Tinggi","Sebagian"))))))</f>
        <v>Penuh</v>
      </c>
      <c r="X73" s="0" t="str">
        <f aca="false">IF(P73="","",IF(AND(IFERROR(--(INDEX('Reguler Class Availability'!$F:$F,P73)&amp;""),0)=0,IFERROR(--(INDEX('Reguler Class Availability'!$G:$G,P73)&amp;""),0)=0),IF(OR(INDEX('Reguler Class Availability'!$B:$B,P73)&amp;""&lt;&gt;"",INDEX('Reguler Class Availability'!$I:$I,P73)&amp;""&lt;&gt;""),"Tutup","Tidak dibuka"),IF(IFERROR(--(INDEX('Reguler Class Availability'!$G:$G,P73)&amp;""),0)&gt;IFERROR(--(INDEX('Reguler Class Availability'!$F:$F,P73)&amp;""),0),"Lebih",IF(IFERROR(--(INDEX('Reguler Class Availability'!$G:$G,P73)&amp;""),0)=IFERROR(--(INDEX('Reguler Class Availability'!$F:$F,P73)&amp;""),0),"Penuh",IF(IFERROR(--(INDEX('Reguler Class Availability'!$G:$G,P73)&amp;""),0)=0,IF(INDEX('Reguler Class Availability'!$B:$B,P73)&amp;""="","Kosong","Belum terisi"),IF(IFERROR(--(INDEX('Reguler Class Availability'!$G:$G,P73)&amp;""),0)/IFERROR(--(INDEX('Reguler Class Availability'!$F:$F,P73)&amp;""),0)&gt;=0.6,"Tinggi","Sebagian"))))))</f>
        <v>Penuh</v>
      </c>
      <c r="Z73" s="4" t="s">
        <v>46</v>
      </c>
      <c r="AA73" s="4" t="n">
        <f aca="false">IF(COUNTIFS('Reguler Class Availability'!$L:$L,$B$4&amp;"|- Lane 2 - *|"&amp;Z73)&gt;0,1,0)</f>
        <v>0</v>
      </c>
      <c r="AB73" s="4" t="n">
        <f aca="false">AA73+AB72</f>
        <v>1</v>
      </c>
    </row>
    <row r="74" customFormat="false" ht="39.75" hidden="false" customHeight="true" outlineLevel="0" collapsed="false">
      <c r="A74" s="39" t="str">
        <f aca="false">IFERROR(INDEX($Z$182:$Z$241,MATCH(5,$AB$182:$AB$241,0)),"")</f>
        <v>11:00</v>
      </c>
      <c r="B74" s="40" t="str">
        <f aca="false">IF(J74="","",IF(R74="Tidak dibuka","–",IF(INDEX('Reguler Class Availability'!$B:$B,J74)&amp;""="","Kosong",PROPER(INDEX('Reguler Class Availability'!$B:$B,J74)&amp;""))&amp;"  "&amp;IFERROR(--(INDEX('Reguler Class Availability'!$G:$G,J74)&amp;""),0)&amp;"/"&amp;IFERROR(--(INDEX('Reguler Class Availability'!$F:$F,J74)&amp;""),0)&amp;IF(IFERROR(--(INDEX('Reguler Class Availability'!$F:$F,J74)&amp;""),0)&gt;0,"  ("&amp;TEXT(IFERROR(--(INDEX('Reguler Class Availability'!$G:$G,J74)&amp;""),0)/IFERROR(--(INDEX('Reguler Class Availability'!$F:$F,J74)&amp;""),0),"0%")&amp;")","")&amp;CHAR(10)&amp;IF(INDEX('Reguler Class Availability'!$I:$I,J74)&amp;""="","coach: –",PROPER(INDEX('Reguler Class Availability'!$I:$I,J74)&amp;""))&amp;IF(INDEX('Reguler Class Availability'!$J:$J,J74)&amp;""="","",CHAR(10)&amp;"asst: "&amp;PROPER(INDEX('Reguler Class Availability'!$J:$J,J74)&amp;""))))</f>
        <v>Kids  0/4  (0%)
coach: –</v>
      </c>
      <c r="C74" s="40" t="str">
        <f aca="false">IF(K74="","",IF(S74="Tidak dibuka","–",IF(INDEX('Reguler Class Availability'!$B:$B,K74)&amp;""="","Kosong",PROPER(INDEX('Reguler Class Availability'!$B:$B,K74)&amp;""))&amp;"  "&amp;IFERROR(--(INDEX('Reguler Class Availability'!$G:$G,K74)&amp;""),0)&amp;"/"&amp;IFERROR(--(INDEX('Reguler Class Availability'!$F:$F,K74)&amp;""),0)&amp;IF(IFERROR(--(INDEX('Reguler Class Availability'!$F:$F,K74)&amp;""),0)&gt;0,"  ("&amp;TEXT(IFERROR(--(INDEX('Reguler Class Availability'!$G:$G,K74)&amp;""),0)/IFERROR(--(INDEX('Reguler Class Availability'!$F:$F,K74)&amp;""),0),"0%")&amp;")","")&amp;CHAR(10)&amp;IF(INDEX('Reguler Class Availability'!$I:$I,K74)&amp;""="","coach: –",PROPER(INDEX('Reguler Class Availability'!$I:$I,K74)&amp;""))&amp;IF(INDEX('Reguler Class Availability'!$J:$J,K74)&amp;""="","",CHAR(10)&amp;"asst: "&amp;PROPER(INDEX('Reguler Class Availability'!$J:$J,K74)&amp;""))))</f>
        <v>Kids  0/4  (0%)
coach: –</v>
      </c>
      <c r="D74" s="40" t="str">
        <f aca="false">IF(L74="","",IF(T74="Tidak dibuka","–",IF(INDEX('Reguler Class Availability'!$B:$B,L74)&amp;""="","Kosong",PROPER(INDEX('Reguler Class Availability'!$B:$B,L74)&amp;""))&amp;"  "&amp;IFERROR(--(INDEX('Reguler Class Availability'!$G:$G,L74)&amp;""),0)&amp;"/"&amp;IFERROR(--(INDEX('Reguler Class Availability'!$F:$F,L74)&amp;""),0)&amp;IF(IFERROR(--(INDEX('Reguler Class Availability'!$F:$F,L74)&amp;""),0)&gt;0,"  ("&amp;TEXT(IFERROR(--(INDEX('Reguler Class Availability'!$G:$G,L74)&amp;""),0)/IFERROR(--(INDEX('Reguler Class Availability'!$F:$F,L74)&amp;""),0),"0%")&amp;")","")&amp;CHAR(10)&amp;IF(INDEX('Reguler Class Availability'!$I:$I,L74)&amp;""="","coach: –",PROPER(INDEX('Reguler Class Availability'!$I:$I,L74)&amp;""))&amp;IF(INDEX('Reguler Class Availability'!$J:$J,L74)&amp;""="","",CHAR(10)&amp;"asst: "&amp;PROPER(INDEX('Reguler Class Availability'!$J:$J,L74)&amp;""))))</f>
        <v>Kids  0/4  (0%)
coach: –</v>
      </c>
      <c r="E74" s="40" t="str">
        <f aca="false">IF(M74="","",IF(U74="Tidak dibuka","–",IF(INDEX('Reguler Class Availability'!$B:$B,M74)&amp;""="","Kosong",PROPER(INDEX('Reguler Class Availability'!$B:$B,M74)&amp;""))&amp;"  "&amp;IFERROR(--(INDEX('Reguler Class Availability'!$G:$G,M74)&amp;""),0)&amp;"/"&amp;IFERROR(--(INDEX('Reguler Class Availability'!$F:$F,M74)&amp;""),0)&amp;IF(IFERROR(--(INDEX('Reguler Class Availability'!$F:$F,M74)&amp;""),0)&gt;0,"  ("&amp;TEXT(IFERROR(--(INDEX('Reguler Class Availability'!$G:$G,M74)&amp;""),0)/IFERROR(--(INDEX('Reguler Class Availability'!$F:$F,M74)&amp;""),0),"0%")&amp;")","")&amp;CHAR(10)&amp;IF(INDEX('Reguler Class Availability'!$I:$I,M74)&amp;""="","coach: –",PROPER(INDEX('Reguler Class Availability'!$I:$I,M74)&amp;""))&amp;IF(INDEX('Reguler Class Availability'!$J:$J,M74)&amp;""="","",CHAR(10)&amp;"asst: "&amp;PROPER(INDEX('Reguler Class Availability'!$J:$J,M74)&amp;""))))</f>
        <v>Kids  0/4  (0%)
coach: –</v>
      </c>
      <c r="F74" s="40" t="str">
        <f aca="false">IF(N74="","",IF(V74="Tidak dibuka","–",IF(INDEX('Reguler Class Availability'!$B:$B,N74)&amp;""="","Kosong",PROPER(INDEX('Reguler Class Availability'!$B:$B,N74)&amp;""))&amp;"  "&amp;IFERROR(--(INDEX('Reguler Class Availability'!$G:$G,N74)&amp;""),0)&amp;"/"&amp;IFERROR(--(INDEX('Reguler Class Availability'!$F:$F,N74)&amp;""),0)&amp;IF(IFERROR(--(INDEX('Reguler Class Availability'!$F:$F,N74)&amp;""),0)&gt;0,"  ("&amp;TEXT(IFERROR(--(INDEX('Reguler Class Availability'!$G:$G,N74)&amp;""),0)/IFERROR(--(INDEX('Reguler Class Availability'!$F:$F,N74)&amp;""),0),"0%")&amp;")","")&amp;CHAR(10)&amp;IF(INDEX('Reguler Class Availability'!$I:$I,N74)&amp;""="","coach: –",PROPER(INDEX('Reguler Class Availability'!$I:$I,N74)&amp;""))&amp;IF(INDEX('Reguler Class Availability'!$J:$J,N74)&amp;""="","",CHAR(10)&amp;"asst: "&amp;PROPER(INDEX('Reguler Class Availability'!$J:$J,N74)&amp;""))))</f>
        <v>Kids  3/4  (75%)
Eka</v>
      </c>
      <c r="G74" s="40" t="str">
        <f aca="false">IF(O74="","",IF(W74="Tidak dibuka","–",IF(INDEX('Reguler Class Availability'!$B:$B,O74)&amp;""="","Kosong",PROPER(INDEX('Reguler Class Availability'!$B:$B,O74)&amp;""))&amp;"  "&amp;IFERROR(--(INDEX('Reguler Class Availability'!$G:$G,O74)&amp;""),0)&amp;"/"&amp;IFERROR(--(INDEX('Reguler Class Availability'!$F:$F,O74)&amp;""),0)&amp;IF(IFERROR(--(INDEX('Reguler Class Availability'!$F:$F,O74)&amp;""),0)&gt;0,"  ("&amp;TEXT(IFERROR(--(INDEX('Reguler Class Availability'!$G:$G,O74)&amp;""),0)/IFERROR(--(INDEX('Reguler Class Availability'!$F:$F,O74)&amp;""),0),"0%")&amp;")","")&amp;CHAR(10)&amp;IF(INDEX('Reguler Class Availability'!$I:$I,O74)&amp;""="","coach: –",PROPER(INDEX('Reguler Class Availability'!$I:$I,O74)&amp;""))&amp;IF(INDEX('Reguler Class Availability'!$J:$J,O74)&amp;""="","",CHAR(10)&amp;"asst: "&amp;PROPER(INDEX('Reguler Class Availability'!$J:$J,O74)&amp;""))))</f>
        <v>Kids  4/4  (100%)
Daffa</v>
      </c>
      <c r="H74" s="40" t="str">
        <f aca="false">IF(P74="","",IF(X74="Tidak dibuka","–",IF(INDEX('Reguler Class Availability'!$B:$B,P74)&amp;""="","Kosong",PROPER(INDEX('Reguler Class Availability'!$B:$B,P74)&amp;""))&amp;"  "&amp;IFERROR(--(INDEX('Reguler Class Availability'!$G:$G,P74)&amp;""),0)&amp;"/"&amp;IFERROR(--(INDEX('Reguler Class Availability'!$F:$F,P74)&amp;""),0)&amp;IF(IFERROR(--(INDEX('Reguler Class Availability'!$F:$F,P74)&amp;""),0)&gt;0,"  ("&amp;TEXT(IFERROR(--(INDEX('Reguler Class Availability'!$G:$G,P74)&amp;""),0)/IFERROR(--(INDEX('Reguler Class Availability'!$F:$F,P74)&amp;""),0),"0%")&amp;")","")&amp;CHAR(10)&amp;IF(INDEX('Reguler Class Availability'!$I:$I,P74)&amp;""="","coach: –",PROPER(INDEX('Reguler Class Availability'!$I:$I,P74)&amp;""))&amp;IF(INDEX('Reguler Class Availability'!$J:$J,P74)&amp;""="","",CHAR(10)&amp;"asst: "&amp;PROPER(INDEX('Reguler Class Availability'!$J:$J,P74)&amp;""))))</f>
        <v>Kids  4/4  (100%)
Nuky</v>
      </c>
      <c r="J74" s="4" t="n">
        <f aca="false">IF($A74="","",IFERROR(MATCH($B$4&amp;"|- Lane 4 - "&amp;B$69&amp;"|"&amp;$A74,'Reguler Class Availability'!$L:$L,0),""))</f>
        <v>272</v>
      </c>
      <c r="K74" s="4" t="n">
        <f aca="false">IF($A74="","",IFERROR(MATCH($B$4&amp;"|- Lane 4 - "&amp;C$69&amp;"|"&amp;$A74,'Reguler Class Availability'!$L:$L,0),""))</f>
        <v>284</v>
      </c>
      <c r="L74" s="4" t="n">
        <f aca="false">IF($A74="","",IFERROR(MATCH($B$4&amp;"|- Lane 4 - "&amp;D$69&amp;"|"&amp;$A74,'Reguler Class Availability'!$L:$L,0),""))</f>
        <v>296</v>
      </c>
      <c r="M74" s="4" t="n">
        <f aca="false">IF($A74="","",IFERROR(MATCH($B$4&amp;"|- Lane 4 - "&amp;E$69&amp;"|"&amp;$A74,'Reguler Class Availability'!$L:$L,0),""))</f>
        <v>308</v>
      </c>
      <c r="N74" s="4" t="n">
        <f aca="false">IF($A74="","",IFERROR(MATCH($B$4&amp;"|- Lane 4 - "&amp;F$69&amp;"|"&amp;$A74,'Reguler Class Availability'!$L:$L,0),""))</f>
        <v>320</v>
      </c>
      <c r="O74" s="4" t="n">
        <f aca="false">IF($A74="","",IFERROR(MATCH($B$4&amp;"|- Lane 4 - "&amp;G$69&amp;"|"&amp;$A74,'Reguler Class Availability'!$L:$L,0),""))</f>
        <v>332</v>
      </c>
      <c r="P74" s="4" t="n">
        <f aca="false">IF($A74="","",IFERROR(MATCH($B$4&amp;"|- Lane 4 - "&amp;H$69&amp;"|"&amp;$A74,'Reguler Class Availability'!$L:$L,0),""))</f>
        <v>344</v>
      </c>
      <c r="R74" s="0" t="str">
        <f aca="false">IF(J74="","",IF(AND(IFERROR(--(INDEX('Reguler Class Availability'!$F:$F,J74)&amp;""),0)=0,IFERROR(--(INDEX('Reguler Class Availability'!$G:$G,J74)&amp;""),0)=0),IF(OR(INDEX('Reguler Class Availability'!$B:$B,J74)&amp;""&lt;&gt;"",INDEX('Reguler Class Availability'!$I:$I,J74)&amp;""&lt;&gt;""),"Tutup","Tidak dibuka"),IF(IFERROR(--(INDEX('Reguler Class Availability'!$G:$G,J74)&amp;""),0)&gt;IFERROR(--(INDEX('Reguler Class Availability'!$F:$F,J74)&amp;""),0),"Lebih",IF(IFERROR(--(INDEX('Reguler Class Availability'!$G:$G,J74)&amp;""),0)=IFERROR(--(INDEX('Reguler Class Availability'!$F:$F,J74)&amp;""),0),"Penuh",IF(IFERROR(--(INDEX('Reguler Class Availability'!$G:$G,J74)&amp;""),0)=0,IF(INDEX('Reguler Class Availability'!$B:$B,J74)&amp;""="","Kosong","Belum terisi"),IF(IFERROR(--(INDEX('Reguler Class Availability'!$G:$G,J74)&amp;""),0)/IFERROR(--(INDEX('Reguler Class Availability'!$F:$F,J74)&amp;""),0)&gt;=0.6,"Tinggi","Sebagian"))))))</f>
        <v>Belum terisi</v>
      </c>
      <c r="S74" s="0" t="str">
        <f aca="false">IF(K74="","",IF(AND(IFERROR(--(INDEX('Reguler Class Availability'!$F:$F,K74)&amp;""),0)=0,IFERROR(--(INDEX('Reguler Class Availability'!$G:$G,K74)&amp;""),0)=0),IF(OR(INDEX('Reguler Class Availability'!$B:$B,K74)&amp;""&lt;&gt;"",INDEX('Reguler Class Availability'!$I:$I,K74)&amp;""&lt;&gt;""),"Tutup","Tidak dibuka"),IF(IFERROR(--(INDEX('Reguler Class Availability'!$G:$G,K74)&amp;""),0)&gt;IFERROR(--(INDEX('Reguler Class Availability'!$F:$F,K74)&amp;""),0),"Lebih",IF(IFERROR(--(INDEX('Reguler Class Availability'!$G:$G,K74)&amp;""),0)=IFERROR(--(INDEX('Reguler Class Availability'!$F:$F,K74)&amp;""),0),"Penuh",IF(IFERROR(--(INDEX('Reguler Class Availability'!$G:$G,K74)&amp;""),0)=0,IF(INDEX('Reguler Class Availability'!$B:$B,K74)&amp;""="","Kosong","Belum terisi"),IF(IFERROR(--(INDEX('Reguler Class Availability'!$G:$G,K74)&amp;""),0)/IFERROR(--(INDEX('Reguler Class Availability'!$F:$F,K74)&amp;""),0)&gt;=0.6,"Tinggi","Sebagian"))))))</f>
        <v>Belum terisi</v>
      </c>
      <c r="T74" s="0" t="str">
        <f aca="false">IF(L74="","",IF(AND(IFERROR(--(INDEX('Reguler Class Availability'!$F:$F,L74)&amp;""),0)=0,IFERROR(--(INDEX('Reguler Class Availability'!$G:$G,L74)&amp;""),0)=0),IF(OR(INDEX('Reguler Class Availability'!$B:$B,L74)&amp;""&lt;&gt;"",INDEX('Reguler Class Availability'!$I:$I,L74)&amp;""&lt;&gt;""),"Tutup","Tidak dibuka"),IF(IFERROR(--(INDEX('Reguler Class Availability'!$G:$G,L74)&amp;""),0)&gt;IFERROR(--(INDEX('Reguler Class Availability'!$F:$F,L74)&amp;""),0),"Lebih",IF(IFERROR(--(INDEX('Reguler Class Availability'!$G:$G,L74)&amp;""),0)=IFERROR(--(INDEX('Reguler Class Availability'!$F:$F,L74)&amp;""),0),"Penuh",IF(IFERROR(--(INDEX('Reguler Class Availability'!$G:$G,L74)&amp;""),0)=0,IF(INDEX('Reguler Class Availability'!$B:$B,L74)&amp;""="","Kosong","Belum terisi"),IF(IFERROR(--(INDEX('Reguler Class Availability'!$G:$G,L74)&amp;""),0)/IFERROR(--(INDEX('Reguler Class Availability'!$F:$F,L74)&amp;""),0)&gt;=0.6,"Tinggi","Sebagian"))))))</f>
        <v>Belum terisi</v>
      </c>
      <c r="U74" s="0" t="str">
        <f aca="false">IF(M74="","",IF(AND(IFERROR(--(INDEX('Reguler Class Availability'!$F:$F,M74)&amp;""),0)=0,IFERROR(--(INDEX('Reguler Class Availability'!$G:$G,M74)&amp;""),0)=0),IF(OR(INDEX('Reguler Class Availability'!$B:$B,M74)&amp;""&lt;&gt;"",INDEX('Reguler Class Availability'!$I:$I,M74)&amp;""&lt;&gt;""),"Tutup","Tidak dibuka"),IF(IFERROR(--(INDEX('Reguler Class Availability'!$G:$G,M74)&amp;""),0)&gt;IFERROR(--(INDEX('Reguler Class Availability'!$F:$F,M74)&amp;""),0),"Lebih",IF(IFERROR(--(INDEX('Reguler Class Availability'!$G:$G,M74)&amp;""),0)=IFERROR(--(INDEX('Reguler Class Availability'!$F:$F,M74)&amp;""),0),"Penuh",IF(IFERROR(--(INDEX('Reguler Class Availability'!$G:$G,M74)&amp;""),0)=0,IF(INDEX('Reguler Class Availability'!$B:$B,M74)&amp;""="","Kosong","Belum terisi"),IF(IFERROR(--(INDEX('Reguler Class Availability'!$G:$G,M74)&amp;""),0)/IFERROR(--(INDEX('Reguler Class Availability'!$F:$F,M74)&amp;""),0)&gt;=0.6,"Tinggi","Sebagian"))))))</f>
        <v>Belum terisi</v>
      </c>
      <c r="V74" s="0" t="str">
        <f aca="false">IF(N74="","",IF(AND(IFERROR(--(INDEX('Reguler Class Availability'!$F:$F,N74)&amp;""),0)=0,IFERROR(--(INDEX('Reguler Class Availability'!$G:$G,N74)&amp;""),0)=0),IF(OR(INDEX('Reguler Class Availability'!$B:$B,N74)&amp;""&lt;&gt;"",INDEX('Reguler Class Availability'!$I:$I,N74)&amp;""&lt;&gt;""),"Tutup","Tidak dibuka"),IF(IFERROR(--(INDEX('Reguler Class Availability'!$G:$G,N74)&amp;""),0)&gt;IFERROR(--(INDEX('Reguler Class Availability'!$F:$F,N74)&amp;""),0),"Lebih",IF(IFERROR(--(INDEX('Reguler Class Availability'!$G:$G,N74)&amp;""),0)=IFERROR(--(INDEX('Reguler Class Availability'!$F:$F,N74)&amp;""),0),"Penuh",IF(IFERROR(--(INDEX('Reguler Class Availability'!$G:$G,N74)&amp;""),0)=0,IF(INDEX('Reguler Class Availability'!$B:$B,N74)&amp;""="","Kosong","Belum terisi"),IF(IFERROR(--(INDEX('Reguler Class Availability'!$G:$G,N74)&amp;""),0)/IFERROR(--(INDEX('Reguler Class Availability'!$F:$F,N74)&amp;""),0)&gt;=0.6,"Tinggi","Sebagian"))))))</f>
        <v>Tinggi</v>
      </c>
      <c r="W74" s="0" t="str">
        <f aca="false">IF(O74="","",IF(AND(IFERROR(--(INDEX('Reguler Class Availability'!$F:$F,O74)&amp;""),0)=0,IFERROR(--(INDEX('Reguler Class Availability'!$G:$G,O74)&amp;""),0)=0),IF(OR(INDEX('Reguler Class Availability'!$B:$B,O74)&amp;""&lt;&gt;"",INDEX('Reguler Class Availability'!$I:$I,O74)&amp;""&lt;&gt;""),"Tutup","Tidak dibuka"),IF(IFERROR(--(INDEX('Reguler Class Availability'!$G:$G,O74)&amp;""),0)&gt;IFERROR(--(INDEX('Reguler Class Availability'!$F:$F,O74)&amp;""),0),"Lebih",IF(IFERROR(--(INDEX('Reguler Class Availability'!$G:$G,O74)&amp;""),0)=IFERROR(--(INDEX('Reguler Class Availability'!$F:$F,O74)&amp;""),0),"Penuh",IF(IFERROR(--(INDEX('Reguler Class Availability'!$G:$G,O74)&amp;""),0)=0,IF(INDEX('Reguler Class Availability'!$B:$B,O74)&amp;""="","Kosong","Belum terisi"),IF(IFERROR(--(INDEX('Reguler Class Availability'!$G:$G,O74)&amp;""),0)/IFERROR(--(INDEX('Reguler Class Availability'!$F:$F,O74)&amp;""),0)&gt;=0.6,"Tinggi","Sebagian"))))))</f>
        <v>Penuh</v>
      </c>
      <c r="X74" s="0" t="str">
        <f aca="false">IF(P74="","",IF(AND(IFERROR(--(INDEX('Reguler Class Availability'!$F:$F,P74)&amp;""),0)=0,IFERROR(--(INDEX('Reguler Class Availability'!$G:$G,P74)&amp;""),0)=0),IF(OR(INDEX('Reguler Class Availability'!$B:$B,P74)&amp;""&lt;&gt;"",INDEX('Reguler Class Availability'!$I:$I,P74)&amp;""&lt;&gt;""),"Tutup","Tidak dibuka"),IF(IFERROR(--(INDEX('Reguler Class Availability'!$G:$G,P74)&amp;""),0)&gt;IFERROR(--(INDEX('Reguler Class Availability'!$F:$F,P74)&amp;""),0),"Lebih",IF(IFERROR(--(INDEX('Reguler Class Availability'!$G:$G,P74)&amp;""),0)=IFERROR(--(INDEX('Reguler Class Availability'!$F:$F,P74)&amp;""),0),"Penuh",IF(IFERROR(--(INDEX('Reguler Class Availability'!$G:$G,P74)&amp;""),0)=0,IF(INDEX('Reguler Class Availability'!$B:$B,P74)&amp;""="","Kosong","Belum terisi"),IF(IFERROR(--(INDEX('Reguler Class Availability'!$G:$G,P74)&amp;""),0)/IFERROR(--(INDEX('Reguler Class Availability'!$F:$F,P74)&amp;""),0)&gt;=0.6,"Tinggi","Sebagian"))))))</f>
        <v>Penuh</v>
      </c>
      <c r="Z74" s="4" t="s">
        <v>47</v>
      </c>
      <c r="AA74" s="4" t="n">
        <f aca="false">IF(COUNTIFS('Reguler Class Availability'!$L:$L,$B$4&amp;"|- Lane 2 - *|"&amp;Z74)&gt;0,1,0)</f>
        <v>1</v>
      </c>
      <c r="AB74" s="4" t="n">
        <f aca="false">AA74+AB73</f>
        <v>2</v>
      </c>
    </row>
    <row r="75" customFormat="false" ht="39.75" hidden="false" customHeight="true" outlineLevel="0" collapsed="false">
      <c r="A75" s="39" t="str">
        <f aca="false">IFERROR(INDEX($Z$182:$Z$241,MATCH(6,$AB$182:$AB$241,0)),"")</f>
        <v>11:45</v>
      </c>
      <c r="B75" s="40" t="str">
        <f aca="false">IF(J75="","",IF(R75="Tidak dibuka","–",IF(INDEX('Reguler Class Availability'!$B:$B,J75)&amp;""="","Kosong",PROPER(INDEX('Reguler Class Availability'!$B:$B,J75)&amp;""))&amp;"  "&amp;IFERROR(--(INDEX('Reguler Class Availability'!$G:$G,J75)&amp;""),0)&amp;"/"&amp;IFERROR(--(INDEX('Reguler Class Availability'!$F:$F,J75)&amp;""),0)&amp;IF(IFERROR(--(INDEX('Reguler Class Availability'!$F:$F,J75)&amp;""),0)&gt;0,"  ("&amp;TEXT(IFERROR(--(INDEX('Reguler Class Availability'!$G:$G,J75)&amp;""),0)/IFERROR(--(INDEX('Reguler Class Availability'!$F:$F,J75)&amp;""),0),"0%")&amp;")","")&amp;CHAR(10)&amp;IF(INDEX('Reguler Class Availability'!$I:$I,J75)&amp;""="","coach: –",PROPER(INDEX('Reguler Class Availability'!$I:$I,J75)&amp;""))&amp;IF(INDEX('Reguler Class Availability'!$J:$J,J75)&amp;""="","",CHAR(10)&amp;"asst: "&amp;PROPER(INDEX('Reguler Class Availability'!$J:$J,J75)&amp;""))))</f>
        <v>Kids  0/0
coach: –</v>
      </c>
      <c r="C75" s="40" t="str">
        <f aca="false">IF(K75="","",IF(S75="Tidak dibuka","–",IF(INDEX('Reguler Class Availability'!$B:$B,K75)&amp;""="","Kosong",PROPER(INDEX('Reguler Class Availability'!$B:$B,K75)&amp;""))&amp;"  "&amp;IFERROR(--(INDEX('Reguler Class Availability'!$G:$G,K75)&amp;""),0)&amp;"/"&amp;IFERROR(--(INDEX('Reguler Class Availability'!$F:$F,K75)&amp;""),0)&amp;IF(IFERROR(--(INDEX('Reguler Class Availability'!$F:$F,K75)&amp;""),0)&gt;0,"  ("&amp;TEXT(IFERROR(--(INDEX('Reguler Class Availability'!$G:$G,K75)&amp;""),0)/IFERROR(--(INDEX('Reguler Class Availability'!$F:$F,K75)&amp;""),0),"0%")&amp;")","")&amp;CHAR(10)&amp;IF(INDEX('Reguler Class Availability'!$I:$I,K75)&amp;""="","coach: –",PROPER(INDEX('Reguler Class Availability'!$I:$I,K75)&amp;""))&amp;IF(INDEX('Reguler Class Availability'!$J:$J,K75)&amp;""="","",CHAR(10)&amp;"asst: "&amp;PROPER(INDEX('Reguler Class Availability'!$J:$J,K75)&amp;""))))</f>
        <v>Kids  0/0
coach: –</v>
      </c>
      <c r="D75" s="40" t="str">
        <f aca="false">IF(L75="","",IF(T75="Tidak dibuka","–",IF(INDEX('Reguler Class Availability'!$B:$B,L75)&amp;""="","Kosong",PROPER(INDEX('Reguler Class Availability'!$B:$B,L75)&amp;""))&amp;"  "&amp;IFERROR(--(INDEX('Reguler Class Availability'!$G:$G,L75)&amp;""),0)&amp;"/"&amp;IFERROR(--(INDEX('Reguler Class Availability'!$F:$F,L75)&amp;""),0)&amp;IF(IFERROR(--(INDEX('Reguler Class Availability'!$F:$F,L75)&amp;""),0)&gt;0,"  ("&amp;TEXT(IFERROR(--(INDEX('Reguler Class Availability'!$G:$G,L75)&amp;""),0)/IFERROR(--(INDEX('Reguler Class Availability'!$F:$F,L75)&amp;""),0),"0%")&amp;")","")&amp;CHAR(10)&amp;IF(INDEX('Reguler Class Availability'!$I:$I,L75)&amp;""="","coach: –",PROPER(INDEX('Reguler Class Availability'!$I:$I,L75)&amp;""))&amp;IF(INDEX('Reguler Class Availability'!$J:$J,L75)&amp;""="","",CHAR(10)&amp;"asst: "&amp;PROPER(INDEX('Reguler Class Availability'!$J:$J,L75)&amp;""))))</f>
        <v>Kids  0/0
coach: –</v>
      </c>
      <c r="E75" s="40" t="str">
        <f aca="false">IF(M75="","",IF(U75="Tidak dibuka","–",IF(INDEX('Reguler Class Availability'!$B:$B,M75)&amp;""="","Kosong",PROPER(INDEX('Reguler Class Availability'!$B:$B,M75)&amp;""))&amp;"  "&amp;IFERROR(--(INDEX('Reguler Class Availability'!$G:$G,M75)&amp;""),0)&amp;"/"&amp;IFERROR(--(INDEX('Reguler Class Availability'!$F:$F,M75)&amp;""),0)&amp;IF(IFERROR(--(INDEX('Reguler Class Availability'!$F:$F,M75)&amp;""),0)&gt;0,"  ("&amp;TEXT(IFERROR(--(INDEX('Reguler Class Availability'!$G:$G,M75)&amp;""),0)/IFERROR(--(INDEX('Reguler Class Availability'!$F:$F,M75)&amp;""),0),"0%")&amp;")","")&amp;CHAR(10)&amp;IF(INDEX('Reguler Class Availability'!$I:$I,M75)&amp;""="","coach: –",PROPER(INDEX('Reguler Class Availability'!$I:$I,M75)&amp;""))&amp;IF(INDEX('Reguler Class Availability'!$J:$J,M75)&amp;""="","",CHAR(10)&amp;"asst: "&amp;PROPER(INDEX('Reguler Class Availability'!$J:$J,M75)&amp;""))))</f>
        <v>Kids  0/0
coach: –</v>
      </c>
      <c r="F75" s="40" t="str">
        <f aca="false">IF(N75="","",IF(V75="Tidak dibuka","–",IF(INDEX('Reguler Class Availability'!$B:$B,N75)&amp;""="","Kosong",PROPER(INDEX('Reguler Class Availability'!$B:$B,N75)&amp;""))&amp;"  "&amp;IFERROR(--(INDEX('Reguler Class Availability'!$G:$G,N75)&amp;""),0)&amp;"/"&amp;IFERROR(--(INDEX('Reguler Class Availability'!$F:$F,N75)&amp;""),0)&amp;IF(IFERROR(--(INDEX('Reguler Class Availability'!$F:$F,N75)&amp;""),0)&gt;0,"  ("&amp;TEXT(IFERROR(--(INDEX('Reguler Class Availability'!$G:$G,N75)&amp;""),0)/IFERROR(--(INDEX('Reguler Class Availability'!$F:$F,N75)&amp;""),0),"0%")&amp;")","")&amp;CHAR(10)&amp;IF(INDEX('Reguler Class Availability'!$I:$I,N75)&amp;""="","coach: –",PROPER(INDEX('Reguler Class Availability'!$I:$I,N75)&amp;""))&amp;IF(INDEX('Reguler Class Availability'!$J:$J,N75)&amp;""="","",CHAR(10)&amp;"asst: "&amp;PROPER(INDEX('Reguler Class Availability'!$J:$J,N75)&amp;""))))</f>
        <v>Kids  0/0
coach: –</v>
      </c>
      <c r="G75" s="40" t="str">
        <f aca="false">IF(O75="","",IF(W75="Tidak dibuka","–",IF(INDEX('Reguler Class Availability'!$B:$B,O75)&amp;""="","Kosong",PROPER(INDEX('Reguler Class Availability'!$B:$B,O75)&amp;""))&amp;"  "&amp;IFERROR(--(INDEX('Reguler Class Availability'!$G:$G,O75)&amp;""),0)&amp;"/"&amp;IFERROR(--(INDEX('Reguler Class Availability'!$F:$F,O75)&amp;""),0)&amp;IF(IFERROR(--(INDEX('Reguler Class Availability'!$F:$F,O75)&amp;""),0)&gt;0,"  ("&amp;TEXT(IFERROR(--(INDEX('Reguler Class Availability'!$G:$G,O75)&amp;""),0)/IFERROR(--(INDEX('Reguler Class Availability'!$F:$F,O75)&amp;""),0),"0%")&amp;")","")&amp;CHAR(10)&amp;IF(INDEX('Reguler Class Availability'!$I:$I,O75)&amp;""="","coach: –",PROPER(INDEX('Reguler Class Availability'!$I:$I,O75)&amp;""))&amp;IF(INDEX('Reguler Class Availability'!$J:$J,O75)&amp;""="","",CHAR(10)&amp;"asst: "&amp;PROPER(INDEX('Reguler Class Availability'!$J:$J,O75)&amp;""))))</f>
        <v>Kids  4/4  (100%)
Surya</v>
      </c>
      <c r="H75" s="40" t="str">
        <f aca="false">IF(P75="","",IF(X75="Tidak dibuka","–",IF(INDEX('Reguler Class Availability'!$B:$B,P75)&amp;""="","Kosong",PROPER(INDEX('Reguler Class Availability'!$B:$B,P75)&amp;""))&amp;"  "&amp;IFERROR(--(INDEX('Reguler Class Availability'!$G:$G,P75)&amp;""),0)&amp;"/"&amp;IFERROR(--(INDEX('Reguler Class Availability'!$F:$F,P75)&amp;""),0)&amp;IF(IFERROR(--(INDEX('Reguler Class Availability'!$F:$F,P75)&amp;""),0)&gt;0,"  ("&amp;TEXT(IFERROR(--(INDEX('Reguler Class Availability'!$G:$G,P75)&amp;""),0)/IFERROR(--(INDEX('Reguler Class Availability'!$F:$F,P75)&amp;""),0),"0%")&amp;")","")&amp;CHAR(10)&amp;IF(INDEX('Reguler Class Availability'!$I:$I,P75)&amp;""="","coach: –",PROPER(INDEX('Reguler Class Availability'!$I:$I,P75)&amp;""))&amp;IF(INDEX('Reguler Class Availability'!$J:$J,P75)&amp;""="","",CHAR(10)&amp;"asst: "&amp;PROPER(INDEX('Reguler Class Availability'!$J:$J,P75)&amp;""))))</f>
        <v>Kids  4/4  (100%)
Zidane</v>
      </c>
      <c r="J75" s="4" t="n">
        <f aca="false">IF($A75="","",IFERROR(MATCH($B$4&amp;"|- Lane 4 - "&amp;B$69&amp;"|"&amp;$A75,'Reguler Class Availability'!$L:$L,0),""))</f>
        <v>273</v>
      </c>
      <c r="K75" s="4" t="n">
        <f aca="false">IF($A75="","",IFERROR(MATCH($B$4&amp;"|- Lane 4 - "&amp;C$69&amp;"|"&amp;$A75,'Reguler Class Availability'!$L:$L,0),""))</f>
        <v>285</v>
      </c>
      <c r="L75" s="4" t="n">
        <f aca="false">IF($A75="","",IFERROR(MATCH($B$4&amp;"|- Lane 4 - "&amp;D$69&amp;"|"&amp;$A75,'Reguler Class Availability'!$L:$L,0),""))</f>
        <v>297</v>
      </c>
      <c r="M75" s="4" t="n">
        <f aca="false">IF($A75="","",IFERROR(MATCH($B$4&amp;"|- Lane 4 - "&amp;E$69&amp;"|"&amp;$A75,'Reguler Class Availability'!$L:$L,0),""))</f>
        <v>309</v>
      </c>
      <c r="N75" s="4" t="n">
        <f aca="false">IF($A75="","",IFERROR(MATCH($B$4&amp;"|- Lane 4 - "&amp;F$69&amp;"|"&amp;$A75,'Reguler Class Availability'!$L:$L,0),""))</f>
        <v>321</v>
      </c>
      <c r="O75" s="4" t="n">
        <f aca="false">IF($A75="","",IFERROR(MATCH($B$4&amp;"|- Lane 4 - "&amp;G$69&amp;"|"&amp;$A75,'Reguler Class Availability'!$L:$L,0),""))</f>
        <v>333</v>
      </c>
      <c r="P75" s="4" t="n">
        <f aca="false">IF($A75="","",IFERROR(MATCH($B$4&amp;"|- Lane 4 - "&amp;H$69&amp;"|"&amp;$A75,'Reguler Class Availability'!$L:$L,0),""))</f>
        <v>345</v>
      </c>
      <c r="R75" s="0" t="str">
        <f aca="false">IF(J75="","",IF(AND(IFERROR(--(INDEX('Reguler Class Availability'!$F:$F,J75)&amp;""),0)=0,IFERROR(--(INDEX('Reguler Class Availability'!$G:$G,J75)&amp;""),0)=0),IF(OR(INDEX('Reguler Class Availability'!$B:$B,J75)&amp;""&lt;&gt;"",INDEX('Reguler Class Availability'!$I:$I,J75)&amp;""&lt;&gt;""),"Tutup","Tidak dibuka"),IF(IFERROR(--(INDEX('Reguler Class Availability'!$G:$G,J75)&amp;""),0)&gt;IFERROR(--(INDEX('Reguler Class Availability'!$F:$F,J75)&amp;""),0),"Lebih",IF(IFERROR(--(INDEX('Reguler Class Availability'!$G:$G,J75)&amp;""),0)=IFERROR(--(INDEX('Reguler Class Availability'!$F:$F,J75)&amp;""),0),"Penuh",IF(IFERROR(--(INDEX('Reguler Class Availability'!$G:$G,J75)&amp;""),0)=0,IF(INDEX('Reguler Class Availability'!$B:$B,J75)&amp;""="","Kosong","Belum terisi"),IF(IFERROR(--(INDEX('Reguler Class Availability'!$G:$G,J75)&amp;""),0)/IFERROR(--(INDEX('Reguler Class Availability'!$F:$F,J75)&amp;""),0)&gt;=0.6,"Tinggi","Sebagian"))))))</f>
        <v>Tutup</v>
      </c>
      <c r="S75" s="0" t="str">
        <f aca="false">IF(K75="","",IF(AND(IFERROR(--(INDEX('Reguler Class Availability'!$F:$F,K75)&amp;""),0)=0,IFERROR(--(INDEX('Reguler Class Availability'!$G:$G,K75)&amp;""),0)=0),IF(OR(INDEX('Reguler Class Availability'!$B:$B,K75)&amp;""&lt;&gt;"",INDEX('Reguler Class Availability'!$I:$I,K75)&amp;""&lt;&gt;""),"Tutup","Tidak dibuka"),IF(IFERROR(--(INDEX('Reguler Class Availability'!$G:$G,K75)&amp;""),0)&gt;IFERROR(--(INDEX('Reguler Class Availability'!$F:$F,K75)&amp;""),0),"Lebih",IF(IFERROR(--(INDEX('Reguler Class Availability'!$G:$G,K75)&amp;""),0)=IFERROR(--(INDEX('Reguler Class Availability'!$F:$F,K75)&amp;""),0),"Penuh",IF(IFERROR(--(INDEX('Reguler Class Availability'!$G:$G,K75)&amp;""),0)=0,IF(INDEX('Reguler Class Availability'!$B:$B,K75)&amp;""="","Kosong","Belum terisi"),IF(IFERROR(--(INDEX('Reguler Class Availability'!$G:$G,K75)&amp;""),0)/IFERROR(--(INDEX('Reguler Class Availability'!$F:$F,K75)&amp;""),0)&gt;=0.6,"Tinggi","Sebagian"))))))</f>
        <v>Tutup</v>
      </c>
      <c r="T75" s="0" t="str">
        <f aca="false">IF(L75="","",IF(AND(IFERROR(--(INDEX('Reguler Class Availability'!$F:$F,L75)&amp;""),0)=0,IFERROR(--(INDEX('Reguler Class Availability'!$G:$G,L75)&amp;""),0)=0),IF(OR(INDEX('Reguler Class Availability'!$B:$B,L75)&amp;""&lt;&gt;"",INDEX('Reguler Class Availability'!$I:$I,L75)&amp;""&lt;&gt;""),"Tutup","Tidak dibuka"),IF(IFERROR(--(INDEX('Reguler Class Availability'!$G:$G,L75)&amp;""),0)&gt;IFERROR(--(INDEX('Reguler Class Availability'!$F:$F,L75)&amp;""),0),"Lebih",IF(IFERROR(--(INDEX('Reguler Class Availability'!$G:$G,L75)&amp;""),0)=IFERROR(--(INDEX('Reguler Class Availability'!$F:$F,L75)&amp;""),0),"Penuh",IF(IFERROR(--(INDEX('Reguler Class Availability'!$G:$G,L75)&amp;""),0)=0,IF(INDEX('Reguler Class Availability'!$B:$B,L75)&amp;""="","Kosong","Belum terisi"),IF(IFERROR(--(INDEX('Reguler Class Availability'!$G:$G,L75)&amp;""),0)/IFERROR(--(INDEX('Reguler Class Availability'!$F:$F,L75)&amp;""),0)&gt;=0.6,"Tinggi","Sebagian"))))))</f>
        <v>Tutup</v>
      </c>
      <c r="U75" s="0" t="str">
        <f aca="false">IF(M75="","",IF(AND(IFERROR(--(INDEX('Reguler Class Availability'!$F:$F,M75)&amp;""),0)=0,IFERROR(--(INDEX('Reguler Class Availability'!$G:$G,M75)&amp;""),0)=0),IF(OR(INDEX('Reguler Class Availability'!$B:$B,M75)&amp;""&lt;&gt;"",INDEX('Reguler Class Availability'!$I:$I,M75)&amp;""&lt;&gt;""),"Tutup","Tidak dibuka"),IF(IFERROR(--(INDEX('Reguler Class Availability'!$G:$G,M75)&amp;""),0)&gt;IFERROR(--(INDEX('Reguler Class Availability'!$F:$F,M75)&amp;""),0),"Lebih",IF(IFERROR(--(INDEX('Reguler Class Availability'!$G:$G,M75)&amp;""),0)=IFERROR(--(INDEX('Reguler Class Availability'!$F:$F,M75)&amp;""),0),"Penuh",IF(IFERROR(--(INDEX('Reguler Class Availability'!$G:$G,M75)&amp;""),0)=0,IF(INDEX('Reguler Class Availability'!$B:$B,M75)&amp;""="","Kosong","Belum terisi"),IF(IFERROR(--(INDEX('Reguler Class Availability'!$G:$G,M75)&amp;""),0)/IFERROR(--(INDEX('Reguler Class Availability'!$F:$F,M75)&amp;""),0)&gt;=0.6,"Tinggi","Sebagian"))))))</f>
        <v>Tutup</v>
      </c>
      <c r="V75" s="0" t="str">
        <f aca="false">IF(N75="","",IF(AND(IFERROR(--(INDEX('Reguler Class Availability'!$F:$F,N75)&amp;""),0)=0,IFERROR(--(INDEX('Reguler Class Availability'!$G:$G,N75)&amp;""),0)=0),IF(OR(INDEX('Reguler Class Availability'!$B:$B,N75)&amp;""&lt;&gt;"",INDEX('Reguler Class Availability'!$I:$I,N75)&amp;""&lt;&gt;""),"Tutup","Tidak dibuka"),IF(IFERROR(--(INDEX('Reguler Class Availability'!$G:$G,N75)&amp;""),0)&gt;IFERROR(--(INDEX('Reguler Class Availability'!$F:$F,N75)&amp;""),0),"Lebih",IF(IFERROR(--(INDEX('Reguler Class Availability'!$G:$G,N75)&amp;""),0)=IFERROR(--(INDEX('Reguler Class Availability'!$F:$F,N75)&amp;""),0),"Penuh",IF(IFERROR(--(INDEX('Reguler Class Availability'!$G:$G,N75)&amp;""),0)=0,IF(INDEX('Reguler Class Availability'!$B:$B,N75)&amp;""="","Kosong","Belum terisi"),IF(IFERROR(--(INDEX('Reguler Class Availability'!$G:$G,N75)&amp;""),0)/IFERROR(--(INDEX('Reguler Class Availability'!$F:$F,N75)&amp;""),0)&gt;=0.6,"Tinggi","Sebagian"))))))</f>
        <v>Tutup</v>
      </c>
      <c r="W75" s="0" t="str">
        <f aca="false">IF(O75="","",IF(AND(IFERROR(--(INDEX('Reguler Class Availability'!$F:$F,O75)&amp;""),0)=0,IFERROR(--(INDEX('Reguler Class Availability'!$G:$G,O75)&amp;""),0)=0),IF(OR(INDEX('Reguler Class Availability'!$B:$B,O75)&amp;""&lt;&gt;"",INDEX('Reguler Class Availability'!$I:$I,O75)&amp;""&lt;&gt;""),"Tutup","Tidak dibuka"),IF(IFERROR(--(INDEX('Reguler Class Availability'!$G:$G,O75)&amp;""),0)&gt;IFERROR(--(INDEX('Reguler Class Availability'!$F:$F,O75)&amp;""),0),"Lebih",IF(IFERROR(--(INDEX('Reguler Class Availability'!$G:$G,O75)&amp;""),0)=IFERROR(--(INDEX('Reguler Class Availability'!$F:$F,O75)&amp;""),0),"Penuh",IF(IFERROR(--(INDEX('Reguler Class Availability'!$G:$G,O75)&amp;""),0)=0,IF(INDEX('Reguler Class Availability'!$B:$B,O75)&amp;""="","Kosong","Belum terisi"),IF(IFERROR(--(INDEX('Reguler Class Availability'!$G:$G,O75)&amp;""),0)/IFERROR(--(INDEX('Reguler Class Availability'!$F:$F,O75)&amp;""),0)&gt;=0.6,"Tinggi","Sebagian"))))))</f>
        <v>Penuh</v>
      </c>
      <c r="X75" s="0" t="str">
        <f aca="false">IF(P75="","",IF(AND(IFERROR(--(INDEX('Reguler Class Availability'!$F:$F,P75)&amp;""),0)=0,IFERROR(--(INDEX('Reguler Class Availability'!$G:$G,P75)&amp;""),0)=0),IF(OR(INDEX('Reguler Class Availability'!$B:$B,P75)&amp;""&lt;&gt;"",INDEX('Reguler Class Availability'!$I:$I,P75)&amp;""&lt;&gt;""),"Tutup","Tidak dibuka"),IF(IFERROR(--(INDEX('Reguler Class Availability'!$G:$G,P75)&amp;""),0)&gt;IFERROR(--(INDEX('Reguler Class Availability'!$F:$F,P75)&amp;""),0),"Lebih",IF(IFERROR(--(INDEX('Reguler Class Availability'!$G:$G,P75)&amp;""),0)=IFERROR(--(INDEX('Reguler Class Availability'!$F:$F,P75)&amp;""),0),"Penuh",IF(IFERROR(--(INDEX('Reguler Class Availability'!$G:$G,P75)&amp;""),0)=0,IF(INDEX('Reguler Class Availability'!$B:$B,P75)&amp;""="","Kosong","Belum terisi"),IF(IFERROR(--(INDEX('Reguler Class Availability'!$G:$G,P75)&amp;""),0)/IFERROR(--(INDEX('Reguler Class Availability'!$F:$F,P75)&amp;""),0)&gt;=0.6,"Tinggi","Sebagian"))))))</f>
        <v>Penuh</v>
      </c>
      <c r="Z75" s="4" t="s">
        <v>48</v>
      </c>
      <c r="AA75" s="4" t="n">
        <f aca="false">IF(COUNTIFS('Reguler Class Availability'!$L:$L,$B$4&amp;"|- Lane 2 - *|"&amp;Z75)&gt;0,1,0)</f>
        <v>0</v>
      </c>
      <c r="AB75" s="4" t="n">
        <f aca="false">AA75+AB74</f>
        <v>2</v>
      </c>
    </row>
    <row r="76" customFormat="false" ht="39.75" hidden="false" customHeight="true" outlineLevel="0" collapsed="false">
      <c r="A76" s="39" t="str">
        <f aca="false">IFERROR(INDEX($Z$182:$Z$241,MATCH(7,$AB$182:$AB$241,0)),"")</f>
        <v>13:15</v>
      </c>
      <c r="B76" s="40" t="str">
        <f aca="false">IF(J76="","",IF(R76="Tidak dibuka","–",IF(INDEX('Reguler Class Availability'!$B:$B,J76)&amp;""="","Kosong",PROPER(INDEX('Reguler Class Availability'!$B:$B,J76)&amp;""))&amp;"  "&amp;IFERROR(--(INDEX('Reguler Class Availability'!$G:$G,J76)&amp;""),0)&amp;"/"&amp;IFERROR(--(INDEX('Reguler Class Availability'!$F:$F,J76)&amp;""),0)&amp;IF(IFERROR(--(INDEX('Reguler Class Availability'!$F:$F,J76)&amp;""),0)&gt;0,"  ("&amp;TEXT(IFERROR(--(INDEX('Reguler Class Availability'!$G:$G,J76)&amp;""),0)/IFERROR(--(INDEX('Reguler Class Availability'!$F:$F,J76)&amp;""),0),"0%")&amp;")","")&amp;CHAR(10)&amp;IF(INDEX('Reguler Class Availability'!$I:$I,J76)&amp;""="","coach: –",PROPER(INDEX('Reguler Class Availability'!$I:$I,J76)&amp;""))&amp;IF(INDEX('Reguler Class Availability'!$J:$J,J76)&amp;""="","",CHAR(10)&amp;"asst: "&amp;PROPER(INDEX('Reguler Class Availability'!$J:$J,J76)&amp;""))))</f>
        <v>Kids  3/4  (75%)
Zidane</v>
      </c>
      <c r="C76" s="40" t="str">
        <f aca="false">IF(K76="","",IF(S76="Tidak dibuka","–",IF(INDEX('Reguler Class Availability'!$B:$B,K76)&amp;""="","Kosong",PROPER(INDEX('Reguler Class Availability'!$B:$B,K76)&amp;""))&amp;"  "&amp;IFERROR(--(INDEX('Reguler Class Availability'!$G:$G,K76)&amp;""),0)&amp;"/"&amp;IFERROR(--(INDEX('Reguler Class Availability'!$F:$F,K76)&amp;""),0)&amp;IF(IFERROR(--(INDEX('Reguler Class Availability'!$F:$F,K76)&amp;""),0)&gt;0,"  ("&amp;TEXT(IFERROR(--(INDEX('Reguler Class Availability'!$G:$G,K76)&amp;""),0)/IFERROR(--(INDEX('Reguler Class Availability'!$F:$F,K76)&amp;""),0),"0%")&amp;")","")&amp;CHAR(10)&amp;IF(INDEX('Reguler Class Availability'!$I:$I,K76)&amp;""="","coach: –",PROPER(INDEX('Reguler Class Availability'!$I:$I,K76)&amp;""))&amp;IF(INDEX('Reguler Class Availability'!$J:$J,K76)&amp;""="","",CHAR(10)&amp;"asst: "&amp;PROPER(INDEX('Reguler Class Availability'!$J:$J,K76)&amp;""))))</f>
        <v>Kids  3/4  (75%)
Dian</v>
      </c>
      <c r="D76" s="40" t="str">
        <f aca="false">IF(L76="","",IF(T76="Tidak dibuka","–",IF(INDEX('Reguler Class Availability'!$B:$B,L76)&amp;""="","Kosong",PROPER(INDEX('Reguler Class Availability'!$B:$B,L76)&amp;""))&amp;"  "&amp;IFERROR(--(INDEX('Reguler Class Availability'!$G:$G,L76)&amp;""),0)&amp;"/"&amp;IFERROR(--(INDEX('Reguler Class Availability'!$F:$F,L76)&amp;""),0)&amp;IF(IFERROR(--(INDEX('Reguler Class Availability'!$F:$F,L76)&amp;""),0)&gt;0,"  ("&amp;TEXT(IFERROR(--(INDEX('Reguler Class Availability'!$G:$G,L76)&amp;""),0)/IFERROR(--(INDEX('Reguler Class Availability'!$F:$F,L76)&amp;""),0),"0%")&amp;")","")&amp;CHAR(10)&amp;IF(INDEX('Reguler Class Availability'!$I:$I,L76)&amp;""="","coach: –",PROPER(INDEX('Reguler Class Availability'!$I:$I,L76)&amp;""))&amp;IF(INDEX('Reguler Class Availability'!$J:$J,L76)&amp;""="","",CHAR(10)&amp;"asst: "&amp;PROPER(INDEX('Reguler Class Availability'!$J:$J,L76)&amp;""))))</f>
        <v>Kids  4/4  (100%)
Surya</v>
      </c>
      <c r="E76" s="40" t="str">
        <f aca="false">IF(M76="","",IF(U76="Tidak dibuka","–",IF(INDEX('Reguler Class Availability'!$B:$B,M76)&amp;""="","Kosong",PROPER(INDEX('Reguler Class Availability'!$B:$B,M76)&amp;""))&amp;"  "&amp;IFERROR(--(INDEX('Reguler Class Availability'!$G:$G,M76)&amp;""),0)&amp;"/"&amp;IFERROR(--(INDEX('Reguler Class Availability'!$F:$F,M76)&amp;""),0)&amp;IF(IFERROR(--(INDEX('Reguler Class Availability'!$F:$F,M76)&amp;""),0)&gt;0,"  ("&amp;TEXT(IFERROR(--(INDEX('Reguler Class Availability'!$G:$G,M76)&amp;""),0)/IFERROR(--(INDEX('Reguler Class Availability'!$F:$F,M76)&amp;""),0),"0%")&amp;")","")&amp;CHAR(10)&amp;IF(INDEX('Reguler Class Availability'!$I:$I,M76)&amp;""="","coach: –",PROPER(INDEX('Reguler Class Availability'!$I:$I,M76)&amp;""))&amp;IF(INDEX('Reguler Class Availability'!$J:$J,M76)&amp;""="","",CHAR(10)&amp;"asst: "&amp;PROPER(INDEX('Reguler Class Availability'!$J:$J,M76)&amp;""))))</f>
        <v>Kids  0/4  (0%)
coach: –</v>
      </c>
      <c r="F76" s="40" t="str">
        <f aca="false">IF(N76="","",IF(V76="Tidak dibuka","–",IF(INDEX('Reguler Class Availability'!$B:$B,N76)&amp;""="","Kosong",PROPER(INDEX('Reguler Class Availability'!$B:$B,N76)&amp;""))&amp;"  "&amp;IFERROR(--(INDEX('Reguler Class Availability'!$G:$G,N76)&amp;""),0)&amp;"/"&amp;IFERROR(--(INDEX('Reguler Class Availability'!$F:$F,N76)&amp;""),0)&amp;IF(IFERROR(--(INDEX('Reguler Class Availability'!$F:$F,N76)&amp;""),0)&gt;0,"  ("&amp;TEXT(IFERROR(--(INDEX('Reguler Class Availability'!$G:$G,N76)&amp;""),0)/IFERROR(--(INDEX('Reguler Class Availability'!$F:$F,N76)&amp;""),0),"0%")&amp;")","")&amp;CHAR(10)&amp;IF(INDEX('Reguler Class Availability'!$I:$I,N76)&amp;""="","coach: –",PROPER(INDEX('Reguler Class Availability'!$I:$I,N76)&amp;""))&amp;IF(INDEX('Reguler Class Availability'!$J:$J,N76)&amp;""="","",CHAR(10)&amp;"asst: "&amp;PROPER(INDEX('Reguler Class Availability'!$J:$J,N76)&amp;""))))</f>
        <v>Kids  3/4  (75%)
Eka</v>
      </c>
      <c r="G76" s="40" t="str">
        <f aca="false">IF(O76="","",IF(W76="Tidak dibuka","–",IF(INDEX('Reguler Class Availability'!$B:$B,O76)&amp;""="","Kosong",PROPER(INDEX('Reguler Class Availability'!$B:$B,O76)&amp;""))&amp;"  "&amp;IFERROR(--(INDEX('Reguler Class Availability'!$G:$G,O76)&amp;""),0)&amp;"/"&amp;IFERROR(--(INDEX('Reguler Class Availability'!$F:$F,O76)&amp;""),0)&amp;IF(IFERROR(--(INDEX('Reguler Class Availability'!$F:$F,O76)&amp;""),0)&gt;0,"  ("&amp;TEXT(IFERROR(--(INDEX('Reguler Class Availability'!$G:$G,O76)&amp;""),0)/IFERROR(--(INDEX('Reguler Class Availability'!$F:$F,O76)&amp;""),0),"0%")&amp;")","")&amp;CHAR(10)&amp;IF(INDEX('Reguler Class Availability'!$I:$I,O76)&amp;""="","coach: –",PROPER(INDEX('Reguler Class Availability'!$I:$I,O76)&amp;""))&amp;IF(INDEX('Reguler Class Availability'!$J:$J,O76)&amp;""="","",CHAR(10)&amp;"asst: "&amp;PROPER(INDEX('Reguler Class Availability'!$J:$J,O76)&amp;""))))</f>
        <v>Kids  3/4  (75%)
Surya</v>
      </c>
      <c r="H76" s="40" t="str">
        <f aca="false">IF(P76="","",IF(X76="Tidak dibuka","–",IF(INDEX('Reguler Class Availability'!$B:$B,P76)&amp;""="","Kosong",PROPER(INDEX('Reguler Class Availability'!$B:$B,P76)&amp;""))&amp;"  "&amp;IFERROR(--(INDEX('Reguler Class Availability'!$G:$G,P76)&amp;""),0)&amp;"/"&amp;IFERROR(--(INDEX('Reguler Class Availability'!$F:$F,P76)&amp;""),0)&amp;IF(IFERROR(--(INDEX('Reguler Class Availability'!$F:$F,P76)&amp;""),0)&gt;0,"  ("&amp;TEXT(IFERROR(--(INDEX('Reguler Class Availability'!$G:$G,P76)&amp;""),0)/IFERROR(--(INDEX('Reguler Class Availability'!$F:$F,P76)&amp;""),0),"0%")&amp;")","")&amp;CHAR(10)&amp;IF(INDEX('Reguler Class Availability'!$I:$I,P76)&amp;""="","coach: –",PROPER(INDEX('Reguler Class Availability'!$I:$I,P76)&amp;""))&amp;IF(INDEX('Reguler Class Availability'!$J:$J,P76)&amp;""="","",CHAR(10)&amp;"asst: "&amp;PROPER(INDEX('Reguler Class Availability'!$J:$J,P76)&amp;""))))</f>
        <v>Kids  4/4  (100%)
Rischa</v>
      </c>
      <c r="J76" s="4" t="n">
        <f aca="false">IF($A76="","",IFERROR(MATCH($B$4&amp;"|- Lane 4 - "&amp;B$69&amp;"|"&amp;$A76,'Reguler Class Availability'!$L:$L,0),""))</f>
        <v>274</v>
      </c>
      <c r="K76" s="4" t="n">
        <f aca="false">IF($A76="","",IFERROR(MATCH($B$4&amp;"|- Lane 4 - "&amp;C$69&amp;"|"&amp;$A76,'Reguler Class Availability'!$L:$L,0),""))</f>
        <v>286</v>
      </c>
      <c r="L76" s="4" t="n">
        <f aca="false">IF($A76="","",IFERROR(MATCH($B$4&amp;"|- Lane 4 - "&amp;D$69&amp;"|"&amp;$A76,'Reguler Class Availability'!$L:$L,0),""))</f>
        <v>298</v>
      </c>
      <c r="M76" s="4" t="n">
        <f aca="false">IF($A76="","",IFERROR(MATCH($B$4&amp;"|- Lane 4 - "&amp;E$69&amp;"|"&amp;$A76,'Reguler Class Availability'!$L:$L,0),""))</f>
        <v>310</v>
      </c>
      <c r="N76" s="4" t="n">
        <f aca="false">IF($A76="","",IFERROR(MATCH($B$4&amp;"|- Lane 4 - "&amp;F$69&amp;"|"&amp;$A76,'Reguler Class Availability'!$L:$L,0),""))</f>
        <v>322</v>
      </c>
      <c r="O76" s="4" t="n">
        <f aca="false">IF($A76="","",IFERROR(MATCH($B$4&amp;"|- Lane 4 - "&amp;G$69&amp;"|"&amp;$A76,'Reguler Class Availability'!$L:$L,0),""))</f>
        <v>334</v>
      </c>
      <c r="P76" s="4" t="n">
        <f aca="false">IF($A76="","",IFERROR(MATCH($B$4&amp;"|- Lane 4 - "&amp;H$69&amp;"|"&amp;$A76,'Reguler Class Availability'!$L:$L,0),""))</f>
        <v>346</v>
      </c>
      <c r="R76" s="0" t="str">
        <f aca="false">IF(J76="","",IF(AND(IFERROR(--(INDEX('Reguler Class Availability'!$F:$F,J76)&amp;""),0)=0,IFERROR(--(INDEX('Reguler Class Availability'!$G:$G,J76)&amp;""),0)=0),IF(OR(INDEX('Reguler Class Availability'!$B:$B,J76)&amp;""&lt;&gt;"",INDEX('Reguler Class Availability'!$I:$I,J76)&amp;""&lt;&gt;""),"Tutup","Tidak dibuka"),IF(IFERROR(--(INDEX('Reguler Class Availability'!$G:$G,J76)&amp;""),0)&gt;IFERROR(--(INDEX('Reguler Class Availability'!$F:$F,J76)&amp;""),0),"Lebih",IF(IFERROR(--(INDEX('Reguler Class Availability'!$G:$G,J76)&amp;""),0)=IFERROR(--(INDEX('Reguler Class Availability'!$F:$F,J76)&amp;""),0),"Penuh",IF(IFERROR(--(INDEX('Reguler Class Availability'!$G:$G,J76)&amp;""),0)=0,IF(INDEX('Reguler Class Availability'!$B:$B,J76)&amp;""="","Kosong","Belum terisi"),IF(IFERROR(--(INDEX('Reguler Class Availability'!$G:$G,J76)&amp;""),0)/IFERROR(--(INDEX('Reguler Class Availability'!$F:$F,J76)&amp;""),0)&gt;=0.6,"Tinggi","Sebagian"))))))</f>
        <v>Tinggi</v>
      </c>
      <c r="S76" s="0" t="str">
        <f aca="false">IF(K76="","",IF(AND(IFERROR(--(INDEX('Reguler Class Availability'!$F:$F,K76)&amp;""),0)=0,IFERROR(--(INDEX('Reguler Class Availability'!$G:$G,K76)&amp;""),0)=0),IF(OR(INDEX('Reguler Class Availability'!$B:$B,K76)&amp;""&lt;&gt;"",INDEX('Reguler Class Availability'!$I:$I,K76)&amp;""&lt;&gt;""),"Tutup","Tidak dibuka"),IF(IFERROR(--(INDEX('Reguler Class Availability'!$G:$G,K76)&amp;""),0)&gt;IFERROR(--(INDEX('Reguler Class Availability'!$F:$F,K76)&amp;""),0),"Lebih",IF(IFERROR(--(INDEX('Reguler Class Availability'!$G:$G,K76)&amp;""),0)=IFERROR(--(INDEX('Reguler Class Availability'!$F:$F,K76)&amp;""),0),"Penuh",IF(IFERROR(--(INDEX('Reguler Class Availability'!$G:$G,K76)&amp;""),0)=0,IF(INDEX('Reguler Class Availability'!$B:$B,K76)&amp;""="","Kosong","Belum terisi"),IF(IFERROR(--(INDEX('Reguler Class Availability'!$G:$G,K76)&amp;""),0)/IFERROR(--(INDEX('Reguler Class Availability'!$F:$F,K76)&amp;""),0)&gt;=0.6,"Tinggi","Sebagian"))))))</f>
        <v>Tinggi</v>
      </c>
      <c r="T76" s="0" t="str">
        <f aca="false">IF(L76="","",IF(AND(IFERROR(--(INDEX('Reguler Class Availability'!$F:$F,L76)&amp;""),0)=0,IFERROR(--(INDEX('Reguler Class Availability'!$G:$G,L76)&amp;""),0)=0),IF(OR(INDEX('Reguler Class Availability'!$B:$B,L76)&amp;""&lt;&gt;"",INDEX('Reguler Class Availability'!$I:$I,L76)&amp;""&lt;&gt;""),"Tutup","Tidak dibuka"),IF(IFERROR(--(INDEX('Reguler Class Availability'!$G:$G,L76)&amp;""),0)&gt;IFERROR(--(INDEX('Reguler Class Availability'!$F:$F,L76)&amp;""),0),"Lebih",IF(IFERROR(--(INDEX('Reguler Class Availability'!$G:$G,L76)&amp;""),0)=IFERROR(--(INDEX('Reguler Class Availability'!$F:$F,L76)&amp;""),0),"Penuh",IF(IFERROR(--(INDEX('Reguler Class Availability'!$G:$G,L76)&amp;""),0)=0,IF(INDEX('Reguler Class Availability'!$B:$B,L76)&amp;""="","Kosong","Belum terisi"),IF(IFERROR(--(INDEX('Reguler Class Availability'!$G:$G,L76)&amp;""),0)/IFERROR(--(INDEX('Reguler Class Availability'!$F:$F,L76)&amp;""),0)&gt;=0.6,"Tinggi","Sebagian"))))))</f>
        <v>Penuh</v>
      </c>
      <c r="U76" s="0" t="str">
        <f aca="false">IF(M76="","",IF(AND(IFERROR(--(INDEX('Reguler Class Availability'!$F:$F,M76)&amp;""),0)=0,IFERROR(--(INDEX('Reguler Class Availability'!$G:$G,M76)&amp;""),0)=0),IF(OR(INDEX('Reguler Class Availability'!$B:$B,M76)&amp;""&lt;&gt;"",INDEX('Reguler Class Availability'!$I:$I,M76)&amp;""&lt;&gt;""),"Tutup","Tidak dibuka"),IF(IFERROR(--(INDEX('Reguler Class Availability'!$G:$G,M76)&amp;""),0)&gt;IFERROR(--(INDEX('Reguler Class Availability'!$F:$F,M76)&amp;""),0),"Lebih",IF(IFERROR(--(INDEX('Reguler Class Availability'!$G:$G,M76)&amp;""),0)=IFERROR(--(INDEX('Reguler Class Availability'!$F:$F,M76)&amp;""),0),"Penuh",IF(IFERROR(--(INDEX('Reguler Class Availability'!$G:$G,M76)&amp;""),0)=0,IF(INDEX('Reguler Class Availability'!$B:$B,M76)&amp;""="","Kosong","Belum terisi"),IF(IFERROR(--(INDEX('Reguler Class Availability'!$G:$G,M76)&amp;""),0)/IFERROR(--(INDEX('Reguler Class Availability'!$F:$F,M76)&amp;""),0)&gt;=0.6,"Tinggi","Sebagian"))))))</f>
        <v>Belum terisi</v>
      </c>
      <c r="V76" s="0" t="str">
        <f aca="false">IF(N76="","",IF(AND(IFERROR(--(INDEX('Reguler Class Availability'!$F:$F,N76)&amp;""),0)=0,IFERROR(--(INDEX('Reguler Class Availability'!$G:$G,N76)&amp;""),0)=0),IF(OR(INDEX('Reguler Class Availability'!$B:$B,N76)&amp;""&lt;&gt;"",INDEX('Reguler Class Availability'!$I:$I,N76)&amp;""&lt;&gt;""),"Tutup","Tidak dibuka"),IF(IFERROR(--(INDEX('Reguler Class Availability'!$G:$G,N76)&amp;""),0)&gt;IFERROR(--(INDEX('Reguler Class Availability'!$F:$F,N76)&amp;""),0),"Lebih",IF(IFERROR(--(INDEX('Reguler Class Availability'!$G:$G,N76)&amp;""),0)=IFERROR(--(INDEX('Reguler Class Availability'!$F:$F,N76)&amp;""),0),"Penuh",IF(IFERROR(--(INDEX('Reguler Class Availability'!$G:$G,N76)&amp;""),0)=0,IF(INDEX('Reguler Class Availability'!$B:$B,N76)&amp;""="","Kosong","Belum terisi"),IF(IFERROR(--(INDEX('Reguler Class Availability'!$G:$G,N76)&amp;""),0)/IFERROR(--(INDEX('Reguler Class Availability'!$F:$F,N76)&amp;""),0)&gt;=0.6,"Tinggi","Sebagian"))))))</f>
        <v>Tinggi</v>
      </c>
      <c r="W76" s="0" t="str">
        <f aca="false">IF(O76="","",IF(AND(IFERROR(--(INDEX('Reguler Class Availability'!$F:$F,O76)&amp;""),0)=0,IFERROR(--(INDEX('Reguler Class Availability'!$G:$G,O76)&amp;""),0)=0),IF(OR(INDEX('Reguler Class Availability'!$B:$B,O76)&amp;""&lt;&gt;"",INDEX('Reguler Class Availability'!$I:$I,O76)&amp;""&lt;&gt;""),"Tutup","Tidak dibuka"),IF(IFERROR(--(INDEX('Reguler Class Availability'!$G:$G,O76)&amp;""),0)&gt;IFERROR(--(INDEX('Reguler Class Availability'!$F:$F,O76)&amp;""),0),"Lebih",IF(IFERROR(--(INDEX('Reguler Class Availability'!$G:$G,O76)&amp;""),0)=IFERROR(--(INDEX('Reguler Class Availability'!$F:$F,O76)&amp;""),0),"Penuh",IF(IFERROR(--(INDEX('Reguler Class Availability'!$G:$G,O76)&amp;""),0)=0,IF(INDEX('Reguler Class Availability'!$B:$B,O76)&amp;""="","Kosong","Belum terisi"),IF(IFERROR(--(INDEX('Reguler Class Availability'!$G:$G,O76)&amp;""),0)/IFERROR(--(INDEX('Reguler Class Availability'!$F:$F,O76)&amp;""),0)&gt;=0.6,"Tinggi","Sebagian"))))))</f>
        <v>Tinggi</v>
      </c>
      <c r="X76" s="0" t="str">
        <f aca="false">IF(P76="","",IF(AND(IFERROR(--(INDEX('Reguler Class Availability'!$F:$F,P76)&amp;""),0)=0,IFERROR(--(INDEX('Reguler Class Availability'!$G:$G,P76)&amp;""),0)=0),IF(OR(INDEX('Reguler Class Availability'!$B:$B,P76)&amp;""&lt;&gt;"",INDEX('Reguler Class Availability'!$I:$I,P76)&amp;""&lt;&gt;""),"Tutup","Tidak dibuka"),IF(IFERROR(--(INDEX('Reguler Class Availability'!$G:$G,P76)&amp;""),0)&gt;IFERROR(--(INDEX('Reguler Class Availability'!$F:$F,P76)&amp;""),0),"Lebih",IF(IFERROR(--(INDEX('Reguler Class Availability'!$G:$G,P76)&amp;""),0)=IFERROR(--(INDEX('Reguler Class Availability'!$F:$F,P76)&amp;""),0),"Penuh",IF(IFERROR(--(INDEX('Reguler Class Availability'!$G:$G,P76)&amp;""),0)=0,IF(INDEX('Reguler Class Availability'!$B:$B,P76)&amp;""="","Kosong","Belum terisi"),IF(IFERROR(--(INDEX('Reguler Class Availability'!$G:$G,P76)&amp;""),0)/IFERROR(--(INDEX('Reguler Class Availability'!$F:$F,P76)&amp;""),0)&gt;=0.6,"Tinggi","Sebagian"))))))</f>
        <v>Penuh</v>
      </c>
      <c r="Z76" s="4" t="s">
        <v>49</v>
      </c>
      <c r="AA76" s="4" t="n">
        <f aca="false">IF(COUNTIFS('Reguler Class Availability'!$L:$L,$B$4&amp;"|- Lane 2 - *|"&amp;Z76)&gt;0,1,0)</f>
        <v>0</v>
      </c>
      <c r="AB76" s="4" t="n">
        <f aca="false">AA76+AB75</f>
        <v>2</v>
      </c>
    </row>
    <row r="77" customFormat="false" ht="39.75" hidden="false" customHeight="true" outlineLevel="0" collapsed="false">
      <c r="A77" s="39" t="str">
        <f aca="false">IFERROR(INDEX($Z$182:$Z$241,MATCH(8,$AB$182:$AB$241,0)),"")</f>
        <v>14:00</v>
      </c>
      <c r="B77" s="40" t="str">
        <f aca="false">IF(J77="","",IF(R77="Tidak dibuka","–",IF(INDEX('Reguler Class Availability'!$B:$B,J77)&amp;""="","Kosong",PROPER(INDEX('Reguler Class Availability'!$B:$B,J77)&amp;""))&amp;"  "&amp;IFERROR(--(INDEX('Reguler Class Availability'!$G:$G,J77)&amp;""),0)&amp;"/"&amp;IFERROR(--(INDEX('Reguler Class Availability'!$F:$F,J77)&amp;""),0)&amp;IF(IFERROR(--(INDEX('Reguler Class Availability'!$F:$F,J77)&amp;""),0)&gt;0,"  ("&amp;TEXT(IFERROR(--(INDEX('Reguler Class Availability'!$G:$G,J77)&amp;""),0)/IFERROR(--(INDEX('Reguler Class Availability'!$F:$F,J77)&amp;""),0),"0%")&amp;")","")&amp;CHAR(10)&amp;IF(INDEX('Reguler Class Availability'!$I:$I,J77)&amp;""="","coach: –",PROPER(INDEX('Reguler Class Availability'!$I:$I,J77)&amp;""))&amp;IF(INDEX('Reguler Class Availability'!$J:$J,J77)&amp;""="","",CHAR(10)&amp;"asst: "&amp;PROPER(INDEX('Reguler Class Availability'!$J:$J,J77)&amp;""))))</f>
        <v>Kids  4/4  (100%)
Dian</v>
      </c>
      <c r="C77" s="40" t="str">
        <f aca="false">IF(K77="","",IF(S77="Tidak dibuka","–",IF(INDEX('Reguler Class Availability'!$B:$B,K77)&amp;""="","Kosong",PROPER(INDEX('Reguler Class Availability'!$B:$B,K77)&amp;""))&amp;"  "&amp;IFERROR(--(INDEX('Reguler Class Availability'!$G:$G,K77)&amp;""),0)&amp;"/"&amp;IFERROR(--(INDEX('Reguler Class Availability'!$F:$F,K77)&amp;""),0)&amp;IF(IFERROR(--(INDEX('Reguler Class Availability'!$F:$F,K77)&amp;""),0)&gt;0,"  ("&amp;TEXT(IFERROR(--(INDEX('Reguler Class Availability'!$G:$G,K77)&amp;""),0)/IFERROR(--(INDEX('Reguler Class Availability'!$F:$F,K77)&amp;""),0),"0%")&amp;")","")&amp;CHAR(10)&amp;IF(INDEX('Reguler Class Availability'!$I:$I,K77)&amp;""="","coach: –",PROPER(INDEX('Reguler Class Availability'!$I:$I,K77)&amp;""))&amp;IF(INDEX('Reguler Class Availability'!$J:$J,K77)&amp;""="","",CHAR(10)&amp;"asst: "&amp;PROPER(INDEX('Reguler Class Availability'!$J:$J,K77)&amp;""))))</f>
        <v>Kids  4/4  (100%)
Zidane</v>
      </c>
      <c r="D77" s="40" t="str">
        <f aca="false">IF(L77="","",IF(T77="Tidak dibuka","–",IF(INDEX('Reguler Class Availability'!$B:$B,L77)&amp;""="","Kosong",PROPER(INDEX('Reguler Class Availability'!$B:$B,L77)&amp;""))&amp;"  "&amp;IFERROR(--(INDEX('Reguler Class Availability'!$G:$G,L77)&amp;""),0)&amp;"/"&amp;IFERROR(--(INDEX('Reguler Class Availability'!$F:$F,L77)&amp;""),0)&amp;IF(IFERROR(--(INDEX('Reguler Class Availability'!$F:$F,L77)&amp;""),0)&gt;0,"  ("&amp;TEXT(IFERROR(--(INDEX('Reguler Class Availability'!$G:$G,L77)&amp;""),0)/IFERROR(--(INDEX('Reguler Class Availability'!$F:$F,L77)&amp;""),0),"0%")&amp;")","")&amp;CHAR(10)&amp;IF(INDEX('Reguler Class Availability'!$I:$I,L77)&amp;""="","coach: –",PROPER(INDEX('Reguler Class Availability'!$I:$I,L77)&amp;""))&amp;IF(INDEX('Reguler Class Availability'!$J:$J,L77)&amp;""="","",CHAR(10)&amp;"asst: "&amp;PROPER(INDEX('Reguler Class Availability'!$J:$J,L77)&amp;""))))</f>
        <v>Kids  4/4  (100%)
Danti</v>
      </c>
      <c r="E77" s="40" t="str">
        <f aca="false">IF(M77="","",IF(U77="Tidak dibuka","–",IF(INDEX('Reguler Class Availability'!$B:$B,M77)&amp;""="","Kosong",PROPER(INDEX('Reguler Class Availability'!$B:$B,M77)&amp;""))&amp;"  "&amp;IFERROR(--(INDEX('Reguler Class Availability'!$G:$G,M77)&amp;""),0)&amp;"/"&amp;IFERROR(--(INDEX('Reguler Class Availability'!$F:$F,M77)&amp;""),0)&amp;IF(IFERROR(--(INDEX('Reguler Class Availability'!$F:$F,M77)&amp;""),0)&gt;0,"  ("&amp;TEXT(IFERROR(--(INDEX('Reguler Class Availability'!$G:$G,M77)&amp;""),0)/IFERROR(--(INDEX('Reguler Class Availability'!$F:$F,M77)&amp;""),0),"0%")&amp;")","")&amp;CHAR(10)&amp;IF(INDEX('Reguler Class Availability'!$I:$I,M77)&amp;""="","coach: –",PROPER(INDEX('Reguler Class Availability'!$I:$I,M77)&amp;""))&amp;IF(INDEX('Reguler Class Availability'!$J:$J,M77)&amp;""="","",CHAR(10)&amp;"asst: "&amp;PROPER(INDEX('Reguler Class Availability'!$J:$J,M77)&amp;""))))</f>
        <v>Kids  3/4  (75%)
Surya</v>
      </c>
      <c r="F77" s="40" t="str">
        <f aca="false">IF(N77="","",IF(V77="Tidak dibuka","–",IF(INDEX('Reguler Class Availability'!$B:$B,N77)&amp;""="","Kosong",PROPER(INDEX('Reguler Class Availability'!$B:$B,N77)&amp;""))&amp;"  "&amp;IFERROR(--(INDEX('Reguler Class Availability'!$G:$G,N77)&amp;""),0)&amp;"/"&amp;IFERROR(--(INDEX('Reguler Class Availability'!$F:$F,N77)&amp;""),0)&amp;IF(IFERROR(--(INDEX('Reguler Class Availability'!$F:$F,N77)&amp;""),0)&gt;0,"  ("&amp;TEXT(IFERROR(--(INDEX('Reguler Class Availability'!$G:$G,N77)&amp;""),0)/IFERROR(--(INDEX('Reguler Class Availability'!$F:$F,N77)&amp;""),0),"0%")&amp;")","")&amp;CHAR(10)&amp;IF(INDEX('Reguler Class Availability'!$I:$I,N77)&amp;""="","coach: –",PROPER(INDEX('Reguler Class Availability'!$I:$I,N77)&amp;""))&amp;IF(INDEX('Reguler Class Availability'!$J:$J,N77)&amp;""="","",CHAR(10)&amp;"asst: "&amp;PROPER(INDEX('Reguler Class Availability'!$J:$J,N77)&amp;""))))</f>
        <v>Kids  2/4  (50%)
Daffa</v>
      </c>
      <c r="G77" s="40" t="str">
        <f aca="false">IF(O77="","",IF(W77="Tidak dibuka","–",IF(INDEX('Reguler Class Availability'!$B:$B,O77)&amp;""="","Kosong",PROPER(INDEX('Reguler Class Availability'!$B:$B,O77)&amp;""))&amp;"  "&amp;IFERROR(--(INDEX('Reguler Class Availability'!$G:$G,O77)&amp;""),0)&amp;"/"&amp;IFERROR(--(INDEX('Reguler Class Availability'!$F:$F,O77)&amp;""),0)&amp;IF(IFERROR(--(INDEX('Reguler Class Availability'!$F:$F,O77)&amp;""),0)&gt;0,"  ("&amp;TEXT(IFERROR(--(INDEX('Reguler Class Availability'!$G:$G,O77)&amp;""),0)/IFERROR(--(INDEX('Reguler Class Availability'!$F:$F,O77)&amp;""),0),"0%")&amp;")","")&amp;CHAR(10)&amp;IF(INDEX('Reguler Class Availability'!$I:$I,O77)&amp;""="","coach: –",PROPER(INDEX('Reguler Class Availability'!$I:$I,O77)&amp;""))&amp;IF(INDEX('Reguler Class Availability'!$J:$J,O77)&amp;""="","",CHAR(10)&amp;"asst: "&amp;PROPER(INDEX('Reguler Class Availability'!$J:$J,O77)&amp;""))))</f>
        <v>Kids  4/4  (100%)
Nuky</v>
      </c>
      <c r="H77" s="40" t="str">
        <f aca="false">IF(P77="","",IF(X77="Tidak dibuka","–",IF(INDEX('Reguler Class Availability'!$B:$B,P77)&amp;""="","Kosong",PROPER(INDEX('Reguler Class Availability'!$B:$B,P77)&amp;""))&amp;"  "&amp;IFERROR(--(INDEX('Reguler Class Availability'!$G:$G,P77)&amp;""),0)&amp;"/"&amp;IFERROR(--(INDEX('Reguler Class Availability'!$F:$F,P77)&amp;""),0)&amp;IF(IFERROR(--(INDEX('Reguler Class Availability'!$F:$F,P77)&amp;""),0)&gt;0,"  ("&amp;TEXT(IFERROR(--(INDEX('Reguler Class Availability'!$G:$G,P77)&amp;""),0)/IFERROR(--(INDEX('Reguler Class Availability'!$F:$F,P77)&amp;""),0),"0%")&amp;")","")&amp;CHAR(10)&amp;IF(INDEX('Reguler Class Availability'!$I:$I,P77)&amp;""="","coach: –",PROPER(INDEX('Reguler Class Availability'!$I:$I,P77)&amp;""))&amp;IF(INDEX('Reguler Class Availability'!$J:$J,P77)&amp;""="","",CHAR(10)&amp;"asst: "&amp;PROPER(INDEX('Reguler Class Availability'!$J:$J,P77)&amp;""))))</f>
        <v>Kids  4/4  (100%)
Daffa</v>
      </c>
      <c r="J77" s="4" t="n">
        <f aca="false">IF($A77="","",IFERROR(MATCH($B$4&amp;"|- Lane 4 - "&amp;B$69&amp;"|"&amp;$A77,'Reguler Class Availability'!$L:$L,0),""))</f>
        <v>275</v>
      </c>
      <c r="K77" s="4" t="n">
        <f aca="false">IF($A77="","",IFERROR(MATCH($B$4&amp;"|- Lane 4 - "&amp;C$69&amp;"|"&amp;$A77,'Reguler Class Availability'!$L:$L,0),""))</f>
        <v>287</v>
      </c>
      <c r="L77" s="4" t="n">
        <f aca="false">IF($A77="","",IFERROR(MATCH($B$4&amp;"|- Lane 4 - "&amp;D$69&amp;"|"&amp;$A77,'Reguler Class Availability'!$L:$L,0),""))</f>
        <v>299</v>
      </c>
      <c r="M77" s="4" t="n">
        <f aca="false">IF($A77="","",IFERROR(MATCH($B$4&amp;"|- Lane 4 - "&amp;E$69&amp;"|"&amp;$A77,'Reguler Class Availability'!$L:$L,0),""))</f>
        <v>311</v>
      </c>
      <c r="N77" s="4" t="n">
        <f aca="false">IF($A77="","",IFERROR(MATCH($B$4&amp;"|- Lane 4 - "&amp;F$69&amp;"|"&amp;$A77,'Reguler Class Availability'!$L:$L,0),""))</f>
        <v>323</v>
      </c>
      <c r="O77" s="4" t="n">
        <f aca="false">IF($A77="","",IFERROR(MATCH($B$4&amp;"|- Lane 4 - "&amp;G$69&amp;"|"&amp;$A77,'Reguler Class Availability'!$L:$L,0),""))</f>
        <v>335</v>
      </c>
      <c r="P77" s="4" t="n">
        <f aca="false">IF($A77="","",IFERROR(MATCH($B$4&amp;"|- Lane 4 - "&amp;H$69&amp;"|"&amp;$A77,'Reguler Class Availability'!$L:$L,0),""))</f>
        <v>347</v>
      </c>
      <c r="R77" s="0" t="str">
        <f aca="false">IF(J77="","",IF(AND(IFERROR(--(INDEX('Reguler Class Availability'!$F:$F,J77)&amp;""),0)=0,IFERROR(--(INDEX('Reguler Class Availability'!$G:$G,J77)&amp;""),0)=0),IF(OR(INDEX('Reguler Class Availability'!$B:$B,J77)&amp;""&lt;&gt;"",INDEX('Reguler Class Availability'!$I:$I,J77)&amp;""&lt;&gt;""),"Tutup","Tidak dibuka"),IF(IFERROR(--(INDEX('Reguler Class Availability'!$G:$G,J77)&amp;""),0)&gt;IFERROR(--(INDEX('Reguler Class Availability'!$F:$F,J77)&amp;""),0),"Lebih",IF(IFERROR(--(INDEX('Reguler Class Availability'!$G:$G,J77)&amp;""),0)=IFERROR(--(INDEX('Reguler Class Availability'!$F:$F,J77)&amp;""),0),"Penuh",IF(IFERROR(--(INDEX('Reguler Class Availability'!$G:$G,J77)&amp;""),0)=0,IF(INDEX('Reguler Class Availability'!$B:$B,J77)&amp;""="","Kosong","Belum terisi"),IF(IFERROR(--(INDEX('Reguler Class Availability'!$G:$G,J77)&amp;""),0)/IFERROR(--(INDEX('Reguler Class Availability'!$F:$F,J77)&amp;""),0)&gt;=0.6,"Tinggi","Sebagian"))))))</f>
        <v>Penuh</v>
      </c>
      <c r="S77" s="0" t="str">
        <f aca="false">IF(K77="","",IF(AND(IFERROR(--(INDEX('Reguler Class Availability'!$F:$F,K77)&amp;""),0)=0,IFERROR(--(INDEX('Reguler Class Availability'!$G:$G,K77)&amp;""),0)=0),IF(OR(INDEX('Reguler Class Availability'!$B:$B,K77)&amp;""&lt;&gt;"",INDEX('Reguler Class Availability'!$I:$I,K77)&amp;""&lt;&gt;""),"Tutup","Tidak dibuka"),IF(IFERROR(--(INDEX('Reguler Class Availability'!$G:$G,K77)&amp;""),0)&gt;IFERROR(--(INDEX('Reguler Class Availability'!$F:$F,K77)&amp;""),0),"Lebih",IF(IFERROR(--(INDEX('Reguler Class Availability'!$G:$G,K77)&amp;""),0)=IFERROR(--(INDEX('Reguler Class Availability'!$F:$F,K77)&amp;""),0),"Penuh",IF(IFERROR(--(INDEX('Reguler Class Availability'!$G:$G,K77)&amp;""),0)=0,IF(INDEX('Reguler Class Availability'!$B:$B,K77)&amp;""="","Kosong","Belum terisi"),IF(IFERROR(--(INDEX('Reguler Class Availability'!$G:$G,K77)&amp;""),0)/IFERROR(--(INDEX('Reguler Class Availability'!$F:$F,K77)&amp;""),0)&gt;=0.6,"Tinggi","Sebagian"))))))</f>
        <v>Penuh</v>
      </c>
      <c r="T77" s="0" t="str">
        <f aca="false">IF(L77="","",IF(AND(IFERROR(--(INDEX('Reguler Class Availability'!$F:$F,L77)&amp;""),0)=0,IFERROR(--(INDEX('Reguler Class Availability'!$G:$G,L77)&amp;""),0)=0),IF(OR(INDEX('Reguler Class Availability'!$B:$B,L77)&amp;""&lt;&gt;"",INDEX('Reguler Class Availability'!$I:$I,L77)&amp;""&lt;&gt;""),"Tutup","Tidak dibuka"),IF(IFERROR(--(INDEX('Reguler Class Availability'!$G:$G,L77)&amp;""),0)&gt;IFERROR(--(INDEX('Reguler Class Availability'!$F:$F,L77)&amp;""),0),"Lebih",IF(IFERROR(--(INDEX('Reguler Class Availability'!$G:$G,L77)&amp;""),0)=IFERROR(--(INDEX('Reguler Class Availability'!$F:$F,L77)&amp;""),0),"Penuh",IF(IFERROR(--(INDEX('Reguler Class Availability'!$G:$G,L77)&amp;""),0)=0,IF(INDEX('Reguler Class Availability'!$B:$B,L77)&amp;""="","Kosong","Belum terisi"),IF(IFERROR(--(INDEX('Reguler Class Availability'!$G:$G,L77)&amp;""),0)/IFERROR(--(INDEX('Reguler Class Availability'!$F:$F,L77)&amp;""),0)&gt;=0.6,"Tinggi","Sebagian"))))))</f>
        <v>Penuh</v>
      </c>
      <c r="U77" s="0" t="str">
        <f aca="false">IF(M77="","",IF(AND(IFERROR(--(INDEX('Reguler Class Availability'!$F:$F,M77)&amp;""),0)=0,IFERROR(--(INDEX('Reguler Class Availability'!$G:$G,M77)&amp;""),0)=0),IF(OR(INDEX('Reguler Class Availability'!$B:$B,M77)&amp;""&lt;&gt;"",INDEX('Reguler Class Availability'!$I:$I,M77)&amp;""&lt;&gt;""),"Tutup","Tidak dibuka"),IF(IFERROR(--(INDEX('Reguler Class Availability'!$G:$G,M77)&amp;""),0)&gt;IFERROR(--(INDEX('Reguler Class Availability'!$F:$F,M77)&amp;""),0),"Lebih",IF(IFERROR(--(INDEX('Reguler Class Availability'!$G:$G,M77)&amp;""),0)=IFERROR(--(INDEX('Reguler Class Availability'!$F:$F,M77)&amp;""),0),"Penuh",IF(IFERROR(--(INDEX('Reguler Class Availability'!$G:$G,M77)&amp;""),0)=0,IF(INDEX('Reguler Class Availability'!$B:$B,M77)&amp;""="","Kosong","Belum terisi"),IF(IFERROR(--(INDEX('Reguler Class Availability'!$G:$G,M77)&amp;""),0)/IFERROR(--(INDEX('Reguler Class Availability'!$F:$F,M77)&amp;""),0)&gt;=0.6,"Tinggi","Sebagian"))))))</f>
        <v>Tinggi</v>
      </c>
      <c r="V77" s="0" t="str">
        <f aca="false">IF(N77="","",IF(AND(IFERROR(--(INDEX('Reguler Class Availability'!$F:$F,N77)&amp;""),0)=0,IFERROR(--(INDEX('Reguler Class Availability'!$G:$G,N77)&amp;""),0)=0),IF(OR(INDEX('Reguler Class Availability'!$B:$B,N77)&amp;""&lt;&gt;"",INDEX('Reguler Class Availability'!$I:$I,N77)&amp;""&lt;&gt;""),"Tutup","Tidak dibuka"),IF(IFERROR(--(INDEX('Reguler Class Availability'!$G:$G,N77)&amp;""),0)&gt;IFERROR(--(INDEX('Reguler Class Availability'!$F:$F,N77)&amp;""),0),"Lebih",IF(IFERROR(--(INDEX('Reguler Class Availability'!$G:$G,N77)&amp;""),0)=IFERROR(--(INDEX('Reguler Class Availability'!$F:$F,N77)&amp;""),0),"Penuh",IF(IFERROR(--(INDEX('Reguler Class Availability'!$G:$G,N77)&amp;""),0)=0,IF(INDEX('Reguler Class Availability'!$B:$B,N77)&amp;""="","Kosong","Belum terisi"),IF(IFERROR(--(INDEX('Reguler Class Availability'!$G:$G,N77)&amp;""),0)/IFERROR(--(INDEX('Reguler Class Availability'!$F:$F,N77)&amp;""),0)&gt;=0.6,"Tinggi","Sebagian"))))))</f>
        <v>Sebagian</v>
      </c>
      <c r="W77" s="0" t="str">
        <f aca="false">IF(O77="","",IF(AND(IFERROR(--(INDEX('Reguler Class Availability'!$F:$F,O77)&amp;""),0)=0,IFERROR(--(INDEX('Reguler Class Availability'!$G:$G,O77)&amp;""),0)=0),IF(OR(INDEX('Reguler Class Availability'!$B:$B,O77)&amp;""&lt;&gt;"",INDEX('Reguler Class Availability'!$I:$I,O77)&amp;""&lt;&gt;""),"Tutup","Tidak dibuka"),IF(IFERROR(--(INDEX('Reguler Class Availability'!$G:$G,O77)&amp;""),0)&gt;IFERROR(--(INDEX('Reguler Class Availability'!$F:$F,O77)&amp;""),0),"Lebih",IF(IFERROR(--(INDEX('Reguler Class Availability'!$G:$G,O77)&amp;""),0)=IFERROR(--(INDEX('Reguler Class Availability'!$F:$F,O77)&amp;""),0),"Penuh",IF(IFERROR(--(INDEX('Reguler Class Availability'!$G:$G,O77)&amp;""),0)=0,IF(INDEX('Reguler Class Availability'!$B:$B,O77)&amp;""="","Kosong","Belum terisi"),IF(IFERROR(--(INDEX('Reguler Class Availability'!$G:$G,O77)&amp;""),0)/IFERROR(--(INDEX('Reguler Class Availability'!$F:$F,O77)&amp;""),0)&gt;=0.6,"Tinggi","Sebagian"))))))</f>
        <v>Penuh</v>
      </c>
      <c r="X77" s="0" t="str">
        <f aca="false">IF(P77="","",IF(AND(IFERROR(--(INDEX('Reguler Class Availability'!$F:$F,P77)&amp;""),0)=0,IFERROR(--(INDEX('Reguler Class Availability'!$G:$G,P77)&amp;""),0)=0),IF(OR(INDEX('Reguler Class Availability'!$B:$B,P77)&amp;""&lt;&gt;"",INDEX('Reguler Class Availability'!$I:$I,P77)&amp;""&lt;&gt;""),"Tutup","Tidak dibuka"),IF(IFERROR(--(INDEX('Reguler Class Availability'!$G:$G,P77)&amp;""),0)&gt;IFERROR(--(INDEX('Reguler Class Availability'!$F:$F,P77)&amp;""),0),"Lebih",IF(IFERROR(--(INDEX('Reguler Class Availability'!$G:$G,P77)&amp;""),0)=IFERROR(--(INDEX('Reguler Class Availability'!$F:$F,P77)&amp;""),0),"Penuh",IF(IFERROR(--(INDEX('Reguler Class Availability'!$G:$G,P77)&amp;""),0)=0,IF(INDEX('Reguler Class Availability'!$B:$B,P77)&amp;""="","Kosong","Belum terisi"),IF(IFERROR(--(INDEX('Reguler Class Availability'!$G:$G,P77)&amp;""),0)/IFERROR(--(INDEX('Reguler Class Availability'!$F:$F,P77)&amp;""),0)&gt;=0.6,"Tinggi","Sebagian"))))))</f>
        <v>Penuh</v>
      </c>
      <c r="Z77" s="4" t="s">
        <v>50</v>
      </c>
      <c r="AA77" s="4" t="n">
        <f aca="false">IF(COUNTIFS('Reguler Class Availability'!$L:$L,$B$4&amp;"|- Lane 2 - *|"&amp;Z77)&gt;0,1,0)</f>
        <v>1</v>
      </c>
      <c r="AB77" s="4" t="n">
        <f aca="false">AA77+AB76</f>
        <v>3</v>
      </c>
    </row>
    <row r="78" customFormat="false" ht="39.75" hidden="false" customHeight="true" outlineLevel="0" collapsed="false">
      <c r="A78" s="39" t="str">
        <f aca="false">IFERROR(INDEX($Z$182:$Z$241,MATCH(9,$AB$182:$AB$241,0)),"")</f>
        <v>14:45</v>
      </c>
      <c r="B78" s="40" t="str">
        <f aca="false">IF(J78="","",IF(R78="Tidak dibuka","–",IF(INDEX('Reguler Class Availability'!$B:$B,J78)&amp;""="","Kosong",PROPER(INDEX('Reguler Class Availability'!$B:$B,J78)&amp;""))&amp;"  "&amp;IFERROR(--(INDEX('Reguler Class Availability'!$G:$G,J78)&amp;""),0)&amp;"/"&amp;IFERROR(--(INDEX('Reguler Class Availability'!$F:$F,J78)&amp;""),0)&amp;IF(IFERROR(--(INDEX('Reguler Class Availability'!$F:$F,J78)&amp;""),0)&gt;0,"  ("&amp;TEXT(IFERROR(--(INDEX('Reguler Class Availability'!$G:$G,J78)&amp;""),0)/IFERROR(--(INDEX('Reguler Class Availability'!$F:$F,J78)&amp;""),0),"0%")&amp;")","")&amp;CHAR(10)&amp;IF(INDEX('Reguler Class Availability'!$I:$I,J78)&amp;""="","coach: –",PROPER(INDEX('Reguler Class Availability'!$I:$I,J78)&amp;""))&amp;IF(INDEX('Reguler Class Availability'!$J:$J,J78)&amp;""="","",CHAR(10)&amp;"asst: "&amp;PROPER(INDEX('Reguler Class Availability'!$J:$J,J78)&amp;""))))</f>
        <v>Kids  4/4  (100%)
Danti</v>
      </c>
      <c r="C78" s="40" t="str">
        <f aca="false">IF(K78="","",IF(S78="Tidak dibuka","–",IF(INDEX('Reguler Class Availability'!$B:$B,K78)&amp;""="","Kosong",PROPER(INDEX('Reguler Class Availability'!$B:$B,K78)&amp;""))&amp;"  "&amp;IFERROR(--(INDEX('Reguler Class Availability'!$G:$G,K78)&amp;""),0)&amp;"/"&amp;IFERROR(--(INDEX('Reguler Class Availability'!$F:$F,K78)&amp;""),0)&amp;IF(IFERROR(--(INDEX('Reguler Class Availability'!$F:$F,K78)&amp;""),0)&gt;0,"  ("&amp;TEXT(IFERROR(--(INDEX('Reguler Class Availability'!$G:$G,K78)&amp;""),0)/IFERROR(--(INDEX('Reguler Class Availability'!$F:$F,K78)&amp;""),0),"0%")&amp;")","")&amp;CHAR(10)&amp;IF(INDEX('Reguler Class Availability'!$I:$I,K78)&amp;""="","coach: –",PROPER(INDEX('Reguler Class Availability'!$I:$I,K78)&amp;""))&amp;IF(INDEX('Reguler Class Availability'!$J:$J,K78)&amp;""="","",CHAR(10)&amp;"asst: "&amp;PROPER(INDEX('Reguler Class Availability'!$J:$J,K78)&amp;""))))</f>
        <v>Kids  4/4  (100%)
Dian</v>
      </c>
      <c r="D78" s="40" t="str">
        <f aca="false">IF(L78="","",IF(T78="Tidak dibuka","–",IF(INDEX('Reguler Class Availability'!$B:$B,L78)&amp;""="","Kosong",PROPER(INDEX('Reguler Class Availability'!$B:$B,L78)&amp;""))&amp;"  "&amp;IFERROR(--(INDEX('Reguler Class Availability'!$G:$G,L78)&amp;""),0)&amp;"/"&amp;IFERROR(--(INDEX('Reguler Class Availability'!$F:$F,L78)&amp;""),0)&amp;IF(IFERROR(--(INDEX('Reguler Class Availability'!$F:$F,L78)&amp;""),0)&gt;0,"  ("&amp;TEXT(IFERROR(--(INDEX('Reguler Class Availability'!$G:$G,L78)&amp;""),0)/IFERROR(--(INDEX('Reguler Class Availability'!$F:$F,L78)&amp;""),0),"0%")&amp;")","")&amp;CHAR(10)&amp;IF(INDEX('Reguler Class Availability'!$I:$I,L78)&amp;""="","coach: –",PROPER(INDEX('Reguler Class Availability'!$I:$I,L78)&amp;""))&amp;IF(INDEX('Reguler Class Availability'!$J:$J,L78)&amp;""="","",CHAR(10)&amp;"asst: "&amp;PROPER(INDEX('Reguler Class Availability'!$J:$J,L78)&amp;""))))</f>
        <v>Kids  4/4  (100%)
Danti</v>
      </c>
      <c r="E78" s="40" t="str">
        <f aca="false">IF(M78="","",IF(U78="Tidak dibuka","–",IF(INDEX('Reguler Class Availability'!$B:$B,M78)&amp;""="","Kosong",PROPER(INDEX('Reguler Class Availability'!$B:$B,M78)&amp;""))&amp;"  "&amp;IFERROR(--(INDEX('Reguler Class Availability'!$G:$G,M78)&amp;""),0)&amp;"/"&amp;IFERROR(--(INDEX('Reguler Class Availability'!$F:$F,M78)&amp;""),0)&amp;IF(IFERROR(--(INDEX('Reguler Class Availability'!$F:$F,M78)&amp;""),0)&gt;0,"  ("&amp;TEXT(IFERROR(--(INDEX('Reguler Class Availability'!$G:$G,M78)&amp;""),0)/IFERROR(--(INDEX('Reguler Class Availability'!$F:$F,M78)&amp;""),0),"0%")&amp;")","")&amp;CHAR(10)&amp;IF(INDEX('Reguler Class Availability'!$I:$I,M78)&amp;""="","coach: –",PROPER(INDEX('Reguler Class Availability'!$I:$I,M78)&amp;""))&amp;IF(INDEX('Reguler Class Availability'!$J:$J,M78)&amp;""="","",CHAR(10)&amp;"asst: "&amp;PROPER(INDEX('Reguler Class Availability'!$J:$J,M78)&amp;""))))</f>
        <v>Kids  0/0
coach: –</v>
      </c>
      <c r="F78" s="40" t="str">
        <f aca="false">IF(N78="","",IF(V78="Tidak dibuka","–",IF(INDEX('Reguler Class Availability'!$B:$B,N78)&amp;""="","Kosong",PROPER(INDEX('Reguler Class Availability'!$B:$B,N78)&amp;""))&amp;"  "&amp;IFERROR(--(INDEX('Reguler Class Availability'!$G:$G,N78)&amp;""),0)&amp;"/"&amp;IFERROR(--(INDEX('Reguler Class Availability'!$F:$F,N78)&amp;""),0)&amp;IF(IFERROR(--(INDEX('Reguler Class Availability'!$F:$F,N78)&amp;""),0)&gt;0,"  ("&amp;TEXT(IFERROR(--(INDEX('Reguler Class Availability'!$G:$G,N78)&amp;""),0)/IFERROR(--(INDEX('Reguler Class Availability'!$F:$F,N78)&amp;""),0),"0%")&amp;")","")&amp;CHAR(10)&amp;IF(INDEX('Reguler Class Availability'!$I:$I,N78)&amp;""="","coach: –",PROPER(INDEX('Reguler Class Availability'!$I:$I,N78)&amp;""))&amp;IF(INDEX('Reguler Class Availability'!$J:$J,N78)&amp;""="","",CHAR(10)&amp;"asst: "&amp;PROPER(INDEX('Reguler Class Availability'!$J:$J,N78)&amp;""))))</f>
        <v>Kids  4/4  (100%)
Rischa</v>
      </c>
      <c r="G78" s="40" t="str">
        <f aca="false">IF(O78="","",IF(W78="Tidak dibuka","–",IF(INDEX('Reguler Class Availability'!$B:$B,O78)&amp;""="","Kosong",PROPER(INDEX('Reguler Class Availability'!$B:$B,O78)&amp;""))&amp;"  "&amp;IFERROR(--(INDEX('Reguler Class Availability'!$G:$G,O78)&amp;""),0)&amp;"/"&amp;IFERROR(--(INDEX('Reguler Class Availability'!$F:$F,O78)&amp;""),0)&amp;IF(IFERROR(--(INDEX('Reguler Class Availability'!$F:$F,O78)&amp;""),0)&gt;0,"  ("&amp;TEXT(IFERROR(--(INDEX('Reguler Class Availability'!$G:$G,O78)&amp;""),0)/IFERROR(--(INDEX('Reguler Class Availability'!$F:$F,O78)&amp;""),0),"0%")&amp;")","")&amp;CHAR(10)&amp;IF(INDEX('Reguler Class Availability'!$I:$I,O78)&amp;""="","coach: –",PROPER(INDEX('Reguler Class Availability'!$I:$I,O78)&amp;""))&amp;IF(INDEX('Reguler Class Availability'!$J:$J,O78)&amp;""="","",CHAR(10)&amp;"asst: "&amp;PROPER(INDEX('Reguler Class Availability'!$J:$J,O78)&amp;""))))</f>
        <v>Kids  4/4  (100%)
Surya</v>
      </c>
      <c r="H78" s="40" t="str">
        <f aca="false">IF(P78="","",IF(X78="Tidak dibuka","–",IF(INDEX('Reguler Class Availability'!$B:$B,P78)&amp;""="","Kosong",PROPER(INDEX('Reguler Class Availability'!$B:$B,P78)&amp;""))&amp;"  "&amp;IFERROR(--(INDEX('Reguler Class Availability'!$G:$G,P78)&amp;""),0)&amp;"/"&amp;IFERROR(--(INDEX('Reguler Class Availability'!$F:$F,P78)&amp;""),0)&amp;IF(IFERROR(--(INDEX('Reguler Class Availability'!$F:$F,P78)&amp;""),0)&gt;0,"  ("&amp;TEXT(IFERROR(--(INDEX('Reguler Class Availability'!$G:$G,P78)&amp;""),0)/IFERROR(--(INDEX('Reguler Class Availability'!$F:$F,P78)&amp;""),0),"0%")&amp;")","")&amp;CHAR(10)&amp;IF(INDEX('Reguler Class Availability'!$I:$I,P78)&amp;""="","coach: –",PROPER(INDEX('Reguler Class Availability'!$I:$I,P78)&amp;""))&amp;IF(INDEX('Reguler Class Availability'!$J:$J,P78)&amp;""="","",CHAR(10)&amp;"asst: "&amp;PROPER(INDEX('Reguler Class Availability'!$J:$J,P78)&amp;""))))</f>
        <v>Kids  4/4  (100%)
Dian</v>
      </c>
      <c r="J78" s="4" t="n">
        <f aca="false">IF($A78="","",IFERROR(MATCH($B$4&amp;"|- Lane 4 - "&amp;B$69&amp;"|"&amp;$A78,'Reguler Class Availability'!$L:$L,0),""))</f>
        <v>276</v>
      </c>
      <c r="K78" s="4" t="n">
        <f aca="false">IF($A78="","",IFERROR(MATCH($B$4&amp;"|- Lane 4 - "&amp;C$69&amp;"|"&amp;$A78,'Reguler Class Availability'!$L:$L,0),""))</f>
        <v>288</v>
      </c>
      <c r="L78" s="4" t="n">
        <f aca="false">IF($A78="","",IFERROR(MATCH($B$4&amp;"|- Lane 4 - "&amp;D$69&amp;"|"&amp;$A78,'Reguler Class Availability'!$L:$L,0),""))</f>
        <v>300</v>
      </c>
      <c r="M78" s="4" t="n">
        <f aca="false">IF($A78="","",IFERROR(MATCH($B$4&amp;"|- Lane 4 - "&amp;E$69&amp;"|"&amp;$A78,'Reguler Class Availability'!$L:$L,0),""))</f>
        <v>312</v>
      </c>
      <c r="N78" s="4" t="n">
        <f aca="false">IF($A78="","",IFERROR(MATCH($B$4&amp;"|- Lane 4 - "&amp;F$69&amp;"|"&amp;$A78,'Reguler Class Availability'!$L:$L,0),""))</f>
        <v>324</v>
      </c>
      <c r="O78" s="4" t="n">
        <f aca="false">IF($A78="","",IFERROR(MATCH($B$4&amp;"|- Lane 4 - "&amp;G$69&amp;"|"&amp;$A78,'Reguler Class Availability'!$L:$L,0),""))</f>
        <v>336</v>
      </c>
      <c r="P78" s="4" t="n">
        <f aca="false">IF($A78="","",IFERROR(MATCH($B$4&amp;"|- Lane 4 - "&amp;H$69&amp;"|"&amp;$A78,'Reguler Class Availability'!$L:$L,0),""))</f>
        <v>348</v>
      </c>
      <c r="R78" s="0" t="str">
        <f aca="false">IF(J78="","",IF(AND(IFERROR(--(INDEX('Reguler Class Availability'!$F:$F,J78)&amp;""),0)=0,IFERROR(--(INDEX('Reguler Class Availability'!$G:$G,J78)&amp;""),0)=0),IF(OR(INDEX('Reguler Class Availability'!$B:$B,J78)&amp;""&lt;&gt;"",INDEX('Reguler Class Availability'!$I:$I,J78)&amp;""&lt;&gt;""),"Tutup","Tidak dibuka"),IF(IFERROR(--(INDEX('Reguler Class Availability'!$G:$G,J78)&amp;""),0)&gt;IFERROR(--(INDEX('Reguler Class Availability'!$F:$F,J78)&amp;""),0),"Lebih",IF(IFERROR(--(INDEX('Reguler Class Availability'!$G:$G,J78)&amp;""),0)=IFERROR(--(INDEX('Reguler Class Availability'!$F:$F,J78)&amp;""),0),"Penuh",IF(IFERROR(--(INDEX('Reguler Class Availability'!$G:$G,J78)&amp;""),0)=0,IF(INDEX('Reguler Class Availability'!$B:$B,J78)&amp;""="","Kosong","Belum terisi"),IF(IFERROR(--(INDEX('Reguler Class Availability'!$G:$G,J78)&amp;""),0)/IFERROR(--(INDEX('Reguler Class Availability'!$F:$F,J78)&amp;""),0)&gt;=0.6,"Tinggi","Sebagian"))))))</f>
        <v>Penuh</v>
      </c>
      <c r="S78" s="0" t="str">
        <f aca="false">IF(K78="","",IF(AND(IFERROR(--(INDEX('Reguler Class Availability'!$F:$F,K78)&amp;""),0)=0,IFERROR(--(INDEX('Reguler Class Availability'!$G:$G,K78)&amp;""),0)=0),IF(OR(INDEX('Reguler Class Availability'!$B:$B,K78)&amp;""&lt;&gt;"",INDEX('Reguler Class Availability'!$I:$I,K78)&amp;""&lt;&gt;""),"Tutup","Tidak dibuka"),IF(IFERROR(--(INDEX('Reguler Class Availability'!$G:$G,K78)&amp;""),0)&gt;IFERROR(--(INDEX('Reguler Class Availability'!$F:$F,K78)&amp;""),0),"Lebih",IF(IFERROR(--(INDEX('Reguler Class Availability'!$G:$G,K78)&amp;""),0)=IFERROR(--(INDEX('Reguler Class Availability'!$F:$F,K78)&amp;""),0),"Penuh",IF(IFERROR(--(INDEX('Reguler Class Availability'!$G:$G,K78)&amp;""),0)=0,IF(INDEX('Reguler Class Availability'!$B:$B,K78)&amp;""="","Kosong","Belum terisi"),IF(IFERROR(--(INDEX('Reguler Class Availability'!$G:$G,K78)&amp;""),0)/IFERROR(--(INDEX('Reguler Class Availability'!$F:$F,K78)&amp;""),0)&gt;=0.6,"Tinggi","Sebagian"))))))</f>
        <v>Penuh</v>
      </c>
      <c r="T78" s="0" t="str">
        <f aca="false">IF(L78="","",IF(AND(IFERROR(--(INDEX('Reguler Class Availability'!$F:$F,L78)&amp;""),0)=0,IFERROR(--(INDEX('Reguler Class Availability'!$G:$G,L78)&amp;""),0)=0),IF(OR(INDEX('Reguler Class Availability'!$B:$B,L78)&amp;""&lt;&gt;"",INDEX('Reguler Class Availability'!$I:$I,L78)&amp;""&lt;&gt;""),"Tutup","Tidak dibuka"),IF(IFERROR(--(INDEX('Reguler Class Availability'!$G:$G,L78)&amp;""),0)&gt;IFERROR(--(INDEX('Reguler Class Availability'!$F:$F,L78)&amp;""),0),"Lebih",IF(IFERROR(--(INDEX('Reguler Class Availability'!$G:$G,L78)&amp;""),0)=IFERROR(--(INDEX('Reguler Class Availability'!$F:$F,L78)&amp;""),0),"Penuh",IF(IFERROR(--(INDEX('Reguler Class Availability'!$G:$G,L78)&amp;""),0)=0,IF(INDEX('Reguler Class Availability'!$B:$B,L78)&amp;""="","Kosong","Belum terisi"),IF(IFERROR(--(INDEX('Reguler Class Availability'!$G:$G,L78)&amp;""),0)/IFERROR(--(INDEX('Reguler Class Availability'!$F:$F,L78)&amp;""),0)&gt;=0.6,"Tinggi","Sebagian"))))))</f>
        <v>Penuh</v>
      </c>
      <c r="U78" s="0" t="str">
        <f aca="false">IF(M78="","",IF(AND(IFERROR(--(INDEX('Reguler Class Availability'!$F:$F,M78)&amp;""),0)=0,IFERROR(--(INDEX('Reguler Class Availability'!$G:$G,M78)&amp;""),0)=0),IF(OR(INDEX('Reguler Class Availability'!$B:$B,M78)&amp;""&lt;&gt;"",INDEX('Reguler Class Availability'!$I:$I,M78)&amp;""&lt;&gt;""),"Tutup","Tidak dibuka"),IF(IFERROR(--(INDEX('Reguler Class Availability'!$G:$G,M78)&amp;""),0)&gt;IFERROR(--(INDEX('Reguler Class Availability'!$F:$F,M78)&amp;""),0),"Lebih",IF(IFERROR(--(INDEX('Reguler Class Availability'!$G:$G,M78)&amp;""),0)=IFERROR(--(INDEX('Reguler Class Availability'!$F:$F,M78)&amp;""),0),"Penuh",IF(IFERROR(--(INDEX('Reguler Class Availability'!$G:$G,M78)&amp;""),0)=0,IF(INDEX('Reguler Class Availability'!$B:$B,M78)&amp;""="","Kosong","Belum terisi"),IF(IFERROR(--(INDEX('Reguler Class Availability'!$G:$G,M78)&amp;""),0)/IFERROR(--(INDEX('Reguler Class Availability'!$F:$F,M78)&amp;""),0)&gt;=0.6,"Tinggi","Sebagian"))))))</f>
        <v>Tutup</v>
      </c>
      <c r="V78" s="0" t="str">
        <f aca="false">IF(N78="","",IF(AND(IFERROR(--(INDEX('Reguler Class Availability'!$F:$F,N78)&amp;""),0)=0,IFERROR(--(INDEX('Reguler Class Availability'!$G:$G,N78)&amp;""),0)=0),IF(OR(INDEX('Reguler Class Availability'!$B:$B,N78)&amp;""&lt;&gt;"",INDEX('Reguler Class Availability'!$I:$I,N78)&amp;""&lt;&gt;""),"Tutup","Tidak dibuka"),IF(IFERROR(--(INDEX('Reguler Class Availability'!$G:$G,N78)&amp;""),0)&gt;IFERROR(--(INDEX('Reguler Class Availability'!$F:$F,N78)&amp;""),0),"Lebih",IF(IFERROR(--(INDEX('Reguler Class Availability'!$G:$G,N78)&amp;""),0)=IFERROR(--(INDEX('Reguler Class Availability'!$F:$F,N78)&amp;""),0),"Penuh",IF(IFERROR(--(INDEX('Reguler Class Availability'!$G:$G,N78)&amp;""),0)=0,IF(INDEX('Reguler Class Availability'!$B:$B,N78)&amp;""="","Kosong","Belum terisi"),IF(IFERROR(--(INDEX('Reguler Class Availability'!$G:$G,N78)&amp;""),0)/IFERROR(--(INDEX('Reguler Class Availability'!$F:$F,N78)&amp;""),0)&gt;=0.6,"Tinggi","Sebagian"))))))</f>
        <v>Penuh</v>
      </c>
      <c r="W78" s="0" t="str">
        <f aca="false">IF(O78="","",IF(AND(IFERROR(--(INDEX('Reguler Class Availability'!$F:$F,O78)&amp;""),0)=0,IFERROR(--(INDEX('Reguler Class Availability'!$G:$G,O78)&amp;""),0)=0),IF(OR(INDEX('Reguler Class Availability'!$B:$B,O78)&amp;""&lt;&gt;"",INDEX('Reguler Class Availability'!$I:$I,O78)&amp;""&lt;&gt;""),"Tutup","Tidak dibuka"),IF(IFERROR(--(INDEX('Reguler Class Availability'!$G:$G,O78)&amp;""),0)&gt;IFERROR(--(INDEX('Reguler Class Availability'!$F:$F,O78)&amp;""),0),"Lebih",IF(IFERROR(--(INDEX('Reguler Class Availability'!$G:$G,O78)&amp;""),0)=IFERROR(--(INDEX('Reguler Class Availability'!$F:$F,O78)&amp;""),0),"Penuh",IF(IFERROR(--(INDEX('Reguler Class Availability'!$G:$G,O78)&amp;""),0)=0,IF(INDEX('Reguler Class Availability'!$B:$B,O78)&amp;""="","Kosong","Belum terisi"),IF(IFERROR(--(INDEX('Reguler Class Availability'!$G:$G,O78)&amp;""),0)/IFERROR(--(INDEX('Reguler Class Availability'!$F:$F,O78)&amp;""),0)&gt;=0.6,"Tinggi","Sebagian"))))))</f>
        <v>Penuh</v>
      </c>
      <c r="X78" s="0" t="str">
        <f aca="false">IF(P78="","",IF(AND(IFERROR(--(INDEX('Reguler Class Availability'!$F:$F,P78)&amp;""),0)=0,IFERROR(--(INDEX('Reguler Class Availability'!$G:$G,P78)&amp;""),0)=0),IF(OR(INDEX('Reguler Class Availability'!$B:$B,P78)&amp;""&lt;&gt;"",INDEX('Reguler Class Availability'!$I:$I,P78)&amp;""&lt;&gt;""),"Tutup","Tidak dibuka"),IF(IFERROR(--(INDEX('Reguler Class Availability'!$G:$G,P78)&amp;""),0)&gt;IFERROR(--(INDEX('Reguler Class Availability'!$F:$F,P78)&amp;""),0),"Lebih",IF(IFERROR(--(INDEX('Reguler Class Availability'!$G:$G,P78)&amp;""),0)=IFERROR(--(INDEX('Reguler Class Availability'!$F:$F,P78)&amp;""),0),"Penuh",IF(IFERROR(--(INDEX('Reguler Class Availability'!$G:$G,P78)&amp;""),0)=0,IF(INDEX('Reguler Class Availability'!$B:$B,P78)&amp;""="","Kosong","Belum terisi"),IF(IFERROR(--(INDEX('Reguler Class Availability'!$G:$G,P78)&amp;""),0)/IFERROR(--(INDEX('Reguler Class Availability'!$F:$F,P78)&amp;""),0)&gt;=0.6,"Tinggi","Sebagian"))))))</f>
        <v>Penuh</v>
      </c>
      <c r="Z78" s="4" t="s">
        <v>51</v>
      </c>
      <c r="AA78" s="4" t="n">
        <f aca="false">IF(COUNTIFS('Reguler Class Availability'!$L:$L,$B$4&amp;"|- Lane 2 - *|"&amp;Z78)&gt;0,1,0)</f>
        <v>0</v>
      </c>
      <c r="AB78" s="4" t="n">
        <f aca="false">AA78+AB77</f>
        <v>3</v>
      </c>
    </row>
    <row r="79" customFormat="false" ht="39.75" hidden="false" customHeight="true" outlineLevel="0" collapsed="false">
      <c r="A79" s="39" t="str">
        <f aca="false">IFERROR(INDEX($Z$182:$Z$241,MATCH(10,$AB$182:$AB$241,0)),"")</f>
        <v>15:30</v>
      </c>
      <c r="B79" s="40" t="str">
        <f aca="false">IF(J79="","",IF(R79="Tidak dibuka","–",IF(INDEX('Reguler Class Availability'!$B:$B,J79)&amp;""="","Kosong",PROPER(INDEX('Reguler Class Availability'!$B:$B,J79)&amp;""))&amp;"  "&amp;IFERROR(--(INDEX('Reguler Class Availability'!$G:$G,J79)&amp;""),0)&amp;"/"&amp;IFERROR(--(INDEX('Reguler Class Availability'!$F:$F,J79)&amp;""),0)&amp;IF(IFERROR(--(INDEX('Reguler Class Availability'!$F:$F,J79)&amp;""),0)&gt;0,"  ("&amp;TEXT(IFERROR(--(INDEX('Reguler Class Availability'!$G:$G,J79)&amp;""),0)/IFERROR(--(INDEX('Reguler Class Availability'!$F:$F,J79)&amp;""),0),"0%")&amp;")","")&amp;CHAR(10)&amp;IF(INDEX('Reguler Class Availability'!$I:$I,J79)&amp;""="","coach: –",PROPER(INDEX('Reguler Class Availability'!$I:$I,J79)&amp;""))&amp;IF(INDEX('Reguler Class Availability'!$J:$J,J79)&amp;""="","",CHAR(10)&amp;"asst: "&amp;PROPER(INDEX('Reguler Class Availability'!$J:$J,J79)&amp;""))))</f>
        <v>Kids  2/4  (50%)
Zidane</v>
      </c>
      <c r="C79" s="40" t="str">
        <f aca="false">IF(K79="","",IF(S79="Tidak dibuka","–",IF(INDEX('Reguler Class Availability'!$B:$B,K79)&amp;""="","Kosong",PROPER(INDEX('Reguler Class Availability'!$B:$B,K79)&amp;""))&amp;"  "&amp;IFERROR(--(INDEX('Reguler Class Availability'!$G:$G,K79)&amp;""),0)&amp;"/"&amp;IFERROR(--(INDEX('Reguler Class Availability'!$F:$F,K79)&amp;""),0)&amp;IF(IFERROR(--(INDEX('Reguler Class Availability'!$F:$F,K79)&amp;""),0)&gt;0,"  ("&amp;TEXT(IFERROR(--(INDEX('Reguler Class Availability'!$G:$G,K79)&amp;""),0)/IFERROR(--(INDEX('Reguler Class Availability'!$F:$F,K79)&amp;""),0),"0%")&amp;")","")&amp;CHAR(10)&amp;IF(INDEX('Reguler Class Availability'!$I:$I,K79)&amp;""="","coach: –",PROPER(INDEX('Reguler Class Availability'!$I:$I,K79)&amp;""))&amp;IF(INDEX('Reguler Class Availability'!$J:$J,K79)&amp;""="","",CHAR(10)&amp;"asst: "&amp;PROPER(INDEX('Reguler Class Availability'!$J:$J,K79)&amp;""))))</f>
        <v>Kids  4/0
Zidane</v>
      </c>
      <c r="D79" s="40" t="str">
        <f aca="false">IF(L79="","",IF(T79="Tidak dibuka","–",IF(INDEX('Reguler Class Availability'!$B:$B,L79)&amp;""="","Kosong",PROPER(INDEX('Reguler Class Availability'!$B:$B,L79)&amp;""))&amp;"  "&amp;IFERROR(--(INDEX('Reguler Class Availability'!$G:$G,L79)&amp;""),0)&amp;"/"&amp;IFERROR(--(INDEX('Reguler Class Availability'!$F:$F,L79)&amp;""),0)&amp;IF(IFERROR(--(INDEX('Reguler Class Availability'!$F:$F,L79)&amp;""),0)&gt;0,"  ("&amp;TEXT(IFERROR(--(INDEX('Reguler Class Availability'!$G:$G,L79)&amp;""),0)/IFERROR(--(INDEX('Reguler Class Availability'!$F:$F,L79)&amp;""),0),"0%")&amp;")","")&amp;CHAR(10)&amp;IF(INDEX('Reguler Class Availability'!$I:$I,L79)&amp;""="","coach: –",PROPER(INDEX('Reguler Class Availability'!$I:$I,L79)&amp;""))&amp;IF(INDEX('Reguler Class Availability'!$J:$J,L79)&amp;""="","",CHAR(10)&amp;"asst: "&amp;PROPER(INDEX('Reguler Class Availability'!$J:$J,L79)&amp;""))))</f>
        <v>Kids  4/4  (100%)
Danti</v>
      </c>
      <c r="E79" s="40" t="str">
        <f aca="false">IF(M79="","",IF(U79="Tidak dibuka","–",IF(INDEX('Reguler Class Availability'!$B:$B,M79)&amp;""="","Kosong",PROPER(INDEX('Reguler Class Availability'!$B:$B,M79)&amp;""))&amp;"  "&amp;IFERROR(--(INDEX('Reguler Class Availability'!$G:$G,M79)&amp;""),0)&amp;"/"&amp;IFERROR(--(INDEX('Reguler Class Availability'!$F:$F,M79)&amp;""),0)&amp;IF(IFERROR(--(INDEX('Reguler Class Availability'!$F:$F,M79)&amp;""),0)&gt;0,"  ("&amp;TEXT(IFERROR(--(INDEX('Reguler Class Availability'!$G:$G,M79)&amp;""),0)/IFERROR(--(INDEX('Reguler Class Availability'!$F:$F,M79)&amp;""),0),"0%")&amp;")","")&amp;CHAR(10)&amp;IF(INDEX('Reguler Class Availability'!$I:$I,M79)&amp;""="","coach: –",PROPER(INDEX('Reguler Class Availability'!$I:$I,M79)&amp;""))&amp;IF(INDEX('Reguler Class Availability'!$J:$J,M79)&amp;""="","",CHAR(10)&amp;"asst: "&amp;PROPER(INDEX('Reguler Class Availability'!$J:$J,M79)&amp;""))))</f>
        <v>Kids  3/4  (75%)
Eka</v>
      </c>
      <c r="F79" s="40" t="str">
        <f aca="false">IF(N79="","",IF(V79="Tidak dibuka","–",IF(INDEX('Reguler Class Availability'!$B:$B,N79)&amp;""="","Kosong",PROPER(INDEX('Reguler Class Availability'!$B:$B,N79)&amp;""))&amp;"  "&amp;IFERROR(--(INDEX('Reguler Class Availability'!$G:$G,N79)&amp;""),0)&amp;"/"&amp;IFERROR(--(INDEX('Reguler Class Availability'!$F:$F,N79)&amp;""),0)&amp;IF(IFERROR(--(INDEX('Reguler Class Availability'!$F:$F,N79)&amp;""),0)&gt;0,"  ("&amp;TEXT(IFERROR(--(INDEX('Reguler Class Availability'!$G:$G,N79)&amp;""),0)/IFERROR(--(INDEX('Reguler Class Availability'!$F:$F,N79)&amp;""),0),"0%")&amp;")","")&amp;CHAR(10)&amp;IF(INDEX('Reguler Class Availability'!$I:$I,N79)&amp;""="","coach: –",PROPER(INDEX('Reguler Class Availability'!$I:$I,N79)&amp;""))&amp;IF(INDEX('Reguler Class Availability'!$J:$J,N79)&amp;""="","",CHAR(10)&amp;"asst: "&amp;PROPER(INDEX('Reguler Class Availability'!$J:$J,N79)&amp;""))))</f>
        <v>Kids  3/0
Daffa</v>
      </c>
      <c r="G79" s="40" t="str">
        <f aca="false">IF(O79="","",IF(W79="Tidak dibuka","–",IF(INDEX('Reguler Class Availability'!$B:$B,O79)&amp;""="","Kosong",PROPER(INDEX('Reguler Class Availability'!$B:$B,O79)&amp;""))&amp;"  "&amp;IFERROR(--(INDEX('Reguler Class Availability'!$G:$G,O79)&amp;""),0)&amp;"/"&amp;IFERROR(--(INDEX('Reguler Class Availability'!$F:$F,O79)&amp;""),0)&amp;IF(IFERROR(--(INDEX('Reguler Class Availability'!$F:$F,O79)&amp;""),0)&gt;0,"  ("&amp;TEXT(IFERROR(--(INDEX('Reguler Class Availability'!$G:$G,O79)&amp;""),0)/IFERROR(--(INDEX('Reguler Class Availability'!$F:$F,O79)&amp;""),0),"0%")&amp;")","")&amp;CHAR(10)&amp;IF(INDEX('Reguler Class Availability'!$I:$I,O79)&amp;""="","coach: –",PROPER(INDEX('Reguler Class Availability'!$I:$I,O79)&amp;""))&amp;IF(INDEX('Reguler Class Availability'!$J:$J,O79)&amp;""="","",CHAR(10)&amp;"asst: "&amp;PROPER(INDEX('Reguler Class Availability'!$J:$J,O79)&amp;""))))</f>
        <v>Kids  3/4  (75%)
Dian</v>
      </c>
      <c r="H79" s="40" t="str">
        <f aca="false">IF(P79="","",IF(X79="Tidak dibuka","–",IF(INDEX('Reguler Class Availability'!$B:$B,P79)&amp;""="","Kosong",PROPER(INDEX('Reguler Class Availability'!$B:$B,P79)&amp;""))&amp;"  "&amp;IFERROR(--(INDEX('Reguler Class Availability'!$G:$G,P79)&amp;""),0)&amp;"/"&amp;IFERROR(--(INDEX('Reguler Class Availability'!$F:$F,P79)&amp;""),0)&amp;IF(IFERROR(--(INDEX('Reguler Class Availability'!$F:$F,P79)&amp;""),0)&gt;0,"  ("&amp;TEXT(IFERROR(--(INDEX('Reguler Class Availability'!$G:$G,P79)&amp;""),0)/IFERROR(--(INDEX('Reguler Class Availability'!$F:$F,P79)&amp;""),0),"0%")&amp;")","")&amp;CHAR(10)&amp;IF(INDEX('Reguler Class Availability'!$I:$I,P79)&amp;""="","coach: –",PROPER(INDEX('Reguler Class Availability'!$I:$I,P79)&amp;""))&amp;IF(INDEX('Reguler Class Availability'!$J:$J,P79)&amp;""="","",CHAR(10)&amp;"asst: "&amp;PROPER(INDEX('Reguler Class Availability'!$J:$J,P79)&amp;""))))</f>
        <v>Kids  4/4  (100%)
Surya</v>
      </c>
      <c r="J79" s="4" t="n">
        <f aca="false">IF($A79="","",IFERROR(MATCH($B$4&amp;"|- Lane 4 - "&amp;B$69&amp;"|"&amp;$A79,'Reguler Class Availability'!$L:$L,0),""))</f>
        <v>277</v>
      </c>
      <c r="K79" s="4" t="n">
        <f aca="false">IF($A79="","",IFERROR(MATCH($B$4&amp;"|- Lane 4 - "&amp;C$69&amp;"|"&amp;$A79,'Reguler Class Availability'!$L:$L,0),""))</f>
        <v>289</v>
      </c>
      <c r="L79" s="4" t="n">
        <f aca="false">IF($A79="","",IFERROR(MATCH($B$4&amp;"|- Lane 4 - "&amp;D$69&amp;"|"&amp;$A79,'Reguler Class Availability'!$L:$L,0),""))</f>
        <v>301</v>
      </c>
      <c r="M79" s="4" t="n">
        <f aca="false">IF($A79="","",IFERROR(MATCH($B$4&amp;"|- Lane 4 - "&amp;E$69&amp;"|"&amp;$A79,'Reguler Class Availability'!$L:$L,0),""))</f>
        <v>313</v>
      </c>
      <c r="N79" s="4" t="n">
        <f aca="false">IF($A79="","",IFERROR(MATCH($B$4&amp;"|- Lane 4 - "&amp;F$69&amp;"|"&amp;$A79,'Reguler Class Availability'!$L:$L,0),""))</f>
        <v>325</v>
      </c>
      <c r="O79" s="4" t="n">
        <f aca="false">IF($A79="","",IFERROR(MATCH($B$4&amp;"|- Lane 4 - "&amp;G$69&amp;"|"&amp;$A79,'Reguler Class Availability'!$L:$L,0),""))</f>
        <v>337</v>
      </c>
      <c r="P79" s="4" t="n">
        <f aca="false">IF($A79="","",IFERROR(MATCH($B$4&amp;"|- Lane 4 - "&amp;H$69&amp;"|"&amp;$A79,'Reguler Class Availability'!$L:$L,0),""))</f>
        <v>349</v>
      </c>
      <c r="R79" s="0" t="str">
        <f aca="false">IF(J79="","",IF(AND(IFERROR(--(INDEX('Reguler Class Availability'!$F:$F,J79)&amp;""),0)=0,IFERROR(--(INDEX('Reguler Class Availability'!$G:$G,J79)&amp;""),0)=0),IF(OR(INDEX('Reguler Class Availability'!$B:$B,J79)&amp;""&lt;&gt;"",INDEX('Reguler Class Availability'!$I:$I,J79)&amp;""&lt;&gt;""),"Tutup","Tidak dibuka"),IF(IFERROR(--(INDEX('Reguler Class Availability'!$G:$G,J79)&amp;""),0)&gt;IFERROR(--(INDEX('Reguler Class Availability'!$F:$F,J79)&amp;""),0),"Lebih",IF(IFERROR(--(INDEX('Reguler Class Availability'!$G:$G,J79)&amp;""),0)=IFERROR(--(INDEX('Reguler Class Availability'!$F:$F,J79)&amp;""),0),"Penuh",IF(IFERROR(--(INDEX('Reguler Class Availability'!$G:$G,J79)&amp;""),0)=0,IF(INDEX('Reguler Class Availability'!$B:$B,J79)&amp;""="","Kosong","Belum terisi"),IF(IFERROR(--(INDEX('Reguler Class Availability'!$G:$G,J79)&amp;""),0)/IFERROR(--(INDEX('Reguler Class Availability'!$F:$F,J79)&amp;""),0)&gt;=0.6,"Tinggi","Sebagian"))))))</f>
        <v>Sebagian</v>
      </c>
      <c r="S79" s="0" t="str">
        <f aca="false">IF(K79="","",IF(AND(IFERROR(--(INDEX('Reguler Class Availability'!$F:$F,K79)&amp;""),0)=0,IFERROR(--(INDEX('Reguler Class Availability'!$G:$G,K79)&amp;""),0)=0),IF(OR(INDEX('Reguler Class Availability'!$B:$B,K79)&amp;""&lt;&gt;"",INDEX('Reguler Class Availability'!$I:$I,K79)&amp;""&lt;&gt;""),"Tutup","Tidak dibuka"),IF(IFERROR(--(INDEX('Reguler Class Availability'!$G:$G,K79)&amp;""),0)&gt;IFERROR(--(INDEX('Reguler Class Availability'!$F:$F,K79)&amp;""),0),"Lebih",IF(IFERROR(--(INDEX('Reguler Class Availability'!$G:$G,K79)&amp;""),0)=IFERROR(--(INDEX('Reguler Class Availability'!$F:$F,K79)&amp;""),0),"Penuh",IF(IFERROR(--(INDEX('Reguler Class Availability'!$G:$G,K79)&amp;""),0)=0,IF(INDEX('Reguler Class Availability'!$B:$B,K79)&amp;""="","Kosong","Belum terisi"),IF(IFERROR(--(INDEX('Reguler Class Availability'!$G:$G,K79)&amp;""),0)/IFERROR(--(INDEX('Reguler Class Availability'!$F:$F,K79)&amp;""),0)&gt;=0.6,"Tinggi","Sebagian"))))))</f>
        <v>Lebih</v>
      </c>
      <c r="T79" s="0" t="str">
        <f aca="false">IF(L79="","",IF(AND(IFERROR(--(INDEX('Reguler Class Availability'!$F:$F,L79)&amp;""),0)=0,IFERROR(--(INDEX('Reguler Class Availability'!$G:$G,L79)&amp;""),0)=0),IF(OR(INDEX('Reguler Class Availability'!$B:$B,L79)&amp;""&lt;&gt;"",INDEX('Reguler Class Availability'!$I:$I,L79)&amp;""&lt;&gt;""),"Tutup","Tidak dibuka"),IF(IFERROR(--(INDEX('Reguler Class Availability'!$G:$G,L79)&amp;""),0)&gt;IFERROR(--(INDEX('Reguler Class Availability'!$F:$F,L79)&amp;""),0),"Lebih",IF(IFERROR(--(INDEX('Reguler Class Availability'!$G:$G,L79)&amp;""),0)=IFERROR(--(INDEX('Reguler Class Availability'!$F:$F,L79)&amp;""),0),"Penuh",IF(IFERROR(--(INDEX('Reguler Class Availability'!$G:$G,L79)&amp;""),0)=0,IF(INDEX('Reguler Class Availability'!$B:$B,L79)&amp;""="","Kosong","Belum terisi"),IF(IFERROR(--(INDEX('Reguler Class Availability'!$G:$G,L79)&amp;""),0)/IFERROR(--(INDEX('Reguler Class Availability'!$F:$F,L79)&amp;""),0)&gt;=0.6,"Tinggi","Sebagian"))))))</f>
        <v>Penuh</v>
      </c>
      <c r="U79" s="0" t="str">
        <f aca="false">IF(M79="","",IF(AND(IFERROR(--(INDEX('Reguler Class Availability'!$F:$F,M79)&amp;""),0)=0,IFERROR(--(INDEX('Reguler Class Availability'!$G:$G,M79)&amp;""),0)=0),IF(OR(INDEX('Reguler Class Availability'!$B:$B,M79)&amp;""&lt;&gt;"",INDEX('Reguler Class Availability'!$I:$I,M79)&amp;""&lt;&gt;""),"Tutup","Tidak dibuka"),IF(IFERROR(--(INDEX('Reguler Class Availability'!$G:$G,M79)&amp;""),0)&gt;IFERROR(--(INDEX('Reguler Class Availability'!$F:$F,M79)&amp;""),0),"Lebih",IF(IFERROR(--(INDEX('Reguler Class Availability'!$G:$G,M79)&amp;""),0)=IFERROR(--(INDEX('Reguler Class Availability'!$F:$F,M79)&amp;""),0),"Penuh",IF(IFERROR(--(INDEX('Reguler Class Availability'!$G:$G,M79)&amp;""),0)=0,IF(INDEX('Reguler Class Availability'!$B:$B,M79)&amp;""="","Kosong","Belum terisi"),IF(IFERROR(--(INDEX('Reguler Class Availability'!$G:$G,M79)&amp;""),0)/IFERROR(--(INDEX('Reguler Class Availability'!$F:$F,M79)&amp;""),0)&gt;=0.6,"Tinggi","Sebagian"))))))</f>
        <v>Tinggi</v>
      </c>
      <c r="V79" s="0" t="str">
        <f aca="false">IF(N79="","",IF(AND(IFERROR(--(INDEX('Reguler Class Availability'!$F:$F,N79)&amp;""),0)=0,IFERROR(--(INDEX('Reguler Class Availability'!$G:$G,N79)&amp;""),0)=0),IF(OR(INDEX('Reguler Class Availability'!$B:$B,N79)&amp;""&lt;&gt;"",INDEX('Reguler Class Availability'!$I:$I,N79)&amp;""&lt;&gt;""),"Tutup","Tidak dibuka"),IF(IFERROR(--(INDEX('Reguler Class Availability'!$G:$G,N79)&amp;""),0)&gt;IFERROR(--(INDEX('Reguler Class Availability'!$F:$F,N79)&amp;""),0),"Lebih",IF(IFERROR(--(INDEX('Reguler Class Availability'!$G:$G,N79)&amp;""),0)=IFERROR(--(INDEX('Reguler Class Availability'!$F:$F,N79)&amp;""),0),"Penuh",IF(IFERROR(--(INDEX('Reguler Class Availability'!$G:$G,N79)&amp;""),0)=0,IF(INDEX('Reguler Class Availability'!$B:$B,N79)&amp;""="","Kosong","Belum terisi"),IF(IFERROR(--(INDEX('Reguler Class Availability'!$G:$G,N79)&amp;""),0)/IFERROR(--(INDEX('Reguler Class Availability'!$F:$F,N79)&amp;""),0)&gt;=0.6,"Tinggi","Sebagian"))))))</f>
        <v>Lebih</v>
      </c>
      <c r="W79" s="0" t="str">
        <f aca="false">IF(O79="","",IF(AND(IFERROR(--(INDEX('Reguler Class Availability'!$F:$F,O79)&amp;""),0)=0,IFERROR(--(INDEX('Reguler Class Availability'!$G:$G,O79)&amp;""),0)=0),IF(OR(INDEX('Reguler Class Availability'!$B:$B,O79)&amp;""&lt;&gt;"",INDEX('Reguler Class Availability'!$I:$I,O79)&amp;""&lt;&gt;""),"Tutup","Tidak dibuka"),IF(IFERROR(--(INDEX('Reguler Class Availability'!$G:$G,O79)&amp;""),0)&gt;IFERROR(--(INDEX('Reguler Class Availability'!$F:$F,O79)&amp;""),0),"Lebih",IF(IFERROR(--(INDEX('Reguler Class Availability'!$G:$G,O79)&amp;""),0)=IFERROR(--(INDEX('Reguler Class Availability'!$F:$F,O79)&amp;""),0),"Penuh",IF(IFERROR(--(INDEX('Reguler Class Availability'!$G:$G,O79)&amp;""),0)=0,IF(INDEX('Reguler Class Availability'!$B:$B,O79)&amp;""="","Kosong","Belum terisi"),IF(IFERROR(--(INDEX('Reguler Class Availability'!$G:$G,O79)&amp;""),0)/IFERROR(--(INDEX('Reguler Class Availability'!$F:$F,O79)&amp;""),0)&gt;=0.6,"Tinggi","Sebagian"))))))</f>
        <v>Tinggi</v>
      </c>
      <c r="X79" s="0" t="str">
        <f aca="false">IF(P79="","",IF(AND(IFERROR(--(INDEX('Reguler Class Availability'!$F:$F,P79)&amp;""),0)=0,IFERROR(--(INDEX('Reguler Class Availability'!$G:$G,P79)&amp;""),0)=0),IF(OR(INDEX('Reguler Class Availability'!$B:$B,P79)&amp;""&lt;&gt;"",INDEX('Reguler Class Availability'!$I:$I,P79)&amp;""&lt;&gt;""),"Tutup","Tidak dibuka"),IF(IFERROR(--(INDEX('Reguler Class Availability'!$G:$G,P79)&amp;""),0)&gt;IFERROR(--(INDEX('Reguler Class Availability'!$F:$F,P79)&amp;""),0),"Lebih",IF(IFERROR(--(INDEX('Reguler Class Availability'!$G:$G,P79)&amp;""),0)=IFERROR(--(INDEX('Reguler Class Availability'!$F:$F,P79)&amp;""),0),"Penuh",IF(IFERROR(--(INDEX('Reguler Class Availability'!$G:$G,P79)&amp;""),0)=0,IF(INDEX('Reguler Class Availability'!$B:$B,P79)&amp;""="","Kosong","Belum terisi"),IF(IFERROR(--(INDEX('Reguler Class Availability'!$G:$G,P79)&amp;""),0)/IFERROR(--(INDEX('Reguler Class Availability'!$F:$F,P79)&amp;""),0)&gt;=0.6,"Tinggi","Sebagian"))))))</f>
        <v>Penuh</v>
      </c>
      <c r="Z79" s="4" t="s">
        <v>52</v>
      </c>
      <c r="AA79" s="4" t="n">
        <f aca="false">IF(COUNTIFS('Reguler Class Availability'!$L:$L,$B$4&amp;"|- Lane 2 - *|"&amp;Z79)&gt;0,1,0)</f>
        <v>0</v>
      </c>
      <c r="AB79" s="4" t="n">
        <f aca="false">AA79+AB78</f>
        <v>3</v>
      </c>
    </row>
    <row r="80" customFormat="false" ht="39.75" hidden="false" customHeight="true" outlineLevel="0" collapsed="false">
      <c r="A80" s="39" t="str">
        <f aca="false">IFERROR(INDEX($Z$182:$Z$241,MATCH(11,$AB$182:$AB$241,0)),"")</f>
        <v>16:15</v>
      </c>
      <c r="B80" s="40" t="str">
        <f aca="false">IF(J80="","",IF(R80="Tidak dibuka","–",IF(INDEX('Reguler Class Availability'!$B:$B,J80)&amp;""="","Kosong",PROPER(INDEX('Reguler Class Availability'!$B:$B,J80)&amp;""))&amp;"  "&amp;IFERROR(--(INDEX('Reguler Class Availability'!$G:$G,J80)&amp;""),0)&amp;"/"&amp;IFERROR(--(INDEX('Reguler Class Availability'!$F:$F,J80)&amp;""),0)&amp;IF(IFERROR(--(INDEX('Reguler Class Availability'!$F:$F,J80)&amp;""),0)&gt;0,"  ("&amp;TEXT(IFERROR(--(INDEX('Reguler Class Availability'!$G:$G,J80)&amp;""),0)/IFERROR(--(INDEX('Reguler Class Availability'!$F:$F,J80)&amp;""),0),"0%")&amp;")","")&amp;CHAR(10)&amp;IF(INDEX('Reguler Class Availability'!$I:$I,J80)&amp;""="","coach: –",PROPER(INDEX('Reguler Class Availability'!$I:$I,J80)&amp;""))&amp;IF(INDEX('Reguler Class Availability'!$J:$J,J80)&amp;""="","",CHAR(10)&amp;"asst: "&amp;PROPER(INDEX('Reguler Class Availability'!$J:$J,J80)&amp;""))))</f>
        <v>Kids  4/4  (100%)
Danti</v>
      </c>
      <c r="C80" s="40" t="str">
        <f aca="false">IF(K80="","",IF(S80="Tidak dibuka","–",IF(INDEX('Reguler Class Availability'!$B:$B,K80)&amp;""="","Kosong",PROPER(INDEX('Reguler Class Availability'!$B:$B,K80)&amp;""))&amp;"  "&amp;IFERROR(--(INDEX('Reguler Class Availability'!$G:$G,K80)&amp;""),0)&amp;"/"&amp;IFERROR(--(INDEX('Reguler Class Availability'!$F:$F,K80)&amp;""),0)&amp;IF(IFERROR(--(INDEX('Reguler Class Availability'!$F:$F,K80)&amp;""),0)&gt;0,"  ("&amp;TEXT(IFERROR(--(INDEX('Reguler Class Availability'!$G:$G,K80)&amp;""),0)/IFERROR(--(INDEX('Reguler Class Availability'!$F:$F,K80)&amp;""),0),"0%")&amp;")","")&amp;CHAR(10)&amp;IF(INDEX('Reguler Class Availability'!$I:$I,K80)&amp;""="","coach: –",PROPER(INDEX('Reguler Class Availability'!$I:$I,K80)&amp;""))&amp;IF(INDEX('Reguler Class Availability'!$J:$J,K80)&amp;""="","",CHAR(10)&amp;"asst: "&amp;PROPER(INDEX('Reguler Class Availability'!$J:$J,K80)&amp;""))))</f>
        <v>Kids  3/4  (75%)
Danti</v>
      </c>
      <c r="D80" s="40" t="str">
        <f aca="false">IF(L80="","",IF(T80="Tidak dibuka","–",IF(INDEX('Reguler Class Availability'!$B:$B,L80)&amp;""="","Kosong",PROPER(INDEX('Reguler Class Availability'!$B:$B,L80)&amp;""))&amp;"  "&amp;IFERROR(--(INDEX('Reguler Class Availability'!$G:$G,L80)&amp;""),0)&amp;"/"&amp;IFERROR(--(INDEX('Reguler Class Availability'!$F:$F,L80)&amp;""),0)&amp;IF(IFERROR(--(INDEX('Reguler Class Availability'!$F:$F,L80)&amp;""),0)&gt;0,"  ("&amp;TEXT(IFERROR(--(INDEX('Reguler Class Availability'!$G:$G,L80)&amp;""),0)/IFERROR(--(INDEX('Reguler Class Availability'!$F:$F,L80)&amp;""),0),"0%")&amp;")","")&amp;CHAR(10)&amp;IF(INDEX('Reguler Class Availability'!$I:$I,L80)&amp;""="","coach: –",PROPER(INDEX('Reguler Class Availability'!$I:$I,L80)&amp;""))&amp;IF(INDEX('Reguler Class Availability'!$J:$J,L80)&amp;""="","",CHAR(10)&amp;"asst: "&amp;PROPER(INDEX('Reguler Class Availability'!$J:$J,L80)&amp;""))))</f>
        <v>Kids  4/4  (100%)
Zidane</v>
      </c>
      <c r="E80" s="40" t="str">
        <f aca="false">IF(M80="","",IF(U80="Tidak dibuka","–",IF(INDEX('Reguler Class Availability'!$B:$B,M80)&amp;""="","Kosong",PROPER(INDEX('Reguler Class Availability'!$B:$B,M80)&amp;""))&amp;"  "&amp;IFERROR(--(INDEX('Reguler Class Availability'!$G:$G,M80)&amp;""),0)&amp;"/"&amp;IFERROR(--(INDEX('Reguler Class Availability'!$F:$F,M80)&amp;""),0)&amp;IF(IFERROR(--(INDEX('Reguler Class Availability'!$F:$F,M80)&amp;""),0)&gt;0,"  ("&amp;TEXT(IFERROR(--(INDEX('Reguler Class Availability'!$G:$G,M80)&amp;""),0)/IFERROR(--(INDEX('Reguler Class Availability'!$F:$F,M80)&amp;""),0),"0%")&amp;")","")&amp;CHAR(10)&amp;IF(INDEX('Reguler Class Availability'!$I:$I,M80)&amp;""="","coach: –",PROPER(INDEX('Reguler Class Availability'!$I:$I,M80)&amp;""))&amp;IF(INDEX('Reguler Class Availability'!$J:$J,M80)&amp;""="","",CHAR(10)&amp;"asst: "&amp;PROPER(INDEX('Reguler Class Availability'!$J:$J,M80)&amp;""))))</f>
        <v>Kids  4/4  (100%)
Eka</v>
      </c>
      <c r="F80" s="40" t="str">
        <f aca="false">IF(N80="","",IF(V80="Tidak dibuka","–",IF(INDEX('Reguler Class Availability'!$B:$B,N80)&amp;""="","Kosong",PROPER(INDEX('Reguler Class Availability'!$B:$B,N80)&amp;""))&amp;"  "&amp;IFERROR(--(INDEX('Reguler Class Availability'!$G:$G,N80)&amp;""),0)&amp;"/"&amp;IFERROR(--(INDEX('Reguler Class Availability'!$F:$F,N80)&amp;""),0)&amp;IF(IFERROR(--(INDEX('Reguler Class Availability'!$F:$F,N80)&amp;""),0)&gt;0,"  ("&amp;TEXT(IFERROR(--(INDEX('Reguler Class Availability'!$G:$G,N80)&amp;""),0)/IFERROR(--(INDEX('Reguler Class Availability'!$F:$F,N80)&amp;""),0),"0%")&amp;")","")&amp;CHAR(10)&amp;IF(INDEX('Reguler Class Availability'!$I:$I,N80)&amp;""="","coach: –",PROPER(INDEX('Reguler Class Availability'!$I:$I,N80)&amp;""))&amp;IF(INDEX('Reguler Class Availability'!$J:$J,N80)&amp;""="","",CHAR(10)&amp;"asst: "&amp;PROPER(INDEX('Reguler Class Availability'!$J:$J,N80)&amp;""))))</f>
        <v>Kids  4/4  (100%)
Dian</v>
      </c>
      <c r="G80" s="40" t="str">
        <f aca="false">IF(O80="","",IF(W80="Tidak dibuka","–",IF(INDEX('Reguler Class Availability'!$B:$B,O80)&amp;""="","Kosong",PROPER(INDEX('Reguler Class Availability'!$B:$B,O80)&amp;""))&amp;"  "&amp;IFERROR(--(INDEX('Reguler Class Availability'!$G:$G,O80)&amp;""),0)&amp;"/"&amp;IFERROR(--(INDEX('Reguler Class Availability'!$F:$F,O80)&amp;""),0)&amp;IF(IFERROR(--(INDEX('Reguler Class Availability'!$F:$F,O80)&amp;""),0)&gt;0,"  ("&amp;TEXT(IFERROR(--(INDEX('Reguler Class Availability'!$G:$G,O80)&amp;""),0)/IFERROR(--(INDEX('Reguler Class Availability'!$F:$F,O80)&amp;""),0),"0%")&amp;")","")&amp;CHAR(10)&amp;IF(INDEX('Reguler Class Availability'!$I:$I,O80)&amp;""="","coach: –",PROPER(INDEX('Reguler Class Availability'!$I:$I,O80)&amp;""))&amp;IF(INDEX('Reguler Class Availability'!$J:$J,O80)&amp;""="","",CHAR(10)&amp;"asst: "&amp;PROPER(INDEX('Reguler Class Availability'!$J:$J,O80)&amp;""))))</f>
        <v>Kids  3/4  (75%)
Zidane</v>
      </c>
      <c r="H80" s="40" t="str">
        <f aca="false">IF(P80="","",IF(X80="Tidak dibuka","–",IF(INDEX('Reguler Class Availability'!$B:$B,P80)&amp;""="","Kosong",PROPER(INDEX('Reguler Class Availability'!$B:$B,P80)&amp;""))&amp;"  "&amp;IFERROR(--(INDEX('Reguler Class Availability'!$G:$G,P80)&amp;""),0)&amp;"/"&amp;IFERROR(--(INDEX('Reguler Class Availability'!$F:$F,P80)&amp;""),0)&amp;IF(IFERROR(--(INDEX('Reguler Class Availability'!$F:$F,P80)&amp;""),0)&gt;0,"  ("&amp;TEXT(IFERROR(--(INDEX('Reguler Class Availability'!$G:$G,P80)&amp;""),0)/IFERROR(--(INDEX('Reguler Class Availability'!$F:$F,P80)&amp;""),0),"0%")&amp;")","")&amp;CHAR(10)&amp;IF(INDEX('Reguler Class Availability'!$I:$I,P80)&amp;""="","coach: –",PROPER(INDEX('Reguler Class Availability'!$I:$I,P80)&amp;""))&amp;IF(INDEX('Reguler Class Availability'!$J:$J,P80)&amp;""="","",CHAR(10)&amp;"asst: "&amp;PROPER(INDEX('Reguler Class Availability'!$J:$J,P80)&amp;""))))</f>
        <v>Kids  4/4  (100%)
Eka</v>
      </c>
      <c r="J80" s="4" t="n">
        <f aca="false">IF($A80="","",IFERROR(MATCH($B$4&amp;"|- Lane 4 - "&amp;B$69&amp;"|"&amp;$A80,'Reguler Class Availability'!$L:$L,0),""))</f>
        <v>278</v>
      </c>
      <c r="K80" s="4" t="n">
        <f aca="false">IF($A80="","",IFERROR(MATCH($B$4&amp;"|- Lane 4 - "&amp;C$69&amp;"|"&amp;$A80,'Reguler Class Availability'!$L:$L,0),""))</f>
        <v>290</v>
      </c>
      <c r="L80" s="4" t="n">
        <f aca="false">IF($A80="","",IFERROR(MATCH($B$4&amp;"|- Lane 4 - "&amp;D$69&amp;"|"&amp;$A80,'Reguler Class Availability'!$L:$L,0),""))</f>
        <v>302</v>
      </c>
      <c r="M80" s="4" t="n">
        <f aca="false">IF($A80="","",IFERROR(MATCH($B$4&amp;"|- Lane 4 - "&amp;E$69&amp;"|"&amp;$A80,'Reguler Class Availability'!$L:$L,0),""))</f>
        <v>314</v>
      </c>
      <c r="N80" s="4" t="n">
        <f aca="false">IF($A80="","",IFERROR(MATCH($B$4&amp;"|- Lane 4 - "&amp;F$69&amp;"|"&amp;$A80,'Reguler Class Availability'!$L:$L,0),""))</f>
        <v>326</v>
      </c>
      <c r="O80" s="4" t="n">
        <f aca="false">IF($A80="","",IFERROR(MATCH($B$4&amp;"|- Lane 4 - "&amp;G$69&amp;"|"&amp;$A80,'Reguler Class Availability'!$L:$L,0),""))</f>
        <v>338</v>
      </c>
      <c r="P80" s="4" t="n">
        <f aca="false">IF($A80="","",IFERROR(MATCH($B$4&amp;"|- Lane 4 - "&amp;H$69&amp;"|"&amp;$A80,'Reguler Class Availability'!$L:$L,0),""))</f>
        <v>350</v>
      </c>
      <c r="R80" s="0" t="str">
        <f aca="false">IF(J80="","",IF(AND(IFERROR(--(INDEX('Reguler Class Availability'!$F:$F,J80)&amp;""),0)=0,IFERROR(--(INDEX('Reguler Class Availability'!$G:$G,J80)&amp;""),0)=0),IF(OR(INDEX('Reguler Class Availability'!$B:$B,J80)&amp;""&lt;&gt;"",INDEX('Reguler Class Availability'!$I:$I,J80)&amp;""&lt;&gt;""),"Tutup","Tidak dibuka"),IF(IFERROR(--(INDEX('Reguler Class Availability'!$G:$G,J80)&amp;""),0)&gt;IFERROR(--(INDEX('Reguler Class Availability'!$F:$F,J80)&amp;""),0),"Lebih",IF(IFERROR(--(INDEX('Reguler Class Availability'!$G:$G,J80)&amp;""),0)=IFERROR(--(INDEX('Reguler Class Availability'!$F:$F,J80)&amp;""),0),"Penuh",IF(IFERROR(--(INDEX('Reguler Class Availability'!$G:$G,J80)&amp;""),0)=0,IF(INDEX('Reguler Class Availability'!$B:$B,J80)&amp;""="","Kosong","Belum terisi"),IF(IFERROR(--(INDEX('Reguler Class Availability'!$G:$G,J80)&amp;""),0)/IFERROR(--(INDEX('Reguler Class Availability'!$F:$F,J80)&amp;""),0)&gt;=0.6,"Tinggi","Sebagian"))))))</f>
        <v>Penuh</v>
      </c>
      <c r="S80" s="0" t="str">
        <f aca="false">IF(K80="","",IF(AND(IFERROR(--(INDEX('Reguler Class Availability'!$F:$F,K80)&amp;""),0)=0,IFERROR(--(INDEX('Reguler Class Availability'!$G:$G,K80)&amp;""),0)=0),IF(OR(INDEX('Reguler Class Availability'!$B:$B,K80)&amp;""&lt;&gt;"",INDEX('Reguler Class Availability'!$I:$I,K80)&amp;""&lt;&gt;""),"Tutup","Tidak dibuka"),IF(IFERROR(--(INDEX('Reguler Class Availability'!$G:$G,K80)&amp;""),0)&gt;IFERROR(--(INDEX('Reguler Class Availability'!$F:$F,K80)&amp;""),0),"Lebih",IF(IFERROR(--(INDEX('Reguler Class Availability'!$G:$G,K80)&amp;""),0)=IFERROR(--(INDEX('Reguler Class Availability'!$F:$F,K80)&amp;""),0),"Penuh",IF(IFERROR(--(INDEX('Reguler Class Availability'!$G:$G,K80)&amp;""),0)=0,IF(INDEX('Reguler Class Availability'!$B:$B,K80)&amp;""="","Kosong","Belum terisi"),IF(IFERROR(--(INDEX('Reguler Class Availability'!$G:$G,K80)&amp;""),0)/IFERROR(--(INDEX('Reguler Class Availability'!$F:$F,K80)&amp;""),0)&gt;=0.6,"Tinggi","Sebagian"))))))</f>
        <v>Tinggi</v>
      </c>
      <c r="T80" s="0" t="str">
        <f aca="false">IF(L80="","",IF(AND(IFERROR(--(INDEX('Reguler Class Availability'!$F:$F,L80)&amp;""),0)=0,IFERROR(--(INDEX('Reguler Class Availability'!$G:$G,L80)&amp;""),0)=0),IF(OR(INDEX('Reguler Class Availability'!$B:$B,L80)&amp;""&lt;&gt;"",INDEX('Reguler Class Availability'!$I:$I,L80)&amp;""&lt;&gt;""),"Tutup","Tidak dibuka"),IF(IFERROR(--(INDEX('Reguler Class Availability'!$G:$G,L80)&amp;""),0)&gt;IFERROR(--(INDEX('Reguler Class Availability'!$F:$F,L80)&amp;""),0),"Lebih",IF(IFERROR(--(INDEX('Reguler Class Availability'!$G:$G,L80)&amp;""),0)=IFERROR(--(INDEX('Reguler Class Availability'!$F:$F,L80)&amp;""),0),"Penuh",IF(IFERROR(--(INDEX('Reguler Class Availability'!$G:$G,L80)&amp;""),0)=0,IF(INDEX('Reguler Class Availability'!$B:$B,L80)&amp;""="","Kosong","Belum terisi"),IF(IFERROR(--(INDEX('Reguler Class Availability'!$G:$G,L80)&amp;""),0)/IFERROR(--(INDEX('Reguler Class Availability'!$F:$F,L80)&amp;""),0)&gt;=0.6,"Tinggi","Sebagian"))))))</f>
        <v>Penuh</v>
      </c>
      <c r="U80" s="0" t="str">
        <f aca="false">IF(M80="","",IF(AND(IFERROR(--(INDEX('Reguler Class Availability'!$F:$F,M80)&amp;""),0)=0,IFERROR(--(INDEX('Reguler Class Availability'!$G:$G,M80)&amp;""),0)=0),IF(OR(INDEX('Reguler Class Availability'!$B:$B,M80)&amp;""&lt;&gt;"",INDEX('Reguler Class Availability'!$I:$I,M80)&amp;""&lt;&gt;""),"Tutup","Tidak dibuka"),IF(IFERROR(--(INDEX('Reguler Class Availability'!$G:$G,M80)&amp;""),0)&gt;IFERROR(--(INDEX('Reguler Class Availability'!$F:$F,M80)&amp;""),0),"Lebih",IF(IFERROR(--(INDEX('Reguler Class Availability'!$G:$G,M80)&amp;""),0)=IFERROR(--(INDEX('Reguler Class Availability'!$F:$F,M80)&amp;""),0),"Penuh",IF(IFERROR(--(INDEX('Reguler Class Availability'!$G:$G,M80)&amp;""),0)=0,IF(INDEX('Reguler Class Availability'!$B:$B,M80)&amp;""="","Kosong","Belum terisi"),IF(IFERROR(--(INDEX('Reguler Class Availability'!$G:$G,M80)&amp;""),0)/IFERROR(--(INDEX('Reguler Class Availability'!$F:$F,M80)&amp;""),0)&gt;=0.6,"Tinggi","Sebagian"))))))</f>
        <v>Penuh</v>
      </c>
      <c r="V80" s="0" t="str">
        <f aca="false">IF(N80="","",IF(AND(IFERROR(--(INDEX('Reguler Class Availability'!$F:$F,N80)&amp;""),0)=0,IFERROR(--(INDEX('Reguler Class Availability'!$G:$G,N80)&amp;""),0)=0),IF(OR(INDEX('Reguler Class Availability'!$B:$B,N80)&amp;""&lt;&gt;"",INDEX('Reguler Class Availability'!$I:$I,N80)&amp;""&lt;&gt;""),"Tutup","Tidak dibuka"),IF(IFERROR(--(INDEX('Reguler Class Availability'!$G:$G,N80)&amp;""),0)&gt;IFERROR(--(INDEX('Reguler Class Availability'!$F:$F,N80)&amp;""),0),"Lebih",IF(IFERROR(--(INDEX('Reguler Class Availability'!$G:$G,N80)&amp;""),0)=IFERROR(--(INDEX('Reguler Class Availability'!$F:$F,N80)&amp;""),0),"Penuh",IF(IFERROR(--(INDEX('Reguler Class Availability'!$G:$G,N80)&amp;""),0)=0,IF(INDEX('Reguler Class Availability'!$B:$B,N80)&amp;""="","Kosong","Belum terisi"),IF(IFERROR(--(INDEX('Reguler Class Availability'!$G:$G,N80)&amp;""),0)/IFERROR(--(INDEX('Reguler Class Availability'!$F:$F,N80)&amp;""),0)&gt;=0.6,"Tinggi","Sebagian"))))))</f>
        <v>Penuh</v>
      </c>
      <c r="W80" s="0" t="str">
        <f aca="false">IF(O80="","",IF(AND(IFERROR(--(INDEX('Reguler Class Availability'!$F:$F,O80)&amp;""),0)=0,IFERROR(--(INDEX('Reguler Class Availability'!$G:$G,O80)&amp;""),0)=0),IF(OR(INDEX('Reguler Class Availability'!$B:$B,O80)&amp;""&lt;&gt;"",INDEX('Reguler Class Availability'!$I:$I,O80)&amp;""&lt;&gt;""),"Tutup","Tidak dibuka"),IF(IFERROR(--(INDEX('Reguler Class Availability'!$G:$G,O80)&amp;""),0)&gt;IFERROR(--(INDEX('Reguler Class Availability'!$F:$F,O80)&amp;""),0),"Lebih",IF(IFERROR(--(INDEX('Reguler Class Availability'!$G:$G,O80)&amp;""),0)=IFERROR(--(INDEX('Reguler Class Availability'!$F:$F,O80)&amp;""),0),"Penuh",IF(IFERROR(--(INDEX('Reguler Class Availability'!$G:$G,O80)&amp;""),0)=0,IF(INDEX('Reguler Class Availability'!$B:$B,O80)&amp;""="","Kosong","Belum terisi"),IF(IFERROR(--(INDEX('Reguler Class Availability'!$G:$G,O80)&amp;""),0)/IFERROR(--(INDEX('Reguler Class Availability'!$F:$F,O80)&amp;""),0)&gt;=0.6,"Tinggi","Sebagian"))))))</f>
        <v>Tinggi</v>
      </c>
      <c r="X80" s="0" t="str">
        <f aca="false">IF(P80="","",IF(AND(IFERROR(--(INDEX('Reguler Class Availability'!$F:$F,P80)&amp;""),0)=0,IFERROR(--(INDEX('Reguler Class Availability'!$G:$G,P80)&amp;""),0)=0),IF(OR(INDEX('Reguler Class Availability'!$B:$B,P80)&amp;""&lt;&gt;"",INDEX('Reguler Class Availability'!$I:$I,P80)&amp;""&lt;&gt;""),"Tutup","Tidak dibuka"),IF(IFERROR(--(INDEX('Reguler Class Availability'!$G:$G,P80)&amp;""),0)&gt;IFERROR(--(INDEX('Reguler Class Availability'!$F:$F,P80)&amp;""),0),"Lebih",IF(IFERROR(--(INDEX('Reguler Class Availability'!$G:$G,P80)&amp;""),0)=IFERROR(--(INDEX('Reguler Class Availability'!$F:$F,P80)&amp;""),0),"Penuh",IF(IFERROR(--(INDEX('Reguler Class Availability'!$G:$G,P80)&amp;""),0)=0,IF(INDEX('Reguler Class Availability'!$B:$B,P80)&amp;""="","Kosong","Belum terisi"),IF(IFERROR(--(INDEX('Reguler Class Availability'!$G:$G,P80)&amp;""),0)/IFERROR(--(INDEX('Reguler Class Availability'!$F:$F,P80)&amp;""),0)&gt;=0.6,"Tinggi","Sebagian"))))))</f>
        <v>Penuh</v>
      </c>
      <c r="Z80" s="4" t="s">
        <v>53</v>
      </c>
      <c r="AA80" s="4" t="n">
        <f aca="false">IF(COUNTIFS('Reguler Class Availability'!$L:$L,$B$4&amp;"|- Lane 2 - *|"&amp;Z80)&gt;0,1,0)</f>
        <v>1</v>
      </c>
      <c r="AB80" s="4" t="n">
        <f aca="false">AA80+AB79</f>
        <v>4</v>
      </c>
    </row>
    <row r="81" customFormat="false" ht="39.75" hidden="false" customHeight="true" outlineLevel="0" collapsed="false">
      <c r="A81" s="39" t="str">
        <f aca="false">IFERROR(INDEX($Z$182:$Z$241,MATCH(12,$AB$182:$AB$241,0)),"")</f>
        <v>17:00</v>
      </c>
      <c r="B81" s="40" t="str">
        <f aca="false">IF(J81="","",IF(R81="Tidak dibuka","–",IF(INDEX('Reguler Class Availability'!$B:$B,J81)&amp;""="","Kosong",PROPER(INDEX('Reguler Class Availability'!$B:$B,J81)&amp;""))&amp;"  "&amp;IFERROR(--(INDEX('Reguler Class Availability'!$G:$G,J81)&amp;""),0)&amp;"/"&amp;IFERROR(--(INDEX('Reguler Class Availability'!$F:$F,J81)&amp;""),0)&amp;IF(IFERROR(--(INDEX('Reguler Class Availability'!$F:$F,J81)&amp;""),0)&gt;0,"  ("&amp;TEXT(IFERROR(--(INDEX('Reguler Class Availability'!$G:$G,J81)&amp;""),0)/IFERROR(--(INDEX('Reguler Class Availability'!$F:$F,J81)&amp;""),0),"0%")&amp;")","")&amp;CHAR(10)&amp;IF(INDEX('Reguler Class Availability'!$I:$I,J81)&amp;""="","coach: –",PROPER(INDEX('Reguler Class Availability'!$I:$I,J81)&amp;""))&amp;IF(INDEX('Reguler Class Availability'!$J:$J,J81)&amp;""="","",CHAR(10)&amp;"asst: "&amp;PROPER(INDEX('Reguler Class Availability'!$J:$J,J81)&amp;""))))</f>
        <v>Kids  4/4  (100%)
Dian</v>
      </c>
      <c r="C81" s="40" t="str">
        <f aca="false">IF(K81="","",IF(S81="Tidak dibuka","–",IF(INDEX('Reguler Class Availability'!$B:$B,K81)&amp;""="","Kosong",PROPER(INDEX('Reguler Class Availability'!$B:$B,K81)&amp;""))&amp;"  "&amp;IFERROR(--(INDEX('Reguler Class Availability'!$G:$G,K81)&amp;""),0)&amp;"/"&amp;IFERROR(--(INDEX('Reguler Class Availability'!$F:$F,K81)&amp;""),0)&amp;IF(IFERROR(--(INDEX('Reguler Class Availability'!$F:$F,K81)&amp;""),0)&gt;0,"  ("&amp;TEXT(IFERROR(--(INDEX('Reguler Class Availability'!$G:$G,K81)&amp;""),0)/IFERROR(--(INDEX('Reguler Class Availability'!$F:$F,K81)&amp;""),0),"0%")&amp;")","")&amp;CHAR(10)&amp;IF(INDEX('Reguler Class Availability'!$I:$I,K81)&amp;""="","coach: –",PROPER(INDEX('Reguler Class Availability'!$I:$I,K81)&amp;""))&amp;IF(INDEX('Reguler Class Availability'!$J:$J,K81)&amp;""="","",CHAR(10)&amp;"asst: "&amp;PROPER(INDEX('Reguler Class Availability'!$J:$J,K81)&amp;""))))</f>
        <v>Kids  4/4  (100%)
Rischa</v>
      </c>
      <c r="D81" s="40" t="str">
        <f aca="false">IF(L81="","",IF(T81="Tidak dibuka","–",IF(INDEX('Reguler Class Availability'!$B:$B,L81)&amp;""="","Kosong",PROPER(INDEX('Reguler Class Availability'!$B:$B,L81)&amp;""))&amp;"  "&amp;IFERROR(--(INDEX('Reguler Class Availability'!$G:$G,L81)&amp;""),0)&amp;"/"&amp;IFERROR(--(INDEX('Reguler Class Availability'!$F:$F,L81)&amp;""),0)&amp;IF(IFERROR(--(INDEX('Reguler Class Availability'!$F:$F,L81)&amp;""),0)&gt;0,"  ("&amp;TEXT(IFERROR(--(INDEX('Reguler Class Availability'!$G:$G,L81)&amp;""),0)/IFERROR(--(INDEX('Reguler Class Availability'!$F:$F,L81)&amp;""),0),"0%")&amp;")","")&amp;CHAR(10)&amp;IF(INDEX('Reguler Class Availability'!$I:$I,L81)&amp;""="","coach: –",PROPER(INDEX('Reguler Class Availability'!$I:$I,L81)&amp;""))&amp;IF(INDEX('Reguler Class Availability'!$J:$J,L81)&amp;""="","",CHAR(10)&amp;"asst: "&amp;PROPER(INDEX('Reguler Class Availability'!$J:$J,L81)&amp;""))))</f>
        <v>Kids  3/4  (75%)
Zidane</v>
      </c>
      <c r="E81" s="40" t="str">
        <f aca="false">IF(M81="","",IF(U81="Tidak dibuka","–",IF(INDEX('Reguler Class Availability'!$B:$B,M81)&amp;""="","Kosong",PROPER(INDEX('Reguler Class Availability'!$B:$B,M81)&amp;""))&amp;"  "&amp;IFERROR(--(INDEX('Reguler Class Availability'!$G:$G,M81)&amp;""),0)&amp;"/"&amp;IFERROR(--(INDEX('Reguler Class Availability'!$F:$F,M81)&amp;""),0)&amp;IF(IFERROR(--(INDEX('Reguler Class Availability'!$F:$F,M81)&amp;""),0)&gt;0,"  ("&amp;TEXT(IFERROR(--(INDEX('Reguler Class Availability'!$G:$G,M81)&amp;""),0)/IFERROR(--(INDEX('Reguler Class Availability'!$F:$F,M81)&amp;""),0),"0%")&amp;")","")&amp;CHAR(10)&amp;IF(INDEX('Reguler Class Availability'!$I:$I,M81)&amp;""="","coach: –",PROPER(INDEX('Reguler Class Availability'!$I:$I,M81)&amp;""))&amp;IF(INDEX('Reguler Class Availability'!$J:$J,M81)&amp;""="","",CHAR(10)&amp;"asst: "&amp;PROPER(INDEX('Reguler Class Availability'!$J:$J,M81)&amp;""))))</f>
        <v>Kids  4/4  (100%)
Daffa</v>
      </c>
      <c r="F81" s="40" t="str">
        <f aca="false">IF(N81="","",IF(V81="Tidak dibuka","–",IF(INDEX('Reguler Class Availability'!$B:$B,N81)&amp;""="","Kosong",PROPER(INDEX('Reguler Class Availability'!$B:$B,N81)&amp;""))&amp;"  "&amp;IFERROR(--(INDEX('Reguler Class Availability'!$G:$G,N81)&amp;""),0)&amp;"/"&amp;IFERROR(--(INDEX('Reguler Class Availability'!$F:$F,N81)&amp;""),0)&amp;IF(IFERROR(--(INDEX('Reguler Class Availability'!$F:$F,N81)&amp;""),0)&gt;0,"  ("&amp;TEXT(IFERROR(--(INDEX('Reguler Class Availability'!$G:$G,N81)&amp;""),0)/IFERROR(--(INDEX('Reguler Class Availability'!$F:$F,N81)&amp;""),0),"0%")&amp;")","")&amp;CHAR(10)&amp;IF(INDEX('Reguler Class Availability'!$I:$I,N81)&amp;""="","coach: –",PROPER(INDEX('Reguler Class Availability'!$I:$I,N81)&amp;""))&amp;IF(INDEX('Reguler Class Availability'!$J:$J,N81)&amp;""="","",CHAR(10)&amp;"asst: "&amp;PROPER(INDEX('Reguler Class Availability'!$J:$J,N81)&amp;""))))</f>
        <v>Kids  4/4  (100%)
Eka</v>
      </c>
      <c r="G81" s="40" t="str">
        <f aca="false">IF(O81="","",IF(W81="Tidak dibuka","–",IF(INDEX('Reguler Class Availability'!$B:$B,O81)&amp;""="","Kosong",PROPER(INDEX('Reguler Class Availability'!$B:$B,O81)&amp;""))&amp;"  "&amp;IFERROR(--(INDEX('Reguler Class Availability'!$G:$G,O81)&amp;""),0)&amp;"/"&amp;IFERROR(--(INDEX('Reguler Class Availability'!$F:$F,O81)&amp;""),0)&amp;IF(IFERROR(--(INDEX('Reguler Class Availability'!$F:$F,O81)&amp;""),0)&gt;0,"  ("&amp;TEXT(IFERROR(--(INDEX('Reguler Class Availability'!$G:$G,O81)&amp;""),0)/IFERROR(--(INDEX('Reguler Class Availability'!$F:$F,O81)&amp;""),0),"0%")&amp;")","")&amp;CHAR(10)&amp;IF(INDEX('Reguler Class Availability'!$I:$I,O81)&amp;""="","coach: –",PROPER(INDEX('Reguler Class Availability'!$I:$I,O81)&amp;""))&amp;IF(INDEX('Reguler Class Availability'!$J:$J,O81)&amp;""="","",CHAR(10)&amp;"asst: "&amp;PROPER(INDEX('Reguler Class Availability'!$J:$J,O81)&amp;""))))</f>
        <v>Kids  4/4  (100%)
Daffa</v>
      </c>
      <c r="H81" s="40" t="str">
        <f aca="false">IF(P81="","",IF(X81="Tidak dibuka","–",IF(INDEX('Reguler Class Availability'!$B:$B,P81)&amp;""="","Kosong",PROPER(INDEX('Reguler Class Availability'!$B:$B,P81)&amp;""))&amp;"  "&amp;IFERROR(--(INDEX('Reguler Class Availability'!$G:$G,P81)&amp;""),0)&amp;"/"&amp;IFERROR(--(INDEX('Reguler Class Availability'!$F:$F,P81)&amp;""),0)&amp;IF(IFERROR(--(INDEX('Reguler Class Availability'!$F:$F,P81)&amp;""),0)&gt;0,"  ("&amp;TEXT(IFERROR(--(INDEX('Reguler Class Availability'!$G:$G,P81)&amp;""),0)/IFERROR(--(INDEX('Reguler Class Availability'!$F:$F,P81)&amp;""),0),"0%")&amp;")","")&amp;CHAR(10)&amp;IF(INDEX('Reguler Class Availability'!$I:$I,P81)&amp;""="","coach: –",PROPER(INDEX('Reguler Class Availability'!$I:$I,P81)&amp;""))&amp;IF(INDEX('Reguler Class Availability'!$J:$J,P81)&amp;""="","",CHAR(10)&amp;"asst: "&amp;PROPER(INDEX('Reguler Class Availability'!$J:$J,P81)&amp;""))))</f>
        <v>Kids  2/4  (50%)
Alan</v>
      </c>
      <c r="J81" s="4" t="n">
        <f aca="false">IF($A81="","",IFERROR(MATCH($B$4&amp;"|- Lane 4 - "&amp;B$69&amp;"|"&amp;$A81,'Reguler Class Availability'!$L:$L,0),""))</f>
        <v>279</v>
      </c>
      <c r="K81" s="4" t="n">
        <f aca="false">IF($A81="","",IFERROR(MATCH($B$4&amp;"|- Lane 4 - "&amp;C$69&amp;"|"&amp;$A81,'Reguler Class Availability'!$L:$L,0),""))</f>
        <v>291</v>
      </c>
      <c r="L81" s="4" t="n">
        <f aca="false">IF($A81="","",IFERROR(MATCH($B$4&amp;"|- Lane 4 - "&amp;D$69&amp;"|"&amp;$A81,'Reguler Class Availability'!$L:$L,0),""))</f>
        <v>303</v>
      </c>
      <c r="M81" s="4" t="n">
        <f aca="false">IF($A81="","",IFERROR(MATCH($B$4&amp;"|- Lane 4 - "&amp;E$69&amp;"|"&amp;$A81,'Reguler Class Availability'!$L:$L,0),""))</f>
        <v>315</v>
      </c>
      <c r="N81" s="4" t="n">
        <f aca="false">IF($A81="","",IFERROR(MATCH($B$4&amp;"|- Lane 4 - "&amp;F$69&amp;"|"&amp;$A81,'Reguler Class Availability'!$L:$L,0),""))</f>
        <v>327</v>
      </c>
      <c r="O81" s="4" t="n">
        <f aca="false">IF($A81="","",IFERROR(MATCH($B$4&amp;"|- Lane 4 - "&amp;G$69&amp;"|"&amp;$A81,'Reguler Class Availability'!$L:$L,0),""))</f>
        <v>339</v>
      </c>
      <c r="P81" s="4" t="n">
        <f aca="false">IF($A81="","",IFERROR(MATCH($B$4&amp;"|- Lane 4 - "&amp;H$69&amp;"|"&amp;$A81,'Reguler Class Availability'!$L:$L,0),""))</f>
        <v>351</v>
      </c>
      <c r="R81" s="0" t="str">
        <f aca="false">IF(J81="","",IF(AND(IFERROR(--(INDEX('Reguler Class Availability'!$F:$F,J81)&amp;""),0)=0,IFERROR(--(INDEX('Reguler Class Availability'!$G:$G,J81)&amp;""),0)=0),IF(OR(INDEX('Reguler Class Availability'!$B:$B,J81)&amp;""&lt;&gt;"",INDEX('Reguler Class Availability'!$I:$I,J81)&amp;""&lt;&gt;""),"Tutup","Tidak dibuka"),IF(IFERROR(--(INDEX('Reguler Class Availability'!$G:$G,J81)&amp;""),0)&gt;IFERROR(--(INDEX('Reguler Class Availability'!$F:$F,J81)&amp;""),0),"Lebih",IF(IFERROR(--(INDEX('Reguler Class Availability'!$G:$G,J81)&amp;""),0)=IFERROR(--(INDEX('Reguler Class Availability'!$F:$F,J81)&amp;""),0),"Penuh",IF(IFERROR(--(INDEX('Reguler Class Availability'!$G:$G,J81)&amp;""),0)=0,IF(INDEX('Reguler Class Availability'!$B:$B,J81)&amp;""="","Kosong","Belum terisi"),IF(IFERROR(--(INDEX('Reguler Class Availability'!$G:$G,J81)&amp;""),0)/IFERROR(--(INDEX('Reguler Class Availability'!$F:$F,J81)&amp;""),0)&gt;=0.6,"Tinggi","Sebagian"))))))</f>
        <v>Penuh</v>
      </c>
      <c r="S81" s="0" t="str">
        <f aca="false">IF(K81="","",IF(AND(IFERROR(--(INDEX('Reguler Class Availability'!$F:$F,K81)&amp;""),0)=0,IFERROR(--(INDEX('Reguler Class Availability'!$G:$G,K81)&amp;""),0)=0),IF(OR(INDEX('Reguler Class Availability'!$B:$B,K81)&amp;""&lt;&gt;"",INDEX('Reguler Class Availability'!$I:$I,K81)&amp;""&lt;&gt;""),"Tutup","Tidak dibuka"),IF(IFERROR(--(INDEX('Reguler Class Availability'!$G:$G,K81)&amp;""),0)&gt;IFERROR(--(INDEX('Reguler Class Availability'!$F:$F,K81)&amp;""),0),"Lebih",IF(IFERROR(--(INDEX('Reguler Class Availability'!$G:$G,K81)&amp;""),0)=IFERROR(--(INDEX('Reguler Class Availability'!$F:$F,K81)&amp;""),0),"Penuh",IF(IFERROR(--(INDEX('Reguler Class Availability'!$G:$G,K81)&amp;""),0)=0,IF(INDEX('Reguler Class Availability'!$B:$B,K81)&amp;""="","Kosong","Belum terisi"),IF(IFERROR(--(INDEX('Reguler Class Availability'!$G:$G,K81)&amp;""),0)/IFERROR(--(INDEX('Reguler Class Availability'!$F:$F,K81)&amp;""),0)&gt;=0.6,"Tinggi","Sebagian"))))))</f>
        <v>Penuh</v>
      </c>
      <c r="T81" s="0" t="str">
        <f aca="false">IF(L81="","",IF(AND(IFERROR(--(INDEX('Reguler Class Availability'!$F:$F,L81)&amp;""),0)=0,IFERROR(--(INDEX('Reguler Class Availability'!$G:$G,L81)&amp;""),0)=0),IF(OR(INDEX('Reguler Class Availability'!$B:$B,L81)&amp;""&lt;&gt;"",INDEX('Reguler Class Availability'!$I:$I,L81)&amp;""&lt;&gt;""),"Tutup","Tidak dibuka"),IF(IFERROR(--(INDEX('Reguler Class Availability'!$G:$G,L81)&amp;""),0)&gt;IFERROR(--(INDEX('Reguler Class Availability'!$F:$F,L81)&amp;""),0),"Lebih",IF(IFERROR(--(INDEX('Reguler Class Availability'!$G:$G,L81)&amp;""),0)=IFERROR(--(INDEX('Reguler Class Availability'!$F:$F,L81)&amp;""),0),"Penuh",IF(IFERROR(--(INDEX('Reguler Class Availability'!$G:$G,L81)&amp;""),0)=0,IF(INDEX('Reguler Class Availability'!$B:$B,L81)&amp;""="","Kosong","Belum terisi"),IF(IFERROR(--(INDEX('Reguler Class Availability'!$G:$G,L81)&amp;""),0)/IFERROR(--(INDEX('Reguler Class Availability'!$F:$F,L81)&amp;""),0)&gt;=0.6,"Tinggi","Sebagian"))))))</f>
        <v>Tinggi</v>
      </c>
      <c r="U81" s="0" t="str">
        <f aca="false">IF(M81="","",IF(AND(IFERROR(--(INDEX('Reguler Class Availability'!$F:$F,M81)&amp;""),0)=0,IFERROR(--(INDEX('Reguler Class Availability'!$G:$G,M81)&amp;""),0)=0),IF(OR(INDEX('Reguler Class Availability'!$B:$B,M81)&amp;""&lt;&gt;"",INDEX('Reguler Class Availability'!$I:$I,M81)&amp;""&lt;&gt;""),"Tutup","Tidak dibuka"),IF(IFERROR(--(INDEX('Reguler Class Availability'!$G:$G,M81)&amp;""),0)&gt;IFERROR(--(INDEX('Reguler Class Availability'!$F:$F,M81)&amp;""),0),"Lebih",IF(IFERROR(--(INDEX('Reguler Class Availability'!$G:$G,M81)&amp;""),0)=IFERROR(--(INDEX('Reguler Class Availability'!$F:$F,M81)&amp;""),0),"Penuh",IF(IFERROR(--(INDEX('Reguler Class Availability'!$G:$G,M81)&amp;""),0)=0,IF(INDEX('Reguler Class Availability'!$B:$B,M81)&amp;""="","Kosong","Belum terisi"),IF(IFERROR(--(INDEX('Reguler Class Availability'!$G:$G,M81)&amp;""),0)/IFERROR(--(INDEX('Reguler Class Availability'!$F:$F,M81)&amp;""),0)&gt;=0.6,"Tinggi","Sebagian"))))))</f>
        <v>Penuh</v>
      </c>
      <c r="V81" s="0" t="str">
        <f aca="false">IF(N81="","",IF(AND(IFERROR(--(INDEX('Reguler Class Availability'!$F:$F,N81)&amp;""),0)=0,IFERROR(--(INDEX('Reguler Class Availability'!$G:$G,N81)&amp;""),0)=0),IF(OR(INDEX('Reguler Class Availability'!$B:$B,N81)&amp;""&lt;&gt;"",INDEX('Reguler Class Availability'!$I:$I,N81)&amp;""&lt;&gt;""),"Tutup","Tidak dibuka"),IF(IFERROR(--(INDEX('Reguler Class Availability'!$G:$G,N81)&amp;""),0)&gt;IFERROR(--(INDEX('Reguler Class Availability'!$F:$F,N81)&amp;""),0),"Lebih",IF(IFERROR(--(INDEX('Reguler Class Availability'!$G:$G,N81)&amp;""),0)=IFERROR(--(INDEX('Reguler Class Availability'!$F:$F,N81)&amp;""),0),"Penuh",IF(IFERROR(--(INDEX('Reguler Class Availability'!$G:$G,N81)&amp;""),0)=0,IF(INDEX('Reguler Class Availability'!$B:$B,N81)&amp;""="","Kosong","Belum terisi"),IF(IFERROR(--(INDEX('Reguler Class Availability'!$G:$G,N81)&amp;""),0)/IFERROR(--(INDEX('Reguler Class Availability'!$F:$F,N81)&amp;""),0)&gt;=0.6,"Tinggi","Sebagian"))))))</f>
        <v>Penuh</v>
      </c>
      <c r="W81" s="0" t="str">
        <f aca="false">IF(O81="","",IF(AND(IFERROR(--(INDEX('Reguler Class Availability'!$F:$F,O81)&amp;""),0)=0,IFERROR(--(INDEX('Reguler Class Availability'!$G:$G,O81)&amp;""),0)=0),IF(OR(INDEX('Reguler Class Availability'!$B:$B,O81)&amp;""&lt;&gt;"",INDEX('Reguler Class Availability'!$I:$I,O81)&amp;""&lt;&gt;""),"Tutup","Tidak dibuka"),IF(IFERROR(--(INDEX('Reguler Class Availability'!$G:$G,O81)&amp;""),0)&gt;IFERROR(--(INDEX('Reguler Class Availability'!$F:$F,O81)&amp;""),0),"Lebih",IF(IFERROR(--(INDEX('Reguler Class Availability'!$G:$G,O81)&amp;""),0)=IFERROR(--(INDEX('Reguler Class Availability'!$F:$F,O81)&amp;""),0),"Penuh",IF(IFERROR(--(INDEX('Reguler Class Availability'!$G:$G,O81)&amp;""),0)=0,IF(INDEX('Reguler Class Availability'!$B:$B,O81)&amp;""="","Kosong","Belum terisi"),IF(IFERROR(--(INDEX('Reguler Class Availability'!$G:$G,O81)&amp;""),0)/IFERROR(--(INDEX('Reguler Class Availability'!$F:$F,O81)&amp;""),0)&gt;=0.6,"Tinggi","Sebagian"))))))</f>
        <v>Penuh</v>
      </c>
      <c r="X81" s="0" t="str">
        <f aca="false">IF(P81="","",IF(AND(IFERROR(--(INDEX('Reguler Class Availability'!$F:$F,P81)&amp;""),0)=0,IFERROR(--(INDEX('Reguler Class Availability'!$G:$G,P81)&amp;""),0)=0),IF(OR(INDEX('Reguler Class Availability'!$B:$B,P81)&amp;""&lt;&gt;"",INDEX('Reguler Class Availability'!$I:$I,P81)&amp;""&lt;&gt;""),"Tutup","Tidak dibuka"),IF(IFERROR(--(INDEX('Reguler Class Availability'!$G:$G,P81)&amp;""),0)&gt;IFERROR(--(INDEX('Reguler Class Availability'!$F:$F,P81)&amp;""),0),"Lebih",IF(IFERROR(--(INDEX('Reguler Class Availability'!$G:$G,P81)&amp;""),0)=IFERROR(--(INDEX('Reguler Class Availability'!$F:$F,P81)&amp;""),0),"Penuh",IF(IFERROR(--(INDEX('Reguler Class Availability'!$G:$G,P81)&amp;""),0)=0,IF(INDEX('Reguler Class Availability'!$B:$B,P81)&amp;""="","Kosong","Belum terisi"),IF(IFERROR(--(INDEX('Reguler Class Availability'!$G:$G,P81)&amp;""),0)/IFERROR(--(INDEX('Reguler Class Availability'!$F:$F,P81)&amp;""),0)&gt;=0.6,"Tinggi","Sebagian"))))))</f>
        <v>Sebagian</v>
      </c>
      <c r="Z81" s="4" t="s">
        <v>54</v>
      </c>
      <c r="AA81" s="4" t="n">
        <f aca="false">IF(COUNTIFS('Reguler Class Availability'!$L:$L,$B$4&amp;"|- Lane 2 - *|"&amp;Z81)&gt;0,1,0)</f>
        <v>0</v>
      </c>
      <c r="AB81" s="4" t="n">
        <f aca="false">AA81+AB80</f>
        <v>4</v>
      </c>
    </row>
    <row r="82" customFormat="false" ht="39.75" hidden="false" customHeight="true" outlineLevel="0" collapsed="false">
      <c r="A82" s="39" t="str">
        <f aca="false">IFERROR(INDEX($Z$182:$Z$241,MATCH(13,$AB$182:$AB$241,0)),"")</f>
        <v/>
      </c>
      <c r="B82" s="40" t="str">
        <f aca="false">IF(J82="","",IF(R82="Tidak dibuka","–",IF(INDEX('Reguler Class Availability'!$B:$B,J82)&amp;""="","Kosong",PROPER(INDEX('Reguler Class Availability'!$B:$B,J82)&amp;""))&amp;"  "&amp;IFERROR(--(INDEX('Reguler Class Availability'!$G:$G,J82)&amp;""),0)&amp;"/"&amp;IFERROR(--(INDEX('Reguler Class Availability'!$F:$F,J82)&amp;""),0)&amp;IF(IFERROR(--(INDEX('Reguler Class Availability'!$F:$F,J82)&amp;""),0)&gt;0,"  ("&amp;TEXT(IFERROR(--(INDEX('Reguler Class Availability'!$G:$G,J82)&amp;""),0)/IFERROR(--(INDEX('Reguler Class Availability'!$F:$F,J82)&amp;""),0),"0%")&amp;")","")&amp;CHAR(10)&amp;IF(INDEX('Reguler Class Availability'!$I:$I,J82)&amp;""="","coach: –",PROPER(INDEX('Reguler Class Availability'!$I:$I,J82)&amp;""))&amp;IF(INDEX('Reguler Class Availability'!$J:$J,J82)&amp;""="","",CHAR(10)&amp;"asst: "&amp;PROPER(INDEX('Reguler Class Availability'!$J:$J,J82)&amp;""))))</f>
        <v/>
      </c>
      <c r="C82" s="40" t="str">
        <f aca="false">IF(K82="","",IF(S82="Tidak dibuka","–",IF(INDEX('Reguler Class Availability'!$B:$B,K82)&amp;""="","Kosong",PROPER(INDEX('Reguler Class Availability'!$B:$B,K82)&amp;""))&amp;"  "&amp;IFERROR(--(INDEX('Reguler Class Availability'!$G:$G,K82)&amp;""),0)&amp;"/"&amp;IFERROR(--(INDEX('Reguler Class Availability'!$F:$F,K82)&amp;""),0)&amp;IF(IFERROR(--(INDEX('Reguler Class Availability'!$F:$F,K82)&amp;""),0)&gt;0,"  ("&amp;TEXT(IFERROR(--(INDEX('Reguler Class Availability'!$G:$G,K82)&amp;""),0)/IFERROR(--(INDEX('Reguler Class Availability'!$F:$F,K82)&amp;""),0),"0%")&amp;")","")&amp;CHAR(10)&amp;IF(INDEX('Reguler Class Availability'!$I:$I,K82)&amp;""="","coach: –",PROPER(INDEX('Reguler Class Availability'!$I:$I,K82)&amp;""))&amp;IF(INDEX('Reguler Class Availability'!$J:$J,K82)&amp;""="","",CHAR(10)&amp;"asst: "&amp;PROPER(INDEX('Reguler Class Availability'!$J:$J,K82)&amp;""))))</f>
        <v/>
      </c>
      <c r="D82" s="40" t="str">
        <f aca="false">IF(L82="","",IF(T82="Tidak dibuka","–",IF(INDEX('Reguler Class Availability'!$B:$B,L82)&amp;""="","Kosong",PROPER(INDEX('Reguler Class Availability'!$B:$B,L82)&amp;""))&amp;"  "&amp;IFERROR(--(INDEX('Reguler Class Availability'!$G:$G,L82)&amp;""),0)&amp;"/"&amp;IFERROR(--(INDEX('Reguler Class Availability'!$F:$F,L82)&amp;""),0)&amp;IF(IFERROR(--(INDEX('Reguler Class Availability'!$F:$F,L82)&amp;""),0)&gt;0,"  ("&amp;TEXT(IFERROR(--(INDEX('Reguler Class Availability'!$G:$G,L82)&amp;""),0)/IFERROR(--(INDEX('Reguler Class Availability'!$F:$F,L82)&amp;""),0),"0%")&amp;")","")&amp;CHAR(10)&amp;IF(INDEX('Reguler Class Availability'!$I:$I,L82)&amp;""="","coach: –",PROPER(INDEX('Reguler Class Availability'!$I:$I,L82)&amp;""))&amp;IF(INDEX('Reguler Class Availability'!$J:$J,L82)&amp;""="","",CHAR(10)&amp;"asst: "&amp;PROPER(INDEX('Reguler Class Availability'!$J:$J,L82)&amp;""))))</f>
        <v/>
      </c>
      <c r="E82" s="40" t="str">
        <f aca="false">IF(M82="","",IF(U82="Tidak dibuka","–",IF(INDEX('Reguler Class Availability'!$B:$B,M82)&amp;""="","Kosong",PROPER(INDEX('Reguler Class Availability'!$B:$B,M82)&amp;""))&amp;"  "&amp;IFERROR(--(INDEX('Reguler Class Availability'!$G:$G,M82)&amp;""),0)&amp;"/"&amp;IFERROR(--(INDEX('Reguler Class Availability'!$F:$F,M82)&amp;""),0)&amp;IF(IFERROR(--(INDEX('Reguler Class Availability'!$F:$F,M82)&amp;""),0)&gt;0,"  ("&amp;TEXT(IFERROR(--(INDEX('Reguler Class Availability'!$G:$G,M82)&amp;""),0)/IFERROR(--(INDEX('Reguler Class Availability'!$F:$F,M82)&amp;""),0),"0%")&amp;")","")&amp;CHAR(10)&amp;IF(INDEX('Reguler Class Availability'!$I:$I,M82)&amp;""="","coach: –",PROPER(INDEX('Reguler Class Availability'!$I:$I,M82)&amp;""))&amp;IF(INDEX('Reguler Class Availability'!$J:$J,M82)&amp;""="","",CHAR(10)&amp;"asst: "&amp;PROPER(INDEX('Reguler Class Availability'!$J:$J,M82)&amp;""))))</f>
        <v/>
      </c>
      <c r="F82" s="40" t="str">
        <f aca="false">IF(N82="","",IF(V82="Tidak dibuka","–",IF(INDEX('Reguler Class Availability'!$B:$B,N82)&amp;""="","Kosong",PROPER(INDEX('Reguler Class Availability'!$B:$B,N82)&amp;""))&amp;"  "&amp;IFERROR(--(INDEX('Reguler Class Availability'!$G:$G,N82)&amp;""),0)&amp;"/"&amp;IFERROR(--(INDEX('Reguler Class Availability'!$F:$F,N82)&amp;""),0)&amp;IF(IFERROR(--(INDEX('Reguler Class Availability'!$F:$F,N82)&amp;""),0)&gt;0,"  ("&amp;TEXT(IFERROR(--(INDEX('Reguler Class Availability'!$G:$G,N82)&amp;""),0)/IFERROR(--(INDEX('Reguler Class Availability'!$F:$F,N82)&amp;""),0),"0%")&amp;")","")&amp;CHAR(10)&amp;IF(INDEX('Reguler Class Availability'!$I:$I,N82)&amp;""="","coach: –",PROPER(INDEX('Reguler Class Availability'!$I:$I,N82)&amp;""))&amp;IF(INDEX('Reguler Class Availability'!$J:$J,N82)&amp;""="","",CHAR(10)&amp;"asst: "&amp;PROPER(INDEX('Reguler Class Availability'!$J:$J,N82)&amp;""))))</f>
        <v/>
      </c>
      <c r="G82" s="40" t="str">
        <f aca="false">IF(O82="","",IF(W82="Tidak dibuka","–",IF(INDEX('Reguler Class Availability'!$B:$B,O82)&amp;""="","Kosong",PROPER(INDEX('Reguler Class Availability'!$B:$B,O82)&amp;""))&amp;"  "&amp;IFERROR(--(INDEX('Reguler Class Availability'!$G:$G,O82)&amp;""),0)&amp;"/"&amp;IFERROR(--(INDEX('Reguler Class Availability'!$F:$F,O82)&amp;""),0)&amp;IF(IFERROR(--(INDEX('Reguler Class Availability'!$F:$F,O82)&amp;""),0)&gt;0,"  ("&amp;TEXT(IFERROR(--(INDEX('Reguler Class Availability'!$G:$G,O82)&amp;""),0)/IFERROR(--(INDEX('Reguler Class Availability'!$F:$F,O82)&amp;""),0),"0%")&amp;")","")&amp;CHAR(10)&amp;IF(INDEX('Reguler Class Availability'!$I:$I,O82)&amp;""="","coach: –",PROPER(INDEX('Reguler Class Availability'!$I:$I,O82)&amp;""))&amp;IF(INDEX('Reguler Class Availability'!$J:$J,O82)&amp;""="","",CHAR(10)&amp;"asst: "&amp;PROPER(INDEX('Reguler Class Availability'!$J:$J,O82)&amp;""))))</f>
        <v/>
      </c>
      <c r="H82" s="40" t="str">
        <f aca="false">IF(P82="","",IF(X82="Tidak dibuka","–",IF(INDEX('Reguler Class Availability'!$B:$B,P82)&amp;""="","Kosong",PROPER(INDEX('Reguler Class Availability'!$B:$B,P82)&amp;""))&amp;"  "&amp;IFERROR(--(INDEX('Reguler Class Availability'!$G:$G,P82)&amp;""),0)&amp;"/"&amp;IFERROR(--(INDEX('Reguler Class Availability'!$F:$F,P82)&amp;""),0)&amp;IF(IFERROR(--(INDEX('Reguler Class Availability'!$F:$F,P82)&amp;""),0)&gt;0,"  ("&amp;TEXT(IFERROR(--(INDEX('Reguler Class Availability'!$G:$G,P82)&amp;""),0)/IFERROR(--(INDEX('Reguler Class Availability'!$F:$F,P82)&amp;""),0),"0%")&amp;")","")&amp;CHAR(10)&amp;IF(INDEX('Reguler Class Availability'!$I:$I,P82)&amp;""="","coach: –",PROPER(INDEX('Reguler Class Availability'!$I:$I,P82)&amp;""))&amp;IF(INDEX('Reguler Class Availability'!$J:$J,P82)&amp;""="","",CHAR(10)&amp;"asst: "&amp;PROPER(INDEX('Reguler Class Availability'!$J:$J,P82)&amp;""))))</f>
        <v/>
      </c>
      <c r="J82" s="0" t="str">
        <f aca="false">IF($A82="","",IFERROR(MATCH($B$4&amp;"|- Lane 4 - "&amp;B$69&amp;"|"&amp;$A82,'Reguler Class Availability'!$L:$L,0),""))</f>
        <v/>
      </c>
      <c r="K82" s="0" t="str">
        <f aca="false">IF($A82="","",IFERROR(MATCH($B$4&amp;"|- Lane 4 - "&amp;C$69&amp;"|"&amp;$A82,'Reguler Class Availability'!$L:$L,0),""))</f>
        <v/>
      </c>
      <c r="L82" s="0" t="str">
        <f aca="false">IF($A82="","",IFERROR(MATCH($B$4&amp;"|- Lane 4 - "&amp;D$69&amp;"|"&amp;$A82,'Reguler Class Availability'!$L:$L,0),""))</f>
        <v/>
      </c>
      <c r="M82" s="0" t="str">
        <f aca="false">IF($A82="","",IFERROR(MATCH($B$4&amp;"|- Lane 4 - "&amp;E$69&amp;"|"&amp;$A82,'Reguler Class Availability'!$L:$L,0),""))</f>
        <v/>
      </c>
      <c r="N82" s="0" t="str">
        <f aca="false">IF($A82="","",IFERROR(MATCH($B$4&amp;"|- Lane 4 - "&amp;F$69&amp;"|"&amp;$A82,'Reguler Class Availability'!$L:$L,0),""))</f>
        <v/>
      </c>
      <c r="O82" s="0" t="str">
        <f aca="false">IF($A82="","",IFERROR(MATCH($B$4&amp;"|- Lane 4 - "&amp;G$69&amp;"|"&amp;$A82,'Reguler Class Availability'!$L:$L,0),""))</f>
        <v/>
      </c>
      <c r="P82" s="0" t="str">
        <f aca="false">IF($A82="","",IFERROR(MATCH($B$4&amp;"|- Lane 4 - "&amp;H$69&amp;"|"&amp;$A82,'Reguler Class Availability'!$L:$L,0),""))</f>
        <v/>
      </c>
      <c r="R82" s="0" t="str">
        <f aca="false">IF(J82="","",IF(AND(IFERROR(--(INDEX('Reguler Class Availability'!$F:$F,J82)&amp;""),0)=0,IFERROR(--(INDEX('Reguler Class Availability'!$G:$G,J82)&amp;""),0)=0),IF(OR(INDEX('Reguler Class Availability'!$B:$B,J82)&amp;""&lt;&gt;"",INDEX('Reguler Class Availability'!$I:$I,J82)&amp;""&lt;&gt;""),"Tutup","Tidak dibuka"),IF(IFERROR(--(INDEX('Reguler Class Availability'!$G:$G,J82)&amp;""),0)&gt;IFERROR(--(INDEX('Reguler Class Availability'!$F:$F,J82)&amp;""),0),"Lebih",IF(IFERROR(--(INDEX('Reguler Class Availability'!$G:$G,J82)&amp;""),0)=IFERROR(--(INDEX('Reguler Class Availability'!$F:$F,J82)&amp;""),0),"Penuh",IF(IFERROR(--(INDEX('Reguler Class Availability'!$G:$G,J82)&amp;""),0)=0,IF(INDEX('Reguler Class Availability'!$B:$B,J82)&amp;""="","Kosong","Belum terisi"),IF(IFERROR(--(INDEX('Reguler Class Availability'!$G:$G,J82)&amp;""),0)/IFERROR(--(INDEX('Reguler Class Availability'!$F:$F,J82)&amp;""),0)&gt;=0.6,"Tinggi","Sebagian"))))))</f>
        <v/>
      </c>
      <c r="S82" s="0" t="str">
        <f aca="false">IF(K82="","",IF(AND(IFERROR(--(INDEX('Reguler Class Availability'!$F:$F,K82)&amp;""),0)=0,IFERROR(--(INDEX('Reguler Class Availability'!$G:$G,K82)&amp;""),0)=0),IF(OR(INDEX('Reguler Class Availability'!$B:$B,K82)&amp;""&lt;&gt;"",INDEX('Reguler Class Availability'!$I:$I,K82)&amp;""&lt;&gt;""),"Tutup","Tidak dibuka"),IF(IFERROR(--(INDEX('Reguler Class Availability'!$G:$G,K82)&amp;""),0)&gt;IFERROR(--(INDEX('Reguler Class Availability'!$F:$F,K82)&amp;""),0),"Lebih",IF(IFERROR(--(INDEX('Reguler Class Availability'!$G:$G,K82)&amp;""),0)=IFERROR(--(INDEX('Reguler Class Availability'!$F:$F,K82)&amp;""),0),"Penuh",IF(IFERROR(--(INDEX('Reguler Class Availability'!$G:$G,K82)&amp;""),0)=0,IF(INDEX('Reguler Class Availability'!$B:$B,K82)&amp;""="","Kosong","Belum terisi"),IF(IFERROR(--(INDEX('Reguler Class Availability'!$G:$G,K82)&amp;""),0)/IFERROR(--(INDEX('Reguler Class Availability'!$F:$F,K82)&amp;""),0)&gt;=0.6,"Tinggi","Sebagian"))))))</f>
        <v/>
      </c>
      <c r="T82" s="0" t="str">
        <f aca="false">IF(L82="","",IF(AND(IFERROR(--(INDEX('Reguler Class Availability'!$F:$F,L82)&amp;""),0)=0,IFERROR(--(INDEX('Reguler Class Availability'!$G:$G,L82)&amp;""),0)=0),IF(OR(INDEX('Reguler Class Availability'!$B:$B,L82)&amp;""&lt;&gt;"",INDEX('Reguler Class Availability'!$I:$I,L82)&amp;""&lt;&gt;""),"Tutup","Tidak dibuka"),IF(IFERROR(--(INDEX('Reguler Class Availability'!$G:$G,L82)&amp;""),0)&gt;IFERROR(--(INDEX('Reguler Class Availability'!$F:$F,L82)&amp;""),0),"Lebih",IF(IFERROR(--(INDEX('Reguler Class Availability'!$G:$G,L82)&amp;""),0)=IFERROR(--(INDEX('Reguler Class Availability'!$F:$F,L82)&amp;""),0),"Penuh",IF(IFERROR(--(INDEX('Reguler Class Availability'!$G:$G,L82)&amp;""),0)=0,IF(INDEX('Reguler Class Availability'!$B:$B,L82)&amp;""="","Kosong","Belum terisi"),IF(IFERROR(--(INDEX('Reguler Class Availability'!$G:$G,L82)&amp;""),0)/IFERROR(--(INDEX('Reguler Class Availability'!$F:$F,L82)&amp;""),0)&gt;=0.6,"Tinggi","Sebagian"))))))</f>
        <v/>
      </c>
      <c r="U82" s="0" t="str">
        <f aca="false">IF(M82="","",IF(AND(IFERROR(--(INDEX('Reguler Class Availability'!$F:$F,M82)&amp;""),0)=0,IFERROR(--(INDEX('Reguler Class Availability'!$G:$G,M82)&amp;""),0)=0),IF(OR(INDEX('Reguler Class Availability'!$B:$B,M82)&amp;""&lt;&gt;"",INDEX('Reguler Class Availability'!$I:$I,M82)&amp;""&lt;&gt;""),"Tutup","Tidak dibuka"),IF(IFERROR(--(INDEX('Reguler Class Availability'!$G:$G,M82)&amp;""),0)&gt;IFERROR(--(INDEX('Reguler Class Availability'!$F:$F,M82)&amp;""),0),"Lebih",IF(IFERROR(--(INDEX('Reguler Class Availability'!$G:$G,M82)&amp;""),0)=IFERROR(--(INDEX('Reguler Class Availability'!$F:$F,M82)&amp;""),0),"Penuh",IF(IFERROR(--(INDEX('Reguler Class Availability'!$G:$G,M82)&amp;""),0)=0,IF(INDEX('Reguler Class Availability'!$B:$B,M82)&amp;""="","Kosong","Belum terisi"),IF(IFERROR(--(INDEX('Reguler Class Availability'!$G:$G,M82)&amp;""),0)/IFERROR(--(INDEX('Reguler Class Availability'!$F:$F,M82)&amp;""),0)&gt;=0.6,"Tinggi","Sebagian"))))))</f>
        <v/>
      </c>
      <c r="V82" s="0" t="str">
        <f aca="false">IF(N82="","",IF(AND(IFERROR(--(INDEX('Reguler Class Availability'!$F:$F,N82)&amp;""),0)=0,IFERROR(--(INDEX('Reguler Class Availability'!$G:$G,N82)&amp;""),0)=0),IF(OR(INDEX('Reguler Class Availability'!$B:$B,N82)&amp;""&lt;&gt;"",INDEX('Reguler Class Availability'!$I:$I,N82)&amp;""&lt;&gt;""),"Tutup","Tidak dibuka"),IF(IFERROR(--(INDEX('Reguler Class Availability'!$G:$G,N82)&amp;""),0)&gt;IFERROR(--(INDEX('Reguler Class Availability'!$F:$F,N82)&amp;""),0),"Lebih",IF(IFERROR(--(INDEX('Reguler Class Availability'!$G:$G,N82)&amp;""),0)=IFERROR(--(INDEX('Reguler Class Availability'!$F:$F,N82)&amp;""),0),"Penuh",IF(IFERROR(--(INDEX('Reguler Class Availability'!$G:$G,N82)&amp;""),0)=0,IF(INDEX('Reguler Class Availability'!$B:$B,N82)&amp;""="","Kosong","Belum terisi"),IF(IFERROR(--(INDEX('Reguler Class Availability'!$G:$G,N82)&amp;""),0)/IFERROR(--(INDEX('Reguler Class Availability'!$F:$F,N82)&amp;""),0)&gt;=0.6,"Tinggi","Sebagian"))))))</f>
        <v/>
      </c>
      <c r="W82" s="0" t="str">
        <f aca="false">IF(O82="","",IF(AND(IFERROR(--(INDEX('Reguler Class Availability'!$F:$F,O82)&amp;""),0)=0,IFERROR(--(INDEX('Reguler Class Availability'!$G:$G,O82)&amp;""),0)=0),IF(OR(INDEX('Reguler Class Availability'!$B:$B,O82)&amp;""&lt;&gt;"",INDEX('Reguler Class Availability'!$I:$I,O82)&amp;""&lt;&gt;""),"Tutup","Tidak dibuka"),IF(IFERROR(--(INDEX('Reguler Class Availability'!$G:$G,O82)&amp;""),0)&gt;IFERROR(--(INDEX('Reguler Class Availability'!$F:$F,O82)&amp;""),0),"Lebih",IF(IFERROR(--(INDEX('Reguler Class Availability'!$G:$G,O82)&amp;""),0)=IFERROR(--(INDEX('Reguler Class Availability'!$F:$F,O82)&amp;""),0),"Penuh",IF(IFERROR(--(INDEX('Reguler Class Availability'!$G:$G,O82)&amp;""),0)=0,IF(INDEX('Reguler Class Availability'!$B:$B,O82)&amp;""="","Kosong","Belum terisi"),IF(IFERROR(--(INDEX('Reguler Class Availability'!$G:$G,O82)&amp;""),0)/IFERROR(--(INDEX('Reguler Class Availability'!$F:$F,O82)&amp;""),0)&gt;=0.6,"Tinggi","Sebagian"))))))</f>
        <v/>
      </c>
      <c r="X82" s="0" t="str">
        <f aca="false">IF(P82="","",IF(AND(IFERROR(--(INDEX('Reguler Class Availability'!$F:$F,P82)&amp;""),0)=0,IFERROR(--(INDEX('Reguler Class Availability'!$G:$G,P82)&amp;""),0)=0),IF(OR(INDEX('Reguler Class Availability'!$B:$B,P82)&amp;""&lt;&gt;"",INDEX('Reguler Class Availability'!$I:$I,P82)&amp;""&lt;&gt;""),"Tutup","Tidak dibuka"),IF(IFERROR(--(INDEX('Reguler Class Availability'!$G:$G,P82)&amp;""),0)&gt;IFERROR(--(INDEX('Reguler Class Availability'!$F:$F,P82)&amp;""),0),"Lebih",IF(IFERROR(--(INDEX('Reguler Class Availability'!$G:$G,P82)&amp;""),0)=IFERROR(--(INDEX('Reguler Class Availability'!$F:$F,P82)&amp;""),0),"Penuh",IF(IFERROR(--(INDEX('Reguler Class Availability'!$G:$G,P82)&amp;""),0)=0,IF(INDEX('Reguler Class Availability'!$B:$B,P82)&amp;""="","Kosong","Belum terisi"),IF(IFERROR(--(INDEX('Reguler Class Availability'!$G:$G,P82)&amp;""),0)/IFERROR(--(INDEX('Reguler Class Availability'!$F:$F,P82)&amp;""),0)&gt;=0.6,"Tinggi","Sebagian"))))))</f>
        <v/>
      </c>
      <c r="Z82" s="4" t="s">
        <v>55</v>
      </c>
      <c r="AA82" s="4" t="n">
        <f aca="false">IF(COUNTIFS('Reguler Class Availability'!$L:$L,$B$4&amp;"|- Lane 2 - *|"&amp;Z82)&gt;0,1,0)</f>
        <v>0</v>
      </c>
      <c r="AB82" s="4" t="n">
        <f aca="false">AA82+AB81</f>
        <v>4</v>
      </c>
    </row>
    <row r="83" customFormat="false" ht="39.75" hidden="false" customHeight="true" outlineLevel="0" collapsed="false">
      <c r="A83" s="39" t="str">
        <f aca="false">IFERROR(INDEX($Z$182:$Z$241,MATCH(14,$AB$182:$AB$241,0)),"")</f>
        <v/>
      </c>
      <c r="B83" s="40" t="str">
        <f aca="false">IF(J83="","",IF(R83="Tidak dibuka","–",IF(INDEX('Reguler Class Availability'!$B:$B,J83)&amp;""="","Kosong",PROPER(INDEX('Reguler Class Availability'!$B:$B,J83)&amp;""))&amp;"  "&amp;IFERROR(--(INDEX('Reguler Class Availability'!$G:$G,J83)&amp;""),0)&amp;"/"&amp;IFERROR(--(INDEX('Reguler Class Availability'!$F:$F,J83)&amp;""),0)&amp;IF(IFERROR(--(INDEX('Reguler Class Availability'!$F:$F,J83)&amp;""),0)&gt;0,"  ("&amp;TEXT(IFERROR(--(INDEX('Reguler Class Availability'!$G:$G,J83)&amp;""),0)/IFERROR(--(INDEX('Reguler Class Availability'!$F:$F,J83)&amp;""),0),"0%")&amp;")","")&amp;CHAR(10)&amp;IF(INDEX('Reguler Class Availability'!$I:$I,J83)&amp;""="","coach: –",PROPER(INDEX('Reguler Class Availability'!$I:$I,J83)&amp;""))&amp;IF(INDEX('Reguler Class Availability'!$J:$J,J83)&amp;""="","",CHAR(10)&amp;"asst: "&amp;PROPER(INDEX('Reguler Class Availability'!$J:$J,J83)&amp;""))))</f>
        <v/>
      </c>
      <c r="C83" s="40" t="str">
        <f aca="false">IF(K83="","",IF(S83="Tidak dibuka","–",IF(INDEX('Reguler Class Availability'!$B:$B,K83)&amp;""="","Kosong",PROPER(INDEX('Reguler Class Availability'!$B:$B,K83)&amp;""))&amp;"  "&amp;IFERROR(--(INDEX('Reguler Class Availability'!$G:$G,K83)&amp;""),0)&amp;"/"&amp;IFERROR(--(INDEX('Reguler Class Availability'!$F:$F,K83)&amp;""),0)&amp;IF(IFERROR(--(INDEX('Reguler Class Availability'!$F:$F,K83)&amp;""),0)&gt;0,"  ("&amp;TEXT(IFERROR(--(INDEX('Reguler Class Availability'!$G:$G,K83)&amp;""),0)/IFERROR(--(INDEX('Reguler Class Availability'!$F:$F,K83)&amp;""),0),"0%")&amp;")","")&amp;CHAR(10)&amp;IF(INDEX('Reguler Class Availability'!$I:$I,K83)&amp;""="","coach: –",PROPER(INDEX('Reguler Class Availability'!$I:$I,K83)&amp;""))&amp;IF(INDEX('Reguler Class Availability'!$J:$J,K83)&amp;""="","",CHAR(10)&amp;"asst: "&amp;PROPER(INDEX('Reguler Class Availability'!$J:$J,K83)&amp;""))))</f>
        <v/>
      </c>
      <c r="D83" s="40" t="str">
        <f aca="false">IF(L83="","",IF(T83="Tidak dibuka","–",IF(INDEX('Reguler Class Availability'!$B:$B,L83)&amp;""="","Kosong",PROPER(INDEX('Reguler Class Availability'!$B:$B,L83)&amp;""))&amp;"  "&amp;IFERROR(--(INDEX('Reguler Class Availability'!$G:$G,L83)&amp;""),0)&amp;"/"&amp;IFERROR(--(INDEX('Reguler Class Availability'!$F:$F,L83)&amp;""),0)&amp;IF(IFERROR(--(INDEX('Reguler Class Availability'!$F:$F,L83)&amp;""),0)&gt;0,"  ("&amp;TEXT(IFERROR(--(INDEX('Reguler Class Availability'!$G:$G,L83)&amp;""),0)/IFERROR(--(INDEX('Reguler Class Availability'!$F:$F,L83)&amp;""),0),"0%")&amp;")","")&amp;CHAR(10)&amp;IF(INDEX('Reguler Class Availability'!$I:$I,L83)&amp;""="","coach: –",PROPER(INDEX('Reguler Class Availability'!$I:$I,L83)&amp;""))&amp;IF(INDEX('Reguler Class Availability'!$J:$J,L83)&amp;""="","",CHAR(10)&amp;"asst: "&amp;PROPER(INDEX('Reguler Class Availability'!$J:$J,L83)&amp;""))))</f>
        <v/>
      </c>
      <c r="E83" s="40" t="str">
        <f aca="false">IF(M83="","",IF(U83="Tidak dibuka","–",IF(INDEX('Reguler Class Availability'!$B:$B,M83)&amp;""="","Kosong",PROPER(INDEX('Reguler Class Availability'!$B:$B,M83)&amp;""))&amp;"  "&amp;IFERROR(--(INDEX('Reguler Class Availability'!$G:$G,M83)&amp;""),0)&amp;"/"&amp;IFERROR(--(INDEX('Reguler Class Availability'!$F:$F,M83)&amp;""),0)&amp;IF(IFERROR(--(INDEX('Reguler Class Availability'!$F:$F,M83)&amp;""),0)&gt;0,"  ("&amp;TEXT(IFERROR(--(INDEX('Reguler Class Availability'!$G:$G,M83)&amp;""),0)/IFERROR(--(INDEX('Reguler Class Availability'!$F:$F,M83)&amp;""),0),"0%")&amp;")","")&amp;CHAR(10)&amp;IF(INDEX('Reguler Class Availability'!$I:$I,M83)&amp;""="","coach: –",PROPER(INDEX('Reguler Class Availability'!$I:$I,M83)&amp;""))&amp;IF(INDEX('Reguler Class Availability'!$J:$J,M83)&amp;""="","",CHAR(10)&amp;"asst: "&amp;PROPER(INDEX('Reguler Class Availability'!$J:$J,M83)&amp;""))))</f>
        <v/>
      </c>
      <c r="F83" s="40" t="str">
        <f aca="false">IF(N83="","",IF(V83="Tidak dibuka","–",IF(INDEX('Reguler Class Availability'!$B:$B,N83)&amp;""="","Kosong",PROPER(INDEX('Reguler Class Availability'!$B:$B,N83)&amp;""))&amp;"  "&amp;IFERROR(--(INDEX('Reguler Class Availability'!$G:$G,N83)&amp;""),0)&amp;"/"&amp;IFERROR(--(INDEX('Reguler Class Availability'!$F:$F,N83)&amp;""),0)&amp;IF(IFERROR(--(INDEX('Reguler Class Availability'!$F:$F,N83)&amp;""),0)&gt;0,"  ("&amp;TEXT(IFERROR(--(INDEX('Reguler Class Availability'!$G:$G,N83)&amp;""),0)/IFERROR(--(INDEX('Reguler Class Availability'!$F:$F,N83)&amp;""),0),"0%")&amp;")","")&amp;CHAR(10)&amp;IF(INDEX('Reguler Class Availability'!$I:$I,N83)&amp;""="","coach: –",PROPER(INDEX('Reguler Class Availability'!$I:$I,N83)&amp;""))&amp;IF(INDEX('Reguler Class Availability'!$J:$J,N83)&amp;""="","",CHAR(10)&amp;"asst: "&amp;PROPER(INDEX('Reguler Class Availability'!$J:$J,N83)&amp;""))))</f>
        <v/>
      </c>
      <c r="G83" s="40" t="str">
        <f aca="false">IF(O83="","",IF(W83="Tidak dibuka","–",IF(INDEX('Reguler Class Availability'!$B:$B,O83)&amp;""="","Kosong",PROPER(INDEX('Reguler Class Availability'!$B:$B,O83)&amp;""))&amp;"  "&amp;IFERROR(--(INDEX('Reguler Class Availability'!$G:$G,O83)&amp;""),0)&amp;"/"&amp;IFERROR(--(INDEX('Reguler Class Availability'!$F:$F,O83)&amp;""),0)&amp;IF(IFERROR(--(INDEX('Reguler Class Availability'!$F:$F,O83)&amp;""),0)&gt;0,"  ("&amp;TEXT(IFERROR(--(INDEX('Reguler Class Availability'!$G:$G,O83)&amp;""),0)/IFERROR(--(INDEX('Reguler Class Availability'!$F:$F,O83)&amp;""),0),"0%")&amp;")","")&amp;CHAR(10)&amp;IF(INDEX('Reguler Class Availability'!$I:$I,O83)&amp;""="","coach: –",PROPER(INDEX('Reguler Class Availability'!$I:$I,O83)&amp;""))&amp;IF(INDEX('Reguler Class Availability'!$J:$J,O83)&amp;""="","",CHAR(10)&amp;"asst: "&amp;PROPER(INDEX('Reguler Class Availability'!$J:$J,O83)&amp;""))))</f>
        <v/>
      </c>
      <c r="H83" s="40" t="str">
        <f aca="false">IF(P83="","",IF(X83="Tidak dibuka","–",IF(INDEX('Reguler Class Availability'!$B:$B,P83)&amp;""="","Kosong",PROPER(INDEX('Reguler Class Availability'!$B:$B,P83)&amp;""))&amp;"  "&amp;IFERROR(--(INDEX('Reguler Class Availability'!$G:$G,P83)&amp;""),0)&amp;"/"&amp;IFERROR(--(INDEX('Reguler Class Availability'!$F:$F,P83)&amp;""),0)&amp;IF(IFERROR(--(INDEX('Reguler Class Availability'!$F:$F,P83)&amp;""),0)&gt;0,"  ("&amp;TEXT(IFERROR(--(INDEX('Reguler Class Availability'!$G:$G,P83)&amp;""),0)/IFERROR(--(INDEX('Reguler Class Availability'!$F:$F,P83)&amp;""),0),"0%")&amp;")","")&amp;CHAR(10)&amp;IF(INDEX('Reguler Class Availability'!$I:$I,P83)&amp;""="","coach: –",PROPER(INDEX('Reguler Class Availability'!$I:$I,P83)&amp;""))&amp;IF(INDEX('Reguler Class Availability'!$J:$J,P83)&amp;""="","",CHAR(10)&amp;"asst: "&amp;PROPER(INDEX('Reguler Class Availability'!$J:$J,P83)&amp;""))))</f>
        <v/>
      </c>
      <c r="J83" s="0" t="str">
        <f aca="false">IF($A83="","",IFERROR(MATCH($B$4&amp;"|- Lane 4 - "&amp;B$69&amp;"|"&amp;$A83,'Reguler Class Availability'!$L:$L,0),""))</f>
        <v/>
      </c>
      <c r="K83" s="0" t="str">
        <f aca="false">IF($A83="","",IFERROR(MATCH($B$4&amp;"|- Lane 4 - "&amp;C$69&amp;"|"&amp;$A83,'Reguler Class Availability'!$L:$L,0),""))</f>
        <v/>
      </c>
      <c r="L83" s="0" t="str">
        <f aca="false">IF($A83="","",IFERROR(MATCH($B$4&amp;"|- Lane 4 - "&amp;D$69&amp;"|"&amp;$A83,'Reguler Class Availability'!$L:$L,0),""))</f>
        <v/>
      </c>
      <c r="M83" s="0" t="str">
        <f aca="false">IF($A83="","",IFERROR(MATCH($B$4&amp;"|- Lane 4 - "&amp;E$69&amp;"|"&amp;$A83,'Reguler Class Availability'!$L:$L,0),""))</f>
        <v/>
      </c>
      <c r="N83" s="0" t="str">
        <f aca="false">IF($A83="","",IFERROR(MATCH($B$4&amp;"|- Lane 4 - "&amp;F$69&amp;"|"&amp;$A83,'Reguler Class Availability'!$L:$L,0),""))</f>
        <v/>
      </c>
      <c r="O83" s="0" t="str">
        <f aca="false">IF($A83="","",IFERROR(MATCH($B$4&amp;"|- Lane 4 - "&amp;G$69&amp;"|"&amp;$A83,'Reguler Class Availability'!$L:$L,0),""))</f>
        <v/>
      </c>
      <c r="P83" s="0" t="str">
        <f aca="false">IF($A83="","",IFERROR(MATCH($B$4&amp;"|- Lane 4 - "&amp;H$69&amp;"|"&amp;$A83,'Reguler Class Availability'!$L:$L,0),""))</f>
        <v/>
      </c>
      <c r="R83" s="0" t="str">
        <f aca="false">IF(J83="","",IF(AND(IFERROR(--(INDEX('Reguler Class Availability'!$F:$F,J83)&amp;""),0)=0,IFERROR(--(INDEX('Reguler Class Availability'!$G:$G,J83)&amp;""),0)=0),IF(OR(INDEX('Reguler Class Availability'!$B:$B,J83)&amp;""&lt;&gt;"",INDEX('Reguler Class Availability'!$I:$I,J83)&amp;""&lt;&gt;""),"Tutup","Tidak dibuka"),IF(IFERROR(--(INDEX('Reguler Class Availability'!$G:$G,J83)&amp;""),0)&gt;IFERROR(--(INDEX('Reguler Class Availability'!$F:$F,J83)&amp;""),0),"Lebih",IF(IFERROR(--(INDEX('Reguler Class Availability'!$G:$G,J83)&amp;""),0)=IFERROR(--(INDEX('Reguler Class Availability'!$F:$F,J83)&amp;""),0),"Penuh",IF(IFERROR(--(INDEX('Reguler Class Availability'!$G:$G,J83)&amp;""),0)=0,IF(INDEX('Reguler Class Availability'!$B:$B,J83)&amp;""="","Kosong","Belum terisi"),IF(IFERROR(--(INDEX('Reguler Class Availability'!$G:$G,J83)&amp;""),0)/IFERROR(--(INDEX('Reguler Class Availability'!$F:$F,J83)&amp;""),0)&gt;=0.6,"Tinggi","Sebagian"))))))</f>
        <v/>
      </c>
      <c r="S83" s="0" t="str">
        <f aca="false">IF(K83="","",IF(AND(IFERROR(--(INDEX('Reguler Class Availability'!$F:$F,K83)&amp;""),0)=0,IFERROR(--(INDEX('Reguler Class Availability'!$G:$G,K83)&amp;""),0)=0),IF(OR(INDEX('Reguler Class Availability'!$B:$B,K83)&amp;""&lt;&gt;"",INDEX('Reguler Class Availability'!$I:$I,K83)&amp;""&lt;&gt;""),"Tutup","Tidak dibuka"),IF(IFERROR(--(INDEX('Reguler Class Availability'!$G:$G,K83)&amp;""),0)&gt;IFERROR(--(INDEX('Reguler Class Availability'!$F:$F,K83)&amp;""),0),"Lebih",IF(IFERROR(--(INDEX('Reguler Class Availability'!$G:$G,K83)&amp;""),0)=IFERROR(--(INDEX('Reguler Class Availability'!$F:$F,K83)&amp;""),0),"Penuh",IF(IFERROR(--(INDEX('Reguler Class Availability'!$G:$G,K83)&amp;""),0)=0,IF(INDEX('Reguler Class Availability'!$B:$B,K83)&amp;""="","Kosong","Belum terisi"),IF(IFERROR(--(INDEX('Reguler Class Availability'!$G:$G,K83)&amp;""),0)/IFERROR(--(INDEX('Reguler Class Availability'!$F:$F,K83)&amp;""),0)&gt;=0.6,"Tinggi","Sebagian"))))))</f>
        <v/>
      </c>
      <c r="T83" s="0" t="str">
        <f aca="false">IF(L83="","",IF(AND(IFERROR(--(INDEX('Reguler Class Availability'!$F:$F,L83)&amp;""),0)=0,IFERROR(--(INDEX('Reguler Class Availability'!$G:$G,L83)&amp;""),0)=0),IF(OR(INDEX('Reguler Class Availability'!$B:$B,L83)&amp;""&lt;&gt;"",INDEX('Reguler Class Availability'!$I:$I,L83)&amp;""&lt;&gt;""),"Tutup","Tidak dibuka"),IF(IFERROR(--(INDEX('Reguler Class Availability'!$G:$G,L83)&amp;""),0)&gt;IFERROR(--(INDEX('Reguler Class Availability'!$F:$F,L83)&amp;""),0),"Lebih",IF(IFERROR(--(INDEX('Reguler Class Availability'!$G:$G,L83)&amp;""),0)=IFERROR(--(INDEX('Reguler Class Availability'!$F:$F,L83)&amp;""),0),"Penuh",IF(IFERROR(--(INDEX('Reguler Class Availability'!$G:$G,L83)&amp;""),0)=0,IF(INDEX('Reguler Class Availability'!$B:$B,L83)&amp;""="","Kosong","Belum terisi"),IF(IFERROR(--(INDEX('Reguler Class Availability'!$G:$G,L83)&amp;""),0)/IFERROR(--(INDEX('Reguler Class Availability'!$F:$F,L83)&amp;""),0)&gt;=0.6,"Tinggi","Sebagian"))))))</f>
        <v/>
      </c>
      <c r="U83" s="0" t="str">
        <f aca="false">IF(M83="","",IF(AND(IFERROR(--(INDEX('Reguler Class Availability'!$F:$F,M83)&amp;""),0)=0,IFERROR(--(INDEX('Reguler Class Availability'!$G:$G,M83)&amp;""),0)=0),IF(OR(INDEX('Reguler Class Availability'!$B:$B,M83)&amp;""&lt;&gt;"",INDEX('Reguler Class Availability'!$I:$I,M83)&amp;""&lt;&gt;""),"Tutup","Tidak dibuka"),IF(IFERROR(--(INDEX('Reguler Class Availability'!$G:$G,M83)&amp;""),0)&gt;IFERROR(--(INDEX('Reguler Class Availability'!$F:$F,M83)&amp;""),0),"Lebih",IF(IFERROR(--(INDEX('Reguler Class Availability'!$G:$G,M83)&amp;""),0)=IFERROR(--(INDEX('Reguler Class Availability'!$F:$F,M83)&amp;""),0),"Penuh",IF(IFERROR(--(INDEX('Reguler Class Availability'!$G:$G,M83)&amp;""),0)=0,IF(INDEX('Reguler Class Availability'!$B:$B,M83)&amp;""="","Kosong","Belum terisi"),IF(IFERROR(--(INDEX('Reguler Class Availability'!$G:$G,M83)&amp;""),0)/IFERROR(--(INDEX('Reguler Class Availability'!$F:$F,M83)&amp;""),0)&gt;=0.6,"Tinggi","Sebagian"))))))</f>
        <v/>
      </c>
      <c r="V83" s="0" t="str">
        <f aca="false">IF(N83="","",IF(AND(IFERROR(--(INDEX('Reguler Class Availability'!$F:$F,N83)&amp;""),0)=0,IFERROR(--(INDEX('Reguler Class Availability'!$G:$G,N83)&amp;""),0)=0),IF(OR(INDEX('Reguler Class Availability'!$B:$B,N83)&amp;""&lt;&gt;"",INDEX('Reguler Class Availability'!$I:$I,N83)&amp;""&lt;&gt;""),"Tutup","Tidak dibuka"),IF(IFERROR(--(INDEX('Reguler Class Availability'!$G:$G,N83)&amp;""),0)&gt;IFERROR(--(INDEX('Reguler Class Availability'!$F:$F,N83)&amp;""),0),"Lebih",IF(IFERROR(--(INDEX('Reguler Class Availability'!$G:$G,N83)&amp;""),0)=IFERROR(--(INDEX('Reguler Class Availability'!$F:$F,N83)&amp;""),0),"Penuh",IF(IFERROR(--(INDEX('Reguler Class Availability'!$G:$G,N83)&amp;""),0)=0,IF(INDEX('Reguler Class Availability'!$B:$B,N83)&amp;""="","Kosong","Belum terisi"),IF(IFERROR(--(INDEX('Reguler Class Availability'!$G:$G,N83)&amp;""),0)/IFERROR(--(INDEX('Reguler Class Availability'!$F:$F,N83)&amp;""),0)&gt;=0.6,"Tinggi","Sebagian"))))))</f>
        <v/>
      </c>
      <c r="W83" s="0" t="str">
        <f aca="false">IF(O83="","",IF(AND(IFERROR(--(INDEX('Reguler Class Availability'!$F:$F,O83)&amp;""),0)=0,IFERROR(--(INDEX('Reguler Class Availability'!$G:$G,O83)&amp;""),0)=0),IF(OR(INDEX('Reguler Class Availability'!$B:$B,O83)&amp;""&lt;&gt;"",INDEX('Reguler Class Availability'!$I:$I,O83)&amp;""&lt;&gt;""),"Tutup","Tidak dibuka"),IF(IFERROR(--(INDEX('Reguler Class Availability'!$G:$G,O83)&amp;""),0)&gt;IFERROR(--(INDEX('Reguler Class Availability'!$F:$F,O83)&amp;""),0),"Lebih",IF(IFERROR(--(INDEX('Reguler Class Availability'!$G:$G,O83)&amp;""),0)=IFERROR(--(INDEX('Reguler Class Availability'!$F:$F,O83)&amp;""),0),"Penuh",IF(IFERROR(--(INDEX('Reguler Class Availability'!$G:$G,O83)&amp;""),0)=0,IF(INDEX('Reguler Class Availability'!$B:$B,O83)&amp;""="","Kosong","Belum terisi"),IF(IFERROR(--(INDEX('Reguler Class Availability'!$G:$G,O83)&amp;""),0)/IFERROR(--(INDEX('Reguler Class Availability'!$F:$F,O83)&amp;""),0)&gt;=0.6,"Tinggi","Sebagian"))))))</f>
        <v/>
      </c>
      <c r="X83" s="0" t="str">
        <f aca="false">IF(P83="","",IF(AND(IFERROR(--(INDEX('Reguler Class Availability'!$F:$F,P83)&amp;""),0)=0,IFERROR(--(INDEX('Reguler Class Availability'!$G:$G,P83)&amp;""),0)=0),IF(OR(INDEX('Reguler Class Availability'!$B:$B,P83)&amp;""&lt;&gt;"",INDEX('Reguler Class Availability'!$I:$I,P83)&amp;""&lt;&gt;""),"Tutup","Tidak dibuka"),IF(IFERROR(--(INDEX('Reguler Class Availability'!$G:$G,P83)&amp;""),0)&gt;IFERROR(--(INDEX('Reguler Class Availability'!$F:$F,P83)&amp;""),0),"Lebih",IF(IFERROR(--(INDEX('Reguler Class Availability'!$G:$G,P83)&amp;""),0)=IFERROR(--(INDEX('Reguler Class Availability'!$F:$F,P83)&amp;""),0),"Penuh",IF(IFERROR(--(INDEX('Reguler Class Availability'!$G:$G,P83)&amp;""),0)=0,IF(INDEX('Reguler Class Availability'!$B:$B,P83)&amp;""="","Kosong","Belum terisi"),IF(IFERROR(--(INDEX('Reguler Class Availability'!$G:$G,P83)&amp;""),0)/IFERROR(--(INDEX('Reguler Class Availability'!$F:$F,P83)&amp;""),0)&gt;=0.6,"Tinggi","Sebagian"))))))</f>
        <v/>
      </c>
      <c r="Z83" s="4" t="s">
        <v>56</v>
      </c>
      <c r="AA83" s="4" t="n">
        <f aca="false">IF(COUNTIFS('Reguler Class Availability'!$L:$L,$B$4&amp;"|- Lane 2 - *|"&amp;Z83)&gt;0,1,0)</f>
        <v>1</v>
      </c>
      <c r="AB83" s="4" t="n">
        <f aca="false">AA83+AB82</f>
        <v>5</v>
      </c>
    </row>
    <row r="84" customFormat="false" ht="15" hidden="false" customHeight="false" outlineLevel="0" collapsed="false">
      <c r="A84" s="41" t="s">
        <v>63</v>
      </c>
      <c r="B84" s="42" t="str">
        <f aca="false">IFERROR(TEXT(SUMIFS('Reguler Class Availability'!$G:$G,'Reguler Class Availability'!$A:$A,$B$4,'Reguler Class Availability'!$C:$C,"- Lane 4 - "&amp;B$69,'Reguler Class Availability'!$F:$F,"&gt;0")/SUMIFS('Reguler Class Availability'!$F:$F,'Reguler Class Availability'!$A:$A,$B$4,'Reguler Class Availability'!$C:$C,"- Lane 4 - "&amp;B$69,'Reguler Class Availability'!$F:$F,"&gt;0"),"0%"),"–")</f>
        <v>53%</v>
      </c>
      <c r="C84" s="42" t="str">
        <f aca="false">IFERROR(TEXT(SUMIFS('Reguler Class Availability'!$G:$G,'Reguler Class Availability'!$A:$A,$B$4,'Reguler Class Availability'!$C:$C,"- Lane 4 - "&amp;C$69,'Reguler Class Availability'!$F:$F,"&gt;0")/SUMIFS('Reguler Class Availability'!$F:$F,'Reguler Class Availability'!$A:$A,$B$4,'Reguler Class Availability'!$C:$C,"- Lane 4 - "&amp;C$69,'Reguler Class Availability'!$F:$F,"&gt;0"),"0%"),"–")</f>
        <v>50%</v>
      </c>
      <c r="D84" s="42" t="str">
        <f aca="false">IFERROR(TEXT(SUMIFS('Reguler Class Availability'!$G:$G,'Reguler Class Availability'!$A:$A,$B$4,'Reguler Class Availability'!$C:$C,"- Lane 4 - "&amp;D$69,'Reguler Class Availability'!$F:$F,"&gt;0")/SUMIFS('Reguler Class Availability'!$F:$F,'Reguler Class Availability'!$A:$A,$B$4,'Reguler Class Availability'!$C:$C,"- Lane 4 - "&amp;D$69,'Reguler Class Availability'!$F:$F,"&gt;0"),"0%"),"–")</f>
        <v>65%</v>
      </c>
      <c r="E84" s="42" t="str">
        <f aca="false">IFERROR(TEXT(SUMIFS('Reguler Class Availability'!$G:$G,'Reguler Class Availability'!$A:$A,$B$4,'Reguler Class Availability'!$C:$C,"- Lane 4 - "&amp;E$69,'Reguler Class Availability'!$F:$F,"&gt;0")/SUMIFS('Reguler Class Availability'!$F:$F,'Reguler Class Availability'!$A:$A,$B$4,'Reguler Class Availability'!$C:$C,"- Lane 4 - "&amp;E$69,'Reguler Class Availability'!$F:$F,"&gt;0"),"0%"),"–")</f>
        <v>47%</v>
      </c>
      <c r="F84" s="42" t="str">
        <f aca="false">IFERROR(TEXT(SUMIFS('Reguler Class Availability'!$G:$G,'Reguler Class Availability'!$A:$A,$B$4,'Reguler Class Availability'!$C:$C,"- Lane 4 - "&amp;F$69,'Reguler Class Availability'!$F:$F,"&gt;0")/SUMIFS('Reguler Class Availability'!$F:$F,'Reguler Class Availability'!$A:$A,$B$4,'Reguler Class Availability'!$C:$C,"- Lane 4 - "&amp;F$69,'Reguler Class Availability'!$F:$F,"&gt;0"),"0%"),"–")</f>
        <v>64%</v>
      </c>
      <c r="G84" s="42" t="str">
        <f aca="false">IFERROR(TEXT(SUMIFS('Reguler Class Availability'!$G:$G,'Reguler Class Availability'!$A:$A,$B$4,'Reguler Class Availability'!$C:$C,"- Lane 4 - "&amp;G$69,'Reguler Class Availability'!$F:$F,"&gt;0")/SUMIFS('Reguler Class Availability'!$F:$F,'Reguler Class Availability'!$A:$A,$B$4,'Reguler Class Availability'!$C:$C,"- Lane 4 - "&amp;G$69,'Reguler Class Availability'!$F:$F,"&gt;0"),"0%"),"–")</f>
        <v>91%</v>
      </c>
      <c r="H84" s="42" t="str">
        <f aca="false">IFERROR(TEXT(SUMIFS('Reguler Class Availability'!$G:$G,'Reguler Class Availability'!$A:$A,$B$4,'Reguler Class Availability'!$C:$C,"- Lane 4 - "&amp;H$69,'Reguler Class Availability'!$F:$F,"&gt;0")/SUMIFS('Reguler Class Availability'!$F:$F,'Reguler Class Availability'!$A:$A,$B$4,'Reguler Class Availability'!$C:$C,"- Lane 4 - "&amp;H$69,'Reguler Class Availability'!$F:$F,"&gt;0"),"0%"),"–")</f>
        <v>93%</v>
      </c>
      <c r="Z84" s="4" t="s">
        <v>57</v>
      </c>
      <c r="AA84" s="4" t="n">
        <f aca="false">IF(COUNTIFS('Reguler Class Availability'!$L:$L,$B$4&amp;"|- Lane 2 - *|"&amp;Z84)&gt;0,1,0)</f>
        <v>0</v>
      </c>
      <c r="AB84" s="4" t="n">
        <f aca="false">AA84+AB83</f>
        <v>5</v>
      </c>
    </row>
    <row r="85" customFormat="false" ht="15" hidden="false" customHeight="false" outlineLevel="0" collapsed="false">
      <c r="Z85" s="0" t="s">
        <v>58</v>
      </c>
      <c r="AA85" s="0" t="n">
        <f aca="false">IF(COUNTIFS('Reguler Class Availability'!$L:$L,$B$4&amp;"|- Lane 2 - *|"&amp;Z85)&gt;0,1,0)</f>
        <v>0</v>
      </c>
      <c r="AB85" s="0" t="n">
        <f aca="false">AA85+AB84</f>
        <v>5</v>
      </c>
    </row>
    <row r="86" customFormat="false" ht="15" hidden="false" customHeight="false" outlineLevel="0" collapsed="false">
      <c r="A86" s="34" t="s">
        <v>99</v>
      </c>
      <c r="B86" s="35"/>
      <c r="C86" s="36" t="str">
        <f aca="false">"Utilisasi lane: "&amp;IFERROR(TEXT(SUMIFS('Reguler Class Availability'!$G:$G,'Reguler Class Availability'!$A:$A,$B$4,'Reguler Class Availability'!$C:$C,"- Lane 5 - *",'Reguler Class Availability'!$F:$F,"&gt;0")/SUMIFS('Reguler Class Availability'!$F:$F,'Reguler Class Availability'!$A:$A,$B$4,'Reguler Class Availability'!$C:$C,"- Lane 5 - *",'Reguler Class Availability'!$F:$F,"&gt;0"),"0%"),"–")&amp;"   ·   Belum terisi: "&amp;COUNTIF($R$88:$X$101,"Belum terisi")&amp;"   ·   Slot kosong: "&amp;COUNTIF($R$88:$X$101,"Kosong")</f>
        <v>Utilisasi lane: 54%   ·   Belum terisi: 0   ·   Slot kosong: 29</v>
      </c>
      <c r="D86" s="35"/>
      <c r="E86" s="35"/>
      <c r="F86" s="35"/>
      <c r="G86" s="35"/>
      <c r="H86" s="35"/>
      <c r="Z86" s="4" t="s">
        <v>59</v>
      </c>
      <c r="AA86" s="4" t="n">
        <f aca="false">IF(COUNTIFS('Reguler Class Availability'!$L:$L,$B$4&amp;"|- Lane 2 - *|"&amp;Z86)&gt;0,1,0)</f>
        <v>1</v>
      </c>
      <c r="AB86" s="4" t="n">
        <f aca="false">AA86+AB85</f>
        <v>6</v>
      </c>
    </row>
    <row r="87" customFormat="false" ht="15" hidden="false" customHeight="false" outlineLevel="0" collapsed="false">
      <c r="A87" s="37" t="s">
        <v>38</v>
      </c>
      <c r="B87" s="38" t="s">
        <v>39</v>
      </c>
      <c r="C87" s="38" t="s">
        <v>40</v>
      </c>
      <c r="D87" s="38" t="s">
        <v>41</v>
      </c>
      <c r="E87" s="38" t="s">
        <v>42</v>
      </c>
      <c r="F87" s="38" t="s">
        <v>43</v>
      </c>
      <c r="G87" s="38" t="s">
        <v>44</v>
      </c>
      <c r="H87" s="38" t="s">
        <v>45</v>
      </c>
      <c r="Z87" s="4" t="s">
        <v>60</v>
      </c>
      <c r="AA87" s="4" t="n">
        <f aca="false">IF(COUNTIFS('Reguler Class Availability'!$L:$L,$B$4&amp;"|- Lane 2 - *|"&amp;Z87)&gt;0,1,0)</f>
        <v>0</v>
      </c>
      <c r="AB87" s="4" t="n">
        <f aca="false">AA87+AB86</f>
        <v>6</v>
      </c>
    </row>
    <row r="88" customFormat="false" ht="39.75" hidden="false" customHeight="true" outlineLevel="0" collapsed="false">
      <c r="A88" s="39" t="str">
        <f aca="false">IFERROR(INDEX($Z$242:$Z$301,MATCH(1,$AB$242:$AB$301,0)),"")</f>
        <v>08:00</v>
      </c>
      <c r="B88" s="40" t="str">
        <f aca="false">IF(J88="","",IF(R88="Tidak dibuka","–",IF(INDEX('Reguler Class Availability'!$B:$B,J88)&amp;""="","Kosong",PROPER(INDEX('Reguler Class Availability'!$B:$B,J88)&amp;""))&amp;"  "&amp;IFERROR(--(INDEX('Reguler Class Availability'!$G:$G,J88)&amp;""),0)&amp;"/"&amp;IFERROR(--(INDEX('Reguler Class Availability'!$F:$F,J88)&amp;""),0)&amp;IF(IFERROR(--(INDEX('Reguler Class Availability'!$F:$F,J88)&amp;""),0)&gt;0,"  ("&amp;TEXT(IFERROR(--(INDEX('Reguler Class Availability'!$G:$G,J88)&amp;""),0)/IFERROR(--(INDEX('Reguler Class Availability'!$F:$F,J88)&amp;""),0),"0%")&amp;")","")&amp;CHAR(10)&amp;IF(INDEX('Reguler Class Availability'!$I:$I,J88)&amp;""="","coach: –",PROPER(INDEX('Reguler Class Availability'!$I:$I,J88)&amp;""))&amp;IF(INDEX('Reguler Class Availability'!$J:$J,J88)&amp;""="","",CHAR(10)&amp;"asst: "&amp;PROPER(INDEX('Reguler Class Availability'!$J:$J,J88)&amp;""))))</f>
        <v>–</v>
      </c>
      <c r="C88" s="40" t="str">
        <f aca="false">IF(K88="","",IF(S88="Tidak dibuka","–",IF(INDEX('Reguler Class Availability'!$B:$B,K88)&amp;""="","Kosong",PROPER(INDEX('Reguler Class Availability'!$B:$B,K88)&amp;""))&amp;"  "&amp;IFERROR(--(INDEX('Reguler Class Availability'!$G:$G,K88)&amp;""),0)&amp;"/"&amp;IFERROR(--(INDEX('Reguler Class Availability'!$F:$F,K88)&amp;""),0)&amp;IF(IFERROR(--(INDEX('Reguler Class Availability'!$F:$F,K88)&amp;""),0)&gt;0,"  ("&amp;TEXT(IFERROR(--(INDEX('Reguler Class Availability'!$G:$G,K88)&amp;""),0)/IFERROR(--(INDEX('Reguler Class Availability'!$F:$F,K88)&amp;""),0),"0%")&amp;")","")&amp;CHAR(10)&amp;IF(INDEX('Reguler Class Availability'!$I:$I,K88)&amp;""="","coach: –",PROPER(INDEX('Reguler Class Availability'!$I:$I,K88)&amp;""))&amp;IF(INDEX('Reguler Class Availability'!$J:$J,K88)&amp;""="","",CHAR(10)&amp;"asst: "&amp;PROPER(INDEX('Reguler Class Availability'!$J:$J,K88)&amp;""))))</f>
        <v>–</v>
      </c>
      <c r="D88" s="40" t="str">
        <f aca="false">IF(L88="","",IF(T88="Tidak dibuka","–",IF(INDEX('Reguler Class Availability'!$B:$B,L88)&amp;""="","Kosong",PROPER(INDEX('Reguler Class Availability'!$B:$B,L88)&amp;""))&amp;"  "&amp;IFERROR(--(INDEX('Reguler Class Availability'!$G:$G,L88)&amp;""),0)&amp;"/"&amp;IFERROR(--(INDEX('Reguler Class Availability'!$F:$F,L88)&amp;""),0)&amp;IF(IFERROR(--(INDEX('Reguler Class Availability'!$F:$F,L88)&amp;""),0)&gt;0,"  ("&amp;TEXT(IFERROR(--(INDEX('Reguler Class Availability'!$G:$G,L88)&amp;""),0)/IFERROR(--(INDEX('Reguler Class Availability'!$F:$F,L88)&amp;""),0),"0%")&amp;")","")&amp;CHAR(10)&amp;IF(INDEX('Reguler Class Availability'!$I:$I,L88)&amp;""="","coach: –",PROPER(INDEX('Reguler Class Availability'!$I:$I,L88)&amp;""))&amp;IF(INDEX('Reguler Class Availability'!$J:$J,L88)&amp;""="","",CHAR(10)&amp;"asst: "&amp;PROPER(INDEX('Reguler Class Availability'!$J:$J,L88)&amp;""))))</f>
        <v>–</v>
      </c>
      <c r="E88" s="40" t="str">
        <f aca="false">IF(M88="","",IF(U88="Tidak dibuka","–",IF(INDEX('Reguler Class Availability'!$B:$B,M88)&amp;""="","Kosong",PROPER(INDEX('Reguler Class Availability'!$B:$B,M88)&amp;""))&amp;"  "&amp;IFERROR(--(INDEX('Reguler Class Availability'!$G:$G,M88)&amp;""),0)&amp;"/"&amp;IFERROR(--(INDEX('Reguler Class Availability'!$F:$F,M88)&amp;""),0)&amp;IF(IFERROR(--(INDEX('Reguler Class Availability'!$F:$F,M88)&amp;""),0)&gt;0,"  ("&amp;TEXT(IFERROR(--(INDEX('Reguler Class Availability'!$G:$G,M88)&amp;""),0)/IFERROR(--(INDEX('Reguler Class Availability'!$F:$F,M88)&amp;""),0),"0%")&amp;")","")&amp;CHAR(10)&amp;IF(INDEX('Reguler Class Availability'!$I:$I,M88)&amp;""="","coach: –",PROPER(INDEX('Reguler Class Availability'!$I:$I,M88)&amp;""))&amp;IF(INDEX('Reguler Class Availability'!$J:$J,M88)&amp;""="","",CHAR(10)&amp;"asst: "&amp;PROPER(INDEX('Reguler Class Availability'!$J:$J,M88)&amp;""))))</f>
        <v>–</v>
      </c>
      <c r="F88" s="40" t="str">
        <f aca="false">IF(N88="","",IF(V88="Tidak dibuka","–",IF(INDEX('Reguler Class Availability'!$B:$B,N88)&amp;""="","Kosong",PROPER(INDEX('Reguler Class Availability'!$B:$B,N88)&amp;""))&amp;"  "&amp;IFERROR(--(INDEX('Reguler Class Availability'!$G:$G,N88)&amp;""),0)&amp;"/"&amp;IFERROR(--(INDEX('Reguler Class Availability'!$F:$F,N88)&amp;""),0)&amp;IF(IFERROR(--(INDEX('Reguler Class Availability'!$F:$F,N88)&amp;""),0)&gt;0,"  ("&amp;TEXT(IFERROR(--(INDEX('Reguler Class Availability'!$G:$G,N88)&amp;""),0)/IFERROR(--(INDEX('Reguler Class Availability'!$F:$F,N88)&amp;""),0),"0%")&amp;")","")&amp;CHAR(10)&amp;IF(INDEX('Reguler Class Availability'!$I:$I,N88)&amp;""="","coach: –",PROPER(INDEX('Reguler Class Availability'!$I:$I,N88)&amp;""))&amp;IF(INDEX('Reguler Class Availability'!$J:$J,N88)&amp;""="","",CHAR(10)&amp;"asst: "&amp;PROPER(INDEX('Reguler Class Availability'!$J:$J,N88)&amp;""))))</f>
        <v>–</v>
      </c>
      <c r="G88" s="40" t="str">
        <f aca="false">IF(O88="","",IF(W88="Tidak dibuka","–",IF(INDEX('Reguler Class Availability'!$B:$B,O88)&amp;""="","Kosong",PROPER(INDEX('Reguler Class Availability'!$B:$B,O88)&amp;""))&amp;"  "&amp;IFERROR(--(INDEX('Reguler Class Availability'!$G:$G,O88)&amp;""),0)&amp;"/"&amp;IFERROR(--(INDEX('Reguler Class Availability'!$F:$F,O88)&amp;""),0)&amp;IF(IFERROR(--(INDEX('Reguler Class Availability'!$F:$F,O88)&amp;""),0)&gt;0,"  ("&amp;TEXT(IFERROR(--(INDEX('Reguler Class Availability'!$G:$G,O88)&amp;""),0)/IFERROR(--(INDEX('Reguler Class Availability'!$F:$F,O88)&amp;""),0),"0%")&amp;")","")&amp;CHAR(10)&amp;IF(INDEX('Reguler Class Availability'!$I:$I,O88)&amp;""="","coach: –",PROPER(INDEX('Reguler Class Availability'!$I:$I,O88)&amp;""))&amp;IF(INDEX('Reguler Class Availability'!$J:$J,O88)&amp;""="","",CHAR(10)&amp;"asst: "&amp;PROPER(INDEX('Reguler Class Availability'!$J:$J,O88)&amp;""))))</f>
        <v>–</v>
      </c>
      <c r="H88" s="40" t="str">
        <f aca="false">IF(P88="","",IF(X88="Tidak dibuka","–",IF(INDEX('Reguler Class Availability'!$B:$B,P88)&amp;""="","Kosong",PROPER(INDEX('Reguler Class Availability'!$B:$B,P88)&amp;""))&amp;"  "&amp;IFERROR(--(INDEX('Reguler Class Availability'!$G:$G,P88)&amp;""),0)&amp;"/"&amp;IFERROR(--(INDEX('Reguler Class Availability'!$F:$F,P88)&amp;""),0)&amp;IF(IFERROR(--(INDEX('Reguler Class Availability'!$F:$F,P88)&amp;""),0)&gt;0,"  ("&amp;TEXT(IFERROR(--(INDEX('Reguler Class Availability'!$G:$G,P88)&amp;""),0)/IFERROR(--(INDEX('Reguler Class Availability'!$F:$F,P88)&amp;""),0),"0%")&amp;")","")&amp;CHAR(10)&amp;IF(INDEX('Reguler Class Availability'!$I:$I,P88)&amp;""="","coach: –",PROPER(INDEX('Reguler Class Availability'!$I:$I,P88)&amp;""))&amp;IF(INDEX('Reguler Class Availability'!$J:$J,P88)&amp;""="","",CHAR(10)&amp;"asst: "&amp;PROPER(INDEX('Reguler Class Availability'!$J:$J,P88)&amp;""))))</f>
        <v>–</v>
      </c>
      <c r="J88" s="4" t="n">
        <f aca="false">IF($A88="","",IFERROR(MATCH($B$4&amp;"|- Lane 5 - "&amp;B$87&amp;"|"&amp;$A88,'Reguler Class Availability'!$L:$L,0),""))</f>
        <v>352</v>
      </c>
      <c r="K88" s="4" t="n">
        <f aca="false">IF($A88="","",IFERROR(MATCH($B$4&amp;"|- Lane 5 - "&amp;C$87&amp;"|"&amp;$A88,'Reguler Class Availability'!$L:$L,0),""))</f>
        <v>364</v>
      </c>
      <c r="L88" s="4" t="n">
        <f aca="false">IF($A88="","",IFERROR(MATCH($B$4&amp;"|- Lane 5 - "&amp;D$87&amp;"|"&amp;$A88,'Reguler Class Availability'!$L:$L,0),""))</f>
        <v>376</v>
      </c>
      <c r="M88" s="4" t="n">
        <f aca="false">IF($A88="","",IFERROR(MATCH($B$4&amp;"|- Lane 5 - "&amp;E$87&amp;"|"&amp;$A88,'Reguler Class Availability'!$L:$L,0),""))</f>
        <v>388</v>
      </c>
      <c r="N88" s="4" t="n">
        <f aca="false">IF($A88="","",IFERROR(MATCH($B$4&amp;"|- Lane 5 - "&amp;F$87&amp;"|"&amp;$A88,'Reguler Class Availability'!$L:$L,0),""))</f>
        <v>400</v>
      </c>
      <c r="O88" s="4" t="n">
        <f aca="false">IF($A88="","",IFERROR(MATCH($B$4&amp;"|- Lane 5 - "&amp;G$87&amp;"|"&amp;$A88,'Reguler Class Availability'!$L:$L,0),""))</f>
        <v>412</v>
      </c>
      <c r="P88" s="4" t="n">
        <f aca="false">IF($A88="","",IFERROR(MATCH($B$4&amp;"|- Lane 5 - "&amp;H$87&amp;"|"&amp;$A88,'Reguler Class Availability'!$L:$L,0),""))</f>
        <v>424</v>
      </c>
      <c r="R88" s="0" t="str">
        <f aca="false">IF(J88="","",IF(AND(IFERROR(--(INDEX('Reguler Class Availability'!$F:$F,J88)&amp;""),0)=0,IFERROR(--(INDEX('Reguler Class Availability'!$G:$G,J88)&amp;""),0)=0),IF(OR(INDEX('Reguler Class Availability'!$B:$B,J88)&amp;""&lt;&gt;"",INDEX('Reguler Class Availability'!$I:$I,J88)&amp;""&lt;&gt;""),"Tutup","Tidak dibuka"),IF(IFERROR(--(INDEX('Reguler Class Availability'!$G:$G,J88)&amp;""),0)&gt;IFERROR(--(INDEX('Reguler Class Availability'!$F:$F,J88)&amp;""),0),"Lebih",IF(IFERROR(--(INDEX('Reguler Class Availability'!$G:$G,J88)&amp;""),0)=IFERROR(--(INDEX('Reguler Class Availability'!$F:$F,J88)&amp;""),0),"Penuh",IF(IFERROR(--(INDEX('Reguler Class Availability'!$G:$G,J88)&amp;""),0)=0,IF(INDEX('Reguler Class Availability'!$B:$B,J88)&amp;""="","Kosong","Belum terisi"),IF(IFERROR(--(INDEX('Reguler Class Availability'!$G:$G,J88)&amp;""),0)/IFERROR(--(INDEX('Reguler Class Availability'!$F:$F,J88)&amp;""),0)&gt;=0.6,"Tinggi","Sebagian"))))))</f>
        <v>Tidak dibuka</v>
      </c>
      <c r="S88" s="0" t="str">
        <f aca="false">IF(K88="","",IF(AND(IFERROR(--(INDEX('Reguler Class Availability'!$F:$F,K88)&amp;""),0)=0,IFERROR(--(INDEX('Reguler Class Availability'!$G:$G,K88)&amp;""),0)=0),IF(OR(INDEX('Reguler Class Availability'!$B:$B,K88)&amp;""&lt;&gt;"",INDEX('Reguler Class Availability'!$I:$I,K88)&amp;""&lt;&gt;""),"Tutup","Tidak dibuka"),IF(IFERROR(--(INDEX('Reguler Class Availability'!$G:$G,K88)&amp;""),0)&gt;IFERROR(--(INDEX('Reguler Class Availability'!$F:$F,K88)&amp;""),0),"Lebih",IF(IFERROR(--(INDEX('Reguler Class Availability'!$G:$G,K88)&amp;""),0)=IFERROR(--(INDEX('Reguler Class Availability'!$F:$F,K88)&amp;""),0),"Penuh",IF(IFERROR(--(INDEX('Reguler Class Availability'!$G:$G,K88)&amp;""),0)=0,IF(INDEX('Reguler Class Availability'!$B:$B,K88)&amp;""="","Kosong","Belum terisi"),IF(IFERROR(--(INDEX('Reguler Class Availability'!$G:$G,K88)&amp;""),0)/IFERROR(--(INDEX('Reguler Class Availability'!$F:$F,K88)&amp;""),0)&gt;=0.6,"Tinggi","Sebagian"))))))</f>
        <v>Tidak dibuka</v>
      </c>
      <c r="T88" s="0" t="str">
        <f aca="false">IF(L88="","",IF(AND(IFERROR(--(INDEX('Reguler Class Availability'!$F:$F,L88)&amp;""),0)=0,IFERROR(--(INDEX('Reguler Class Availability'!$G:$G,L88)&amp;""),0)=0),IF(OR(INDEX('Reguler Class Availability'!$B:$B,L88)&amp;""&lt;&gt;"",INDEX('Reguler Class Availability'!$I:$I,L88)&amp;""&lt;&gt;""),"Tutup","Tidak dibuka"),IF(IFERROR(--(INDEX('Reguler Class Availability'!$G:$G,L88)&amp;""),0)&gt;IFERROR(--(INDEX('Reguler Class Availability'!$F:$F,L88)&amp;""),0),"Lebih",IF(IFERROR(--(INDEX('Reguler Class Availability'!$G:$G,L88)&amp;""),0)=IFERROR(--(INDEX('Reguler Class Availability'!$F:$F,L88)&amp;""),0),"Penuh",IF(IFERROR(--(INDEX('Reguler Class Availability'!$G:$G,L88)&amp;""),0)=0,IF(INDEX('Reguler Class Availability'!$B:$B,L88)&amp;""="","Kosong","Belum terisi"),IF(IFERROR(--(INDEX('Reguler Class Availability'!$G:$G,L88)&amp;""),0)/IFERROR(--(INDEX('Reguler Class Availability'!$F:$F,L88)&amp;""),0)&gt;=0.6,"Tinggi","Sebagian"))))))</f>
        <v>Tidak dibuka</v>
      </c>
      <c r="U88" s="0" t="str">
        <f aca="false">IF(M88="","",IF(AND(IFERROR(--(INDEX('Reguler Class Availability'!$F:$F,M88)&amp;""),0)=0,IFERROR(--(INDEX('Reguler Class Availability'!$G:$G,M88)&amp;""),0)=0),IF(OR(INDEX('Reguler Class Availability'!$B:$B,M88)&amp;""&lt;&gt;"",INDEX('Reguler Class Availability'!$I:$I,M88)&amp;""&lt;&gt;""),"Tutup","Tidak dibuka"),IF(IFERROR(--(INDEX('Reguler Class Availability'!$G:$G,M88)&amp;""),0)&gt;IFERROR(--(INDEX('Reguler Class Availability'!$F:$F,M88)&amp;""),0),"Lebih",IF(IFERROR(--(INDEX('Reguler Class Availability'!$G:$G,M88)&amp;""),0)=IFERROR(--(INDEX('Reguler Class Availability'!$F:$F,M88)&amp;""),0),"Penuh",IF(IFERROR(--(INDEX('Reguler Class Availability'!$G:$G,M88)&amp;""),0)=0,IF(INDEX('Reguler Class Availability'!$B:$B,M88)&amp;""="","Kosong","Belum terisi"),IF(IFERROR(--(INDEX('Reguler Class Availability'!$G:$G,M88)&amp;""),0)/IFERROR(--(INDEX('Reguler Class Availability'!$F:$F,M88)&amp;""),0)&gt;=0.6,"Tinggi","Sebagian"))))))</f>
        <v>Tidak dibuka</v>
      </c>
      <c r="V88" s="0" t="str">
        <f aca="false">IF(N88="","",IF(AND(IFERROR(--(INDEX('Reguler Class Availability'!$F:$F,N88)&amp;""),0)=0,IFERROR(--(INDEX('Reguler Class Availability'!$G:$G,N88)&amp;""),0)=0),IF(OR(INDEX('Reguler Class Availability'!$B:$B,N88)&amp;""&lt;&gt;"",INDEX('Reguler Class Availability'!$I:$I,N88)&amp;""&lt;&gt;""),"Tutup","Tidak dibuka"),IF(IFERROR(--(INDEX('Reguler Class Availability'!$G:$G,N88)&amp;""),0)&gt;IFERROR(--(INDEX('Reguler Class Availability'!$F:$F,N88)&amp;""),0),"Lebih",IF(IFERROR(--(INDEX('Reguler Class Availability'!$G:$G,N88)&amp;""),0)=IFERROR(--(INDEX('Reguler Class Availability'!$F:$F,N88)&amp;""),0),"Penuh",IF(IFERROR(--(INDEX('Reguler Class Availability'!$G:$G,N88)&amp;""),0)=0,IF(INDEX('Reguler Class Availability'!$B:$B,N88)&amp;""="","Kosong","Belum terisi"),IF(IFERROR(--(INDEX('Reguler Class Availability'!$G:$G,N88)&amp;""),0)/IFERROR(--(INDEX('Reguler Class Availability'!$F:$F,N88)&amp;""),0)&gt;=0.6,"Tinggi","Sebagian"))))))</f>
        <v>Tidak dibuka</v>
      </c>
      <c r="W88" s="0" t="str">
        <f aca="false">IF(O88="","",IF(AND(IFERROR(--(INDEX('Reguler Class Availability'!$F:$F,O88)&amp;""),0)=0,IFERROR(--(INDEX('Reguler Class Availability'!$G:$G,O88)&amp;""),0)=0),IF(OR(INDEX('Reguler Class Availability'!$B:$B,O88)&amp;""&lt;&gt;"",INDEX('Reguler Class Availability'!$I:$I,O88)&amp;""&lt;&gt;""),"Tutup","Tidak dibuka"),IF(IFERROR(--(INDEX('Reguler Class Availability'!$G:$G,O88)&amp;""),0)&gt;IFERROR(--(INDEX('Reguler Class Availability'!$F:$F,O88)&amp;""),0),"Lebih",IF(IFERROR(--(INDEX('Reguler Class Availability'!$G:$G,O88)&amp;""),0)=IFERROR(--(INDEX('Reguler Class Availability'!$F:$F,O88)&amp;""),0),"Penuh",IF(IFERROR(--(INDEX('Reguler Class Availability'!$G:$G,O88)&amp;""),0)=0,IF(INDEX('Reguler Class Availability'!$B:$B,O88)&amp;""="","Kosong","Belum terisi"),IF(IFERROR(--(INDEX('Reguler Class Availability'!$G:$G,O88)&amp;""),0)/IFERROR(--(INDEX('Reguler Class Availability'!$F:$F,O88)&amp;""),0)&gt;=0.6,"Tinggi","Sebagian"))))))</f>
        <v>Tidak dibuka</v>
      </c>
      <c r="X88" s="0" t="str">
        <f aca="false">IF(P88="","",IF(AND(IFERROR(--(INDEX('Reguler Class Availability'!$F:$F,P88)&amp;""),0)=0,IFERROR(--(INDEX('Reguler Class Availability'!$G:$G,P88)&amp;""),0)=0),IF(OR(INDEX('Reguler Class Availability'!$B:$B,P88)&amp;""&lt;&gt;"",INDEX('Reguler Class Availability'!$I:$I,P88)&amp;""&lt;&gt;""),"Tutup","Tidak dibuka"),IF(IFERROR(--(INDEX('Reguler Class Availability'!$G:$G,P88)&amp;""),0)&gt;IFERROR(--(INDEX('Reguler Class Availability'!$F:$F,P88)&amp;""),0),"Lebih",IF(IFERROR(--(INDEX('Reguler Class Availability'!$G:$G,P88)&amp;""),0)=IFERROR(--(INDEX('Reguler Class Availability'!$F:$F,P88)&amp;""),0),"Penuh",IF(IFERROR(--(INDEX('Reguler Class Availability'!$G:$G,P88)&amp;""),0)=0,IF(INDEX('Reguler Class Availability'!$B:$B,P88)&amp;""="","Kosong","Belum terisi"),IF(IFERROR(--(INDEX('Reguler Class Availability'!$G:$G,P88)&amp;""),0)/IFERROR(--(INDEX('Reguler Class Availability'!$F:$F,P88)&amp;""),0)&gt;=0.6,"Tinggi","Sebagian"))))))</f>
        <v>Tidak dibuka</v>
      </c>
      <c r="Z88" s="4" t="s">
        <v>61</v>
      </c>
      <c r="AA88" s="4" t="n">
        <f aca="false">IF(COUNTIFS('Reguler Class Availability'!$L:$L,$B$4&amp;"|- Lane 2 - *|"&amp;Z88)&gt;0,1,0)</f>
        <v>0</v>
      </c>
      <c r="AB88" s="4" t="n">
        <f aca="false">AA88+AB87</f>
        <v>6</v>
      </c>
    </row>
    <row r="89" customFormat="false" ht="39.75" hidden="false" customHeight="true" outlineLevel="0" collapsed="false">
      <c r="A89" s="39" t="str">
        <f aca="false">IFERROR(INDEX($Z$242:$Z$301,MATCH(2,$AB$242:$AB$301,0)),"")</f>
        <v>08:45</v>
      </c>
      <c r="B89" s="40" t="str">
        <f aca="false">IF(J89="","",IF(R89="Tidak dibuka","–",IF(INDEX('Reguler Class Availability'!$B:$B,J89)&amp;""="","Kosong",PROPER(INDEX('Reguler Class Availability'!$B:$B,J89)&amp;""))&amp;"  "&amp;IFERROR(--(INDEX('Reguler Class Availability'!$G:$G,J89)&amp;""),0)&amp;"/"&amp;IFERROR(--(INDEX('Reguler Class Availability'!$F:$F,J89)&amp;""),0)&amp;IF(IFERROR(--(INDEX('Reguler Class Availability'!$F:$F,J89)&amp;""),0)&gt;0,"  ("&amp;TEXT(IFERROR(--(INDEX('Reguler Class Availability'!$G:$G,J89)&amp;""),0)/IFERROR(--(INDEX('Reguler Class Availability'!$F:$F,J89)&amp;""),0),"0%")&amp;")","")&amp;CHAR(10)&amp;IF(INDEX('Reguler Class Availability'!$I:$I,J89)&amp;""="","coach: –",PROPER(INDEX('Reguler Class Availability'!$I:$I,J89)&amp;""))&amp;IF(INDEX('Reguler Class Availability'!$J:$J,J89)&amp;""="","",CHAR(10)&amp;"asst: "&amp;PROPER(INDEX('Reguler Class Availability'!$J:$J,J89)&amp;""))))</f>
        <v>Kosong  0/4  (0%)
coach: –</v>
      </c>
      <c r="C89" s="40" t="str">
        <f aca="false">IF(K89="","",IF(S89="Tidak dibuka","–",IF(INDEX('Reguler Class Availability'!$B:$B,K89)&amp;""="","Kosong",PROPER(INDEX('Reguler Class Availability'!$B:$B,K89)&amp;""))&amp;"  "&amp;IFERROR(--(INDEX('Reguler Class Availability'!$G:$G,K89)&amp;""),0)&amp;"/"&amp;IFERROR(--(INDEX('Reguler Class Availability'!$F:$F,K89)&amp;""),0)&amp;IF(IFERROR(--(INDEX('Reguler Class Availability'!$F:$F,K89)&amp;""),0)&gt;0,"  ("&amp;TEXT(IFERROR(--(INDEX('Reguler Class Availability'!$G:$G,K89)&amp;""),0)/IFERROR(--(INDEX('Reguler Class Availability'!$F:$F,K89)&amp;""),0),"0%")&amp;")","")&amp;CHAR(10)&amp;IF(INDEX('Reguler Class Availability'!$I:$I,K89)&amp;""="","coach: –",PROPER(INDEX('Reguler Class Availability'!$I:$I,K89)&amp;""))&amp;IF(INDEX('Reguler Class Availability'!$J:$J,K89)&amp;""="","",CHAR(10)&amp;"asst: "&amp;PROPER(INDEX('Reguler Class Availability'!$J:$J,K89)&amp;""))))</f>
        <v>Kosong  0/4  (0%)
coach: –</v>
      </c>
      <c r="D89" s="40" t="str">
        <f aca="false">IF(L89="","",IF(T89="Tidak dibuka","–",IF(INDEX('Reguler Class Availability'!$B:$B,L89)&amp;""="","Kosong",PROPER(INDEX('Reguler Class Availability'!$B:$B,L89)&amp;""))&amp;"  "&amp;IFERROR(--(INDEX('Reguler Class Availability'!$G:$G,L89)&amp;""),0)&amp;"/"&amp;IFERROR(--(INDEX('Reguler Class Availability'!$F:$F,L89)&amp;""),0)&amp;IF(IFERROR(--(INDEX('Reguler Class Availability'!$F:$F,L89)&amp;""),0)&gt;0,"  ("&amp;TEXT(IFERROR(--(INDEX('Reguler Class Availability'!$G:$G,L89)&amp;""),0)/IFERROR(--(INDEX('Reguler Class Availability'!$F:$F,L89)&amp;""),0),"0%")&amp;")","")&amp;CHAR(10)&amp;IF(INDEX('Reguler Class Availability'!$I:$I,L89)&amp;""="","coach: –",PROPER(INDEX('Reguler Class Availability'!$I:$I,L89)&amp;""))&amp;IF(INDEX('Reguler Class Availability'!$J:$J,L89)&amp;""="","",CHAR(10)&amp;"asst: "&amp;PROPER(INDEX('Reguler Class Availability'!$J:$J,L89)&amp;""))))</f>
        <v>Kosong  0/4  (0%)
coach: –</v>
      </c>
      <c r="E89" s="40" t="str">
        <f aca="false">IF(M89="","",IF(U89="Tidak dibuka","–",IF(INDEX('Reguler Class Availability'!$B:$B,M89)&amp;""="","Kosong",PROPER(INDEX('Reguler Class Availability'!$B:$B,M89)&amp;""))&amp;"  "&amp;IFERROR(--(INDEX('Reguler Class Availability'!$G:$G,M89)&amp;""),0)&amp;"/"&amp;IFERROR(--(INDEX('Reguler Class Availability'!$F:$F,M89)&amp;""),0)&amp;IF(IFERROR(--(INDEX('Reguler Class Availability'!$F:$F,M89)&amp;""),0)&gt;0,"  ("&amp;TEXT(IFERROR(--(INDEX('Reguler Class Availability'!$G:$G,M89)&amp;""),0)/IFERROR(--(INDEX('Reguler Class Availability'!$F:$F,M89)&amp;""),0),"0%")&amp;")","")&amp;CHAR(10)&amp;IF(INDEX('Reguler Class Availability'!$I:$I,M89)&amp;""="","coach: –",PROPER(INDEX('Reguler Class Availability'!$I:$I,M89)&amp;""))&amp;IF(INDEX('Reguler Class Availability'!$J:$J,M89)&amp;""="","",CHAR(10)&amp;"asst: "&amp;PROPER(INDEX('Reguler Class Availability'!$J:$J,M89)&amp;""))))</f>
        <v>Kosong  0/4  (0%)
coach: –</v>
      </c>
      <c r="F89" s="40" t="str">
        <f aca="false">IF(N89="","",IF(V89="Tidak dibuka","–",IF(INDEX('Reguler Class Availability'!$B:$B,N89)&amp;""="","Kosong",PROPER(INDEX('Reguler Class Availability'!$B:$B,N89)&amp;""))&amp;"  "&amp;IFERROR(--(INDEX('Reguler Class Availability'!$G:$G,N89)&amp;""),0)&amp;"/"&amp;IFERROR(--(INDEX('Reguler Class Availability'!$F:$F,N89)&amp;""),0)&amp;IF(IFERROR(--(INDEX('Reguler Class Availability'!$F:$F,N89)&amp;""),0)&gt;0,"  ("&amp;TEXT(IFERROR(--(INDEX('Reguler Class Availability'!$G:$G,N89)&amp;""),0)/IFERROR(--(INDEX('Reguler Class Availability'!$F:$F,N89)&amp;""),0),"0%")&amp;")","")&amp;CHAR(10)&amp;IF(INDEX('Reguler Class Availability'!$I:$I,N89)&amp;""="","coach: –",PROPER(INDEX('Reguler Class Availability'!$I:$I,N89)&amp;""))&amp;IF(INDEX('Reguler Class Availability'!$J:$J,N89)&amp;""="","",CHAR(10)&amp;"asst: "&amp;PROPER(INDEX('Reguler Class Availability'!$J:$J,N89)&amp;""))))</f>
        <v>Kosong  0/4  (0%)
coach: –</v>
      </c>
      <c r="G89" s="40" t="str">
        <f aca="false">IF(O89="","",IF(W89="Tidak dibuka","–",IF(INDEX('Reguler Class Availability'!$B:$B,O89)&amp;""="","Kosong",PROPER(INDEX('Reguler Class Availability'!$B:$B,O89)&amp;""))&amp;"  "&amp;IFERROR(--(INDEX('Reguler Class Availability'!$G:$G,O89)&amp;""),0)&amp;"/"&amp;IFERROR(--(INDEX('Reguler Class Availability'!$F:$F,O89)&amp;""),0)&amp;IF(IFERROR(--(INDEX('Reguler Class Availability'!$F:$F,O89)&amp;""),0)&gt;0,"  ("&amp;TEXT(IFERROR(--(INDEX('Reguler Class Availability'!$G:$G,O89)&amp;""),0)/IFERROR(--(INDEX('Reguler Class Availability'!$F:$F,O89)&amp;""),0),"0%")&amp;")","")&amp;CHAR(10)&amp;IF(INDEX('Reguler Class Availability'!$I:$I,O89)&amp;""="","coach: –",PROPER(INDEX('Reguler Class Availability'!$I:$I,O89)&amp;""))&amp;IF(INDEX('Reguler Class Availability'!$J:$J,O89)&amp;""="","",CHAR(10)&amp;"asst: "&amp;PROPER(INDEX('Reguler Class Availability'!$J:$J,O89)&amp;""))))</f>
        <v>Little  4/4  (100%)
Nuky</v>
      </c>
      <c r="H89" s="40" t="str">
        <f aca="false">IF(P89="","",IF(X89="Tidak dibuka","–",IF(INDEX('Reguler Class Availability'!$B:$B,P89)&amp;""="","Kosong",PROPER(INDEX('Reguler Class Availability'!$B:$B,P89)&amp;""))&amp;"  "&amp;IFERROR(--(INDEX('Reguler Class Availability'!$G:$G,P89)&amp;""),0)&amp;"/"&amp;IFERROR(--(INDEX('Reguler Class Availability'!$F:$F,P89)&amp;""),0)&amp;IF(IFERROR(--(INDEX('Reguler Class Availability'!$F:$F,P89)&amp;""),0)&gt;0,"  ("&amp;TEXT(IFERROR(--(INDEX('Reguler Class Availability'!$G:$G,P89)&amp;""),0)/IFERROR(--(INDEX('Reguler Class Availability'!$F:$F,P89)&amp;""),0),"0%")&amp;")","")&amp;CHAR(10)&amp;IF(INDEX('Reguler Class Availability'!$I:$I,P89)&amp;""="","coach: –",PROPER(INDEX('Reguler Class Availability'!$I:$I,P89)&amp;""))&amp;IF(INDEX('Reguler Class Availability'!$J:$J,P89)&amp;""="","",CHAR(10)&amp;"asst: "&amp;PROPER(INDEX('Reguler Class Availability'!$J:$J,P89)&amp;""))))</f>
        <v>Little  4/4  (100%)
Daffa</v>
      </c>
      <c r="J89" s="4" t="n">
        <f aca="false">IF($A89="","",IFERROR(MATCH($B$4&amp;"|- Lane 5 - "&amp;B$87&amp;"|"&amp;$A89,'Reguler Class Availability'!$L:$L,0),""))</f>
        <v>353</v>
      </c>
      <c r="K89" s="4" t="n">
        <f aca="false">IF($A89="","",IFERROR(MATCH($B$4&amp;"|- Lane 5 - "&amp;C$87&amp;"|"&amp;$A89,'Reguler Class Availability'!$L:$L,0),""))</f>
        <v>365</v>
      </c>
      <c r="L89" s="4" t="n">
        <f aca="false">IF($A89="","",IFERROR(MATCH($B$4&amp;"|- Lane 5 - "&amp;D$87&amp;"|"&amp;$A89,'Reguler Class Availability'!$L:$L,0),""))</f>
        <v>377</v>
      </c>
      <c r="M89" s="4" t="n">
        <f aca="false">IF($A89="","",IFERROR(MATCH($B$4&amp;"|- Lane 5 - "&amp;E$87&amp;"|"&amp;$A89,'Reguler Class Availability'!$L:$L,0),""))</f>
        <v>389</v>
      </c>
      <c r="N89" s="4" t="n">
        <f aca="false">IF($A89="","",IFERROR(MATCH($B$4&amp;"|- Lane 5 - "&amp;F$87&amp;"|"&amp;$A89,'Reguler Class Availability'!$L:$L,0),""))</f>
        <v>401</v>
      </c>
      <c r="O89" s="4" t="n">
        <f aca="false">IF($A89="","",IFERROR(MATCH($B$4&amp;"|- Lane 5 - "&amp;G$87&amp;"|"&amp;$A89,'Reguler Class Availability'!$L:$L,0),""))</f>
        <v>413</v>
      </c>
      <c r="P89" s="4" t="n">
        <f aca="false">IF($A89="","",IFERROR(MATCH($B$4&amp;"|- Lane 5 - "&amp;H$87&amp;"|"&amp;$A89,'Reguler Class Availability'!$L:$L,0),""))</f>
        <v>425</v>
      </c>
      <c r="R89" s="0" t="str">
        <f aca="false">IF(J89="","",IF(AND(IFERROR(--(INDEX('Reguler Class Availability'!$F:$F,J89)&amp;""),0)=0,IFERROR(--(INDEX('Reguler Class Availability'!$G:$G,J89)&amp;""),0)=0),IF(OR(INDEX('Reguler Class Availability'!$B:$B,J89)&amp;""&lt;&gt;"",INDEX('Reguler Class Availability'!$I:$I,J89)&amp;""&lt;&gt;""),"Tutup","Tidak dibuka"),IF(IFERROR(--(INDEX('Reguler Class Availability'!$G:$G,J89)&amp;""),0)&gt;IFERROR(--(INDEX('Reguler Class Availability'!$F:$F,J89)&amp;""),0),"Lebih",IF(IFERROR(--(INDEX('Reguler Class Availability'!$G:$G,J89)&amp;""),0)=IFERROR(--(INDEX('Reguler Class Availability'!$F:$F,J89)&amp;""),0),"Penuh",IF(IFERROR(--(INDEX('Reguler Class Availability'!$G:$G,J89)&amp;""),0)=0,IF(INDEX('Reguler Class Availability'!$B:$B,J89)&amp;""="","Kosong","Belum terisi"),IF(IFERROR(--(INDEX('Reguler Class Availability'!$G:$G,J89)&amp;""),0)/IFERROR(--(INDEX('Reguler Class Availability'!$F:$F,J89)&amp;""),0)&gt;=0.6,"Tinggi","Sebagian"))))))</f>
        <v>Kosong</v>
      </c>
      <c r="S89" s="0" t="str">
        <f aca="false">IF(K89="","",IF(AND(IFERROR(--(INDEX('Reguler Class Availability'!$F:$F,K89)&amp;""),0)=0,IFERROR(--(INDEX('Reguler Class Availability'!$G:$G,K89)&amp;""),0)=0),IF(OR(INDEX('Reguler Class Availability'!$B:$B,K89)&amp;""&lt;&gt;"",INDEX('Reguler Class Availability'!$I:$I,K89)&amp;""&lt;&gt;""),"Tutup","Tidak dibuka"),IF(IFERROR(--(INDEX('Reguler Class Availability'!$G:$G,K89)&amp;""),0)&gt;IFERROR(--(INDEX('Reguler Class Availability'!$F:$F,K89)&amp;""),0),"Lebih",IF(IFERROR(--(INDEX('Reguler Class Availability'!$G:$G,K89)&amp;""),0)=IFERROR(--(INDEX('Reguler Class Availability'!$F:$F,K89)&amp;""),0),"Penuh",IF(IFERROR(--(INDEX('Reguler Class Availability'!$G:$G,K89)&amp;""),0)=0,IF(INDEX('Reguler Class Availability'!$B:$B,K89)&amp;""="","Kosong","Belum terisi"),IF(IFERROR(--(INDEX('Reguler Class Availability'!$G:$G,K89)&amp;""),0)/IFERROR(--(INDEX('Reguler Class Availability'!$F:$F,K89)&amp;""),0)&gt;=0.6,"Tinggi","Sebagian"))))))</f>
        <v>Kosong</v>
      </c>
      <c r="T89" s="0" t="str">
        <f aca="false">IF(L89="","",IF(AND(IFERROR(--(INDEX('Reguler Class Availability'!$F:$F,L89)&amp;""),0)=0,IFERROR(--(INDEX('Reguler Class Availability'!$G:$G,L89)&amp;""),0)=0),IF(OR(INDEX('Reguler Class Availability'!$B:$B,L89)&amp;""&lt;&gt;"",INDEX('Reguler Class Availability'!$I:$I,L89)&amp;""&lt;&gt;""),"Tutup","Tidak dibuka"),IF(IFERROR(--(INDEX('Reguler Class Availability'!$G:$G,L89)&amp;""),0)&gt;IFERROR(--(INDEX('Reguler Class Availability'!$F:$F,L89)&amp;""),0),"Lebih",IF(IFERROR(--(INDEX('Reguler Class Availability'!$G:$G,L89)&amp;""),0)=IFERROR(--(INDEX('Reguler Class Availability'!$F:$F,L89)&amp;""),0),"Penuh",IF(IFERROR(--(INDEX('Reguler Class Availability'!$G:$G,L89)&amp;""),0)=0,IF(INDEX('Reguler Class Availability'!$B:$B,L89)&amp;""="","Kosong","Belum terisi"),IF(IFERROR(--(INDEX('Reguler Class Availability'!$G:$G,L89)&amp;""),0)/IFERROR(--(INDEX('Reguler Class Availability'!$F:$F,L89)&amp;""),0)&gt;=0.6,"Tinggi","Sebagian"))))))</f>
        <v>Kosong</v>
      </c>
      <c r="U89" s="0" t="str">
        <f aca="false">IF(M89="","",IF(AND(IFERROR(--(INDEX('Reguler Class Availability'!$F:$F,M89)&amp;""),0)=0,IFERROR(--(INDEX('Reguler Class Availability'!$G:$G,M89)&amp;""),0)=0),IF(OR(INDEX('Reguler Class Availability'!$B:$B,M89)&amp;""&lt;&gt;"",INDEX('Reguler Class Availability'!$I:$I,M89)&amp;""&lt;&gt;""),"Tutup","Tidak dibuka"),IF(IFERROR(--(INDEX('Reguler Class Availability'!$G:$G,M89)&amp;""),0)&gt;IFERROR(--(INDEX('Reguler Class Availability'!$F:$F,M89)&amp;""),0),"Lebih",IF(IFERROR(--(INDEX('Reguler Class Availability'!$G:$G,M89)&amp;""),0)=IFERROR(--(INDEX('Reguler Class Availability'!$F:$F,M89)&amp;""),0),"Penuh",IF(IFERROR(--(INDEX('Reguler Class Availability'!$G:$G,M89)&amp;""),0)=0,IF(INDEX('Reguler Class Availability'!$B:$B,M89)&amp;""="","Kosong","Belum terisi"),IF(IFERROR(--(INDEX('Reguler Class Availability'!$G:$G,M89)&amp;""),0)/IFERROR(--(INDEX('Reguler Class Availability'!$F:$F,M89)&amp;""),0)&gt;=0.6,"Tinggi","Sebagian"))))))</f>
        <v>Kosong</v>
      </c>
      <c r="V89" s="0" t="str">
        <f aca="false">IF(N89="","",IF(AND(IFERROR(--(INDEX('Reguler Class Availability'!$F:$F,N89)&amp;""),0)=0,IFERROR(--(INDEX('Reguler Class Availability'!$G:$G,N89)&amp;""),0)=0),IF(OR(INDEX('Reguler Class Availability'!$B:$B,N89)&amp;""&lt;&gt;"",INDEX('Reguler Class Availability'!$I:$I,N89)&amp;""&lt;&gt;""),"Tutup","Tidak dibuka"),IF(IFERROR(--(INDEX('Reguler Class Availability'!$G:$G,N89)&amp;""),0)&gt;IFERROR(--(INDEX('Reguler Class Availability'!$F:$F,N89)&amp;""),0),"Lebih",IF(IFERROR(--(INDEX('Reguler Class Availability'!$G:$G,N89)&amp;""),0)=IFERROR(--(INDEX('Reguler Class Availability'!$F:$F,N89)&amp;""),0),"Penuh",IF(IFERROR(--(INDEX('Reguler Class Availability'!$G:$G,N89)&amp;""),0)=0,IF(INDEX('Reguler Class Availability'!$B:$B,N89)&amp;""="","Kosong","Belum terisi"),IF(IFERROR(--(INDEX('Reguler Class Availability'!$G:$G,N89)&amp;""),0)/IFERROR(--(INDEX('Reguler Class Availability'!$F:$F,N89)&amp;""),0)&gt;=0.6,"Tinggi","Sebagian"))))))</f>
        <v>Kosong</v>
      </c>
      <c r="W89" s="0" t="str">
        <f aca="false">IF(O89="","",IF(AND(IFERROR(--(INDEX('Reguler Class Availability'!$F:$F,O89)&amp;""),0)=0,IFERROR(--(INDEX('Reguler Class Availability'!$G:$G,O89)&amp;""),0)=0),IF(OR(INDEX('Reguler Class Availability'!$B:$B,O89)&amp;""&lt;&gt;"",INDEX('Reguler Class Availability'!$I:$I,O89)&amp;""&lt;&gt;""),"Tutup","Tidak dibuka"),IF(IFERROR(--(INDEX('Reguler Class Availability'!$G:$G,O89)&amp;""),0)&gt;IFERROR(--(INDEX('Reguler Class Availability'!$F:$F,O89)&amp;""),0),"Lebih",IF(IFERROR(--(INDEX('Reguler Class Availability'!$G:$G,O89)&amp;""),0)=IFERROR(--(INDEX('Reguler Class Availability'!$F:$F,O89)&amp;""),0),"Penuh",IF(IFERROR(--(INDEX('Reguler Class Availability'!$G:$G,O89)&amp;""),0)=0,IF(INDEX('Reguler Class Availability'!$B:$B,O89)&amp;""="","Kosong","Belum terisi"),IF(IFERROR(--(INDEX('Reguler Class Availability'!$G:$G,O89)&amp;""),0)/IFERROR(--(INDEX('Reguler Class Availability'!$F:$F,O89)&amp;""),0)&gt;=0.6,"Tinggi","Sebagian"))))))</f>
        <v>Penuh</v>
      </c>
      <c r="X89" s="0" t="str">
        <f aca="false">IF(P89="","",IF(AND(IFERROR(--(INDEX('Reguler Class Availability'!$F:$F,P89)&amp;""),0)=0,IFERROR(--(INDEX('Reguler Class Availability'!$G:$G,P89)&amp;""),0)=0),IF(OR(INDEX('Reguler Class Availability'!$B:$B,P89)&amp;""&lt;&gt;"",INDEX('Reguler Class Availability'!$I:$I,P89)&amp;""&lt;&gt;""),"Tutup","Tidak dibuka"),IF(IFERROR(--(INDEX('Reguler Class Availability'!$G:$G,P89)&amp;""),0)&gt;IFERROR(--(INDEX('Reguler Class Availability'!$F:$F,P89)&amp;""),0),"Lebih",IF(IFERROR(--(INDEX('Reguler Class Availability'!$G:$G,P89)&amp;""),0)=IFERROR(--(INDEX('Reguler Class Availability'!$F:$F,P89)&amp;""),0),"Penuh",IF(IFERROR(--(INDEX('Reguler Class Availability'!$G:$G,P89)&amp;""),0)=0,IF(INDEX('Reguler Class Availability'!$B:$B,P89)&amp;""="","Kosong","Belum terisi"),IF(IFERROR(--(INDEX('Reguler Class Availability'!$G:$G,P89)&amp;""),0)/IFERROR(--(INDEX('Reguler Class Availability'!$F:$F,P89)&amp;""),0)&gt;=0.6,"Tinggi","Sebagian"))))))</f>
        <v>Penuh</v>
      </c>
      <c r="Z89" s="4" t="s">
        <v>62</v>
      </c>
      <c r="AA89" s="4" t="n">
        <f aca="false">IF(COUNTIFS('Reguler Class Availability'!$L:$L,$B$4&amp;"|- Lane 2 - *|"&amp;Z89)&gt;0,1,0)</f>
        <v>0</v>
      </c>
      <c r="AB89" s="4" t="n">
        <f aca="false">AA89+AB88</f>
        <v>6</v>
      </c>
    </row>
    <row r="90" customFormat="false" ht="39.75" hidden="false" customHeight="true" outlineLevel="0" collapsed="false">
      <c r="A90" s="39" t="str">
        <f aca="false">IFERROR(INDEX($Z$242:$Z$301,MATCH(3,$AB$242:$AB$301,0)),"")</f>
        <v>09:30</v>
      </c>
      <c r="B90" s="40" t="str">
        <f aca="false">IF(J90="","",IF(R90="Tidak dibuka","–",IF(INDEX('Reguler Class Availability'!$B:$B,J90)&amp;""="","Kosong",PROPER(INDEX('Reguler Class Availability'!$B:$B,J90)&amp;""))&amp;"  "&amp;IFERROR(--(INDEX('Reguler Class Availability'!$G:$G,J90)&amp;""),0)&amp;"/"&amp;IFERROR(--(INDEX('Reguler Class Availability'!$F:$F,J90)&amp;""),0)&amp;IF(IFERROR(--(INDEX('Reguler Class Availability'!$F:$F,J90)&amp;""),0)&gt;0,"  ("&amp;TEXT(IFERROR(--(INDEX('Reguler Class Availability'!$G:$G,J90)&amp;""),0)/IFERROR(--(INDEX('Reguler Class Availability'!$F:$F,J90)&amp;""),0),"0%")&amp;")","")&amp;CHAR(10)&amp;IF(INDEX('Reguler Class Availability'!$I:$I,J90)&amp;""="","coach: –",PROPER(INDEX('Reguler Class Availability'!$I:$I,J90)&amp;""))&amp;IF(INDEX('Reguler Class Availability'!$J:$J,J90)&amp;""="","",CHAR(10)&amp;"asst: "&amp;PROPER(INDEX('Reguler Class Availability'!$J:$J,J90)&amp;""))))</f>
        <v>Kosong  0/4  (0%)
coach: –</v>
      </c>
      <c r="C90" s="40" t="str">
        <f aca="false">IF(K90="","",IF(S90="Tidak dibuka","–",IF(INDEX('Reguler Class Availability'!$B:$B,K90)&amp;""="","Kosong",PROPER(INDEX('Reguler Class Availability'!$B:$B,K90)&amp;""))&amp;"  "&amp;IFERROR(--(INDEX('Reguler Class Availability'!$G:$G,K90)&amp;""),0)&amp;"/"&amp;IFERROR(--(INDEX('Reguler Class Availability'!$F:$F,K90)&amp;""),0)&amp;IF(IFERROR(--(INDEX('Reguler Class Availability'!$F:$F,K90)&amp;""),0)&gt;0,"  ("&amp;TEXT(IFERROR(--(INDEX('Reguler Class Availability'!$G:$G,K90)&amp;""),0)/IFERROR(--(INDEX('Reguler Class Availability'!$F:$F,K90)&amp;""),0),"0%")&amp;")","")&amp;CHAR(10)&amp;IF(INDEX('Reguler Class Availability'!$I:$I,K90)&amp;""="","coach: –",PROPER(INDEX('Reguler Class Availability'!$I:$I,K90)&amp;""))&amp;IF(INDEX('Reguler Class Availability'!$J:$J,K90)&amp;""="","",CHAR(10)&amp;"asst: "&amp;PROPER(INDEX('Reguler Class Availability'!$J:$J,K90)&amp;""))))</f>
        <v>Kosong  0/4  (0%)
coach: –</v>
      </c>
      <c r="D90" s="40" t="str">
        <f aca="false">IF(L90="","",IF(T90="Tidak dibuka","–",IF(INDEX('Reguler Class Availability'!$B:$B,L90)&amp;""="","Kosong",PROPER(INDEX('Reguler Class Availability'!$B:$B,L90)&amp;""))&amp;"  "&amp;IFERROR(--(INDEX('Reguler Class Availability'!$G:$G,L90)&amp;""),0)&amp;"/"&amp;IFERROR(--(INDEX('Reguler Class Availability'!$F:$F,L90)&amp;""),0)&amp;IF(IFERROR(--(INDEX('Reguler Class Availability'!$F:$F,L90)&amp;""),0)&gt;0,"  ("&amp;TEXT(IFERROR(--(INDEX('Reguler Class Availability'!$G:$G,L90)&amp;""),0)/IFERROR(--(INDEX('Reguler Class Availability'!$F:$F,L90)&amp;""),0),"0%")&amp;")","")&amp;CHAR(10)&amp;IF(INDEX('Reguler Class Availability'!$I:$I,L90)&amp;""="","coach: –",PROPER(INDEX('Reguler Class Availability'!$I:$I,L90)&amp;""))&amp;IF(INDEX('Reguler Class Availability'!$J:$J,L90)&amp;""="","",CHAR(10)&amp;"asst: "&amp;PROPER(INDEX('Reguler Class Availability'!$J:$J,L90)&amp;""))))</f>
        <v>Kosong  0/4  (0%)
coach: –</v>
      </c>
      <c r="E90" s="40" t="str">
        <f aca="false">IF(M90="","",IF(U90="Tidak dibuka","–",IF(INDEX('Reguler Class Availability'!$B:$B,M90)&amp;""="","Kosong",PROPER(INDEX('Reguler Class Availability'!$B:$B,M90)&amp;""))&amp;"  "&amp;IFERROR(--(INDEX('Reguler Class Availability'!$G:$G,M90)&amp;""),0)&amp;"/"&amp;IFERROR(--(INDEX('Reguler Class Availability'!$F:$F,M90)&amp;""),0)&amp;IF(IFERROR(--(INDEX('Reguler Class Availability'!$F:$F,M90)&amp;""),0)&gt;0,"  ("&amp;TEXT(IFERROR(--(INDEX('Reguler Class Availability'!$G:$G,M90)&amp;""),0)/IFERROR(--(INDEX('Reguler Class Availability'!$F:$F,M90)&amp;""),0),"0%")&amp;")","")&amp;CHAR(10)&amp;IF(INDEX('Reguler Class Availability'!$I:$I,M90)&amp;""="","coach: –",PROPER(INDEX('Reguler Class Availability'!$I:$I,M90)&amp;""))&amp;IF(INDEX('Reguler Class Availability'!$J:$J,M90)&amp;""="","",CHAR(10)&amp;"asst: "&amp;PROPER(INDEX('Reguler Class Availability'!$J:$J,M90)&amp;""))))</f>
        <v>Kosong  0/4  (0%)
coach: –</v>
      </c>
      <c r="F90" s="40" t="str">
        <f aca="false">IF(N90="","",IF(V90="Tidak dibuka","–",IF(INDEX('Reguler Class Availability'!$B:$B,N90)&amp;""="","Kosong",PROPER(INDEX('Reguler Class Availability'!$B:$B,N90)&amp;""))&amp;"  "&amp;IFERROR(--(INDEX('Reguler Class Availability'!$G:$G,N90)&amp;""),0)&amp;"/"&amp;IFERROR(--(INDEX('Reguler Class Availability'!$F:$F,N90)&amp;""),0)&amp;IF(IFERROR(--(INDEX('Reguler Class Availability'!$F:$F,N90)&amp;""),0)&gt;0,"  ("&amp;TEXT(IFERROR(--(INDEX('Reguler Class Availability'!$G:$G,N90)&amp;""),0)/IFERROR(--(INDEX('Reguler Class Availability'!$F:$F,N90)&amp;""),0),"0%")&amp;")","")&amp;CHAR(10)&amp;IF(INDEX('Reguler Class Availability'!$I:$I,N90)&amp;""="","coach: –",PROPER(INDEX('Reguler Class Availability'!$I:$I,N90)&amp;""))&amp;IF(INDEX('Reguler Class Availability'!$J:$J,N90)&amp;""="","",CHAR(10)&amp;"asst: "&amp;PROPER(INDEX('Reguler Class Availability'!$J:$J,N90)&amp;""))))</f>
        <v>Kosong  0/4  (0%)
coach: –</v>
      </c>
      <c r="G90" s="40" t="str">
        <f aca="false">IF(O90="","",IF(W90="Tidak dibuka","–",IF(INDEX('Reguler Class Availability'!$B:$B,O90)&amp;""="","Kosong",PROPER(INDEX('Reguler Class Availability'!$B:$B,O90)&amp;""))&amp;"  "&amp;IFERROR(--(INDEX('Reguler Class Availability'!$G:$G,O90)&amp;""),0)&amp;"/"&amp;IFERROR(--(INDEX('Reguler Class Availability'!$F:$F,O90)&amp;""),0)&amp;IF(IFERROR(--(INDEX('Reguler Class Availability'!$F:$F,O90)&amp;""),0)&gt;0,"  ("&amp;TEXT(IFERROR(--(INDEX('Reguler Class Availability'!$G:$G,O90)&amp;""),0)/IFERROR(--(INDEX('Reguler Class Availability'!$F:$F,O90)&amp;""),0),"0%")&amp;")","")&amp;CHAR(10)&amp;IF(INDEX('Reguler Class Availability'!$I:$I,O90)&amp;""="","coach: –",PROPER(INDEX('Reguler Class Availability'!$I:$I,O90)&amp;""))&amp;IF(INDEX('Reguler Class Availability'!$J:$J,O90)&amp;""="","",CHAR(10)&amp;"asst: "&amp;PROPER(INDEX('Reguler Class Availability'!$J:$J,O90)&amp;""))))</f>
        <v>Little  4/4  (100%)
Danti</v>
      </c>
      <c r="H90" s="40" t="str">
        <f aca="false">IF(P90="","",IF(X90="Tidak dibuka","–",IF(INDEX('Reguler Class Availability'!$B:$B,P90)&amp;""="","Kosong",PROPER(INDEX('Reguler Class Availability'!$B:$B,P90)&amp;""))&amp;"  "&amp;IFERROR(--(INDEX('Reguler Class Availability'!$G:$G,P90)&amp;""),0)&amp;"/"&amp;IFERROR(--(INDEX('Reguler Class Availability'!$F:$F,P90)&amp;""),0)&amp;IF(IFERROR(--(INDEX('Reguler Class Availability'!$F:$F,P90)&amp;""),0)&gt;0,"  ("&amp;TEXT(IFERROR(--(INDEX('Reguler Class Availability'!$G:$G,P90)&amp;""),0)/IFERROR(--(INDEX('Reguler Class Availability'!$F:$F,P90)&amp;""),0),"0%")&amp;")","")&amp;CHAR(10)&amp;IF(INDEX('Reguler Class Availability'!$I:$I,P90)&amp;""="","coach: –",PROPER(INDEX('Reguler Class Availability'!$I:$I,P90)&amp;""))&amp;IF(INDEX('Reguler Class Availability'!$J:$J,P90)&amp;""="","",CHAR(10)&amp;"asst: "&amp;PROPER(INDEX('Reguler Class Availability'!$J:$J,P90)&amp;""))))</f>
        <v>Little  4/4  (100%)
Danti</v>
      </c>
      <c r="J90" s="4" t="n">
        <f aca="false">IF($A90="","",IFERROR(MATCH($B$4&amp;"|- Lane 5 - "&amp;B$87&amp;"|"&amp;$A90,'Reguler Class Availability'!$L:$L,0),""))</f>
        <v>354</v>
      </c>
      <c r="K90" s="4" t="n">
        <f aca="false">IF($A90="","",IFERROR(MATCH($B$4&amp;"|- Lane 5 - "&amp;C$87&amp;"|"&amp;$A90,'Reguler Class Availability'!$L:$L,0),""))</f>
        <v>366</v>
      </c>
      <c r="L90" s="4" t="n">
        <f aca="false">IF($A90="","",IFERROR(MATCH($B$4&amp;"|- Lane 5 - "&amp;D$87&amp;"|"&amp;$A90,'Reguler Class Availability'!$L:$L,0),""))</f>
        <v>378</v>
      </c>
      <c r="M90" s="4" t="n">
        <f aca="false">IF($A90="","",IFERROR(MATCH($B$4&amp;"|- Lane 5 - "&amp;E$87&amp;"|"&amp;$A90,'Reguler Class Availability'!$L:$L,0),""))</f>
        <v>390</v>
      </c>
      <c r="N90" s="4" t="n">
        <f aca="false">IF($A90="","",IFERROR(MATCH($B$4&amp;"|- Lane 5 - "&amp;F$87&amp;"|"&amp;$A90,'Reguler Class Availability'!$L:$L,0),""))</f>
        <v>402</v>
      </c>
      <c r="O90" s="4" t="n">
        <f aca="false">IF($A90="","",IFERROR(MATCH($B$4&amp;"|- Lane 5 - "&amp;G$87&amp;"|"&amp;$A90,'Reguler Class Availability'!$L:$L,0),""))</f>
        <v>414</v>
      </c>
      <c r="P90" s="4" t="n">
        <f aca="false">IF($A90="","",IFERROR(MATCH($B$4&amp;"|- Lane 5 - "&amp;H$87&amp;"|"&amp;$A90,'Reguler Class Availability'!$L:$L,0),""))</f>
        <v>426</v>
      </c>
      <c r="R90" s="0" t="str">
        <f aca="false">IF(J90="","",IF(AND(IFERROR(--(INDEX('Reguler Class Availability'!$F:$F,J90)&amp;""),0)=0,IFERROR(--(INDEX('Reguler Class Availability'!$G:$G,J90)&amp;""),0)=0),IF(OR(INDEX('Reguler Class Availability'!$B:$B,J90)&amp;""&lt;&gt;"",INDEX('Reguler Class Availability'!$I:$I,J90)&amp;""&lt;&gt;""),"Tutup","Tidak dibuka"),IF(IFERROR(--(INDEX('Reguler Class Availability'!$G:$G,J90)&amp;""),0)&gt;IFERROR(--(INDEX('Reguler Class Availability'!$F:$F,J90)&amp;""),0),"Lebih",IF(IFERROR(--(INDEX('Reguler Class Availability'!$G:$G,J90)&amp;""),0)=IFERROR(--(INDEX('Reguler Class Availability'!$F:$F,J90)&amp;""),0),"Penuh",IF(IFERROR(--(INDEX('Reguler Class Availability'!$G:$G,J90)&amp;""),0)=0,IF(INDEX('Reguler Class Availability'!$B:$B,J90)&amp;""="","Kosong","Belum terisi"),IF(IFERROR(--(INDEX('Reguler Class Availability'!$G:$G,J90)&amp;""),0)/IFERROR(--(INDEX('Reguler Class Availability'!$F:$F,J90)&amp;""),0)&gt;=0.6,"Tinggi","Sebagian"))))))</f>
        <v>Kosong</v>
      </c>
      <c r="S90" s="0" t="str">
        <f aca="false">IF(K90="","",IF(AND(IFERROR(--(INDEX('Reguler Class Availability'!$F:$F,K90)&amp;""),0)=0,IFERROR(--(INDEX('Reguler Class Availability'!$G:$G,K90)&amp;""),0)=0),IF(OR(INDEX('Reguler Class Availability'!$B:$B,K90)&amp;""&lt;&gt;"",INDEX('Reguler Class Availability'!$I:$I,K90)&amp;""&lt;&gt;""),"Tutup","Tidak dibuka"),IF(IFERROR(--(INDEX('Reguler Class Availability'!$G:$G,K90)&amp;""),0)&gt;IFERROR(--(INDEX('Reguler Class Availability'!$F:$F,K90)&amp;""),0),"Lebih",IF(IFERROR(--(INDEX('Reguler Class Availability'!$G:$G,K90)&amp;""),0)=IFERROR(--(INDEX('Reguler Class Availability'!$F:$F,K90)&amp;""),0),"Penuh",IF(IFERROR(--(INDEX('Reguler Class Availability'!$G:$G,K90)&amp;""),0)=0,IF(INDEX('Reguler Class Availability'!$B:$B,K90)&amp;""="","Kosong","Belum terisi"),IF(IFERROR(--(INDEX('Reguler Class Availability'!$G:$G,K90)&amp;""),0)/IFERROR(--(INDEX('Reguler Class Availability'!$F:$F,K90)&amp;""),0)&gt;=0.6,"Tinggi","Sebagian"))))))</f>
        <v>Kosong</v>
      </c>
      <c r="T90" s="0" t="str">
        <f aca="false">IF(L90="","",IF(AND(IFERROR(--(INDEX('Reguler Class Availability'!$F:$F,L90)&amp;""),0)=0,IFERROR(--(INDEX('Reguler Class Availability'!$G:$G,L90)&amp;""),0)=0),IF(OR(INDEX('Reguler Class Availability'!$B:$B,L90)&amp;""&lt;&gt;"",INDEX('Reguler Class Availability'!$I:$I,L90)&amp;""&lt;&gt;""),"Tutup","Tidak dibuka"),IF(IFERROR(--(INDEX('Reguler Class Availability'!$G:$G,L90)&amp;""),0)&gt;IFERROR(--(INDEX('Reguler Class Availability'!$F:$F,L90)&amp;""),0),"Lebih",IF(IFERROR(--(INDEX('Reguler Class Availability'!$G:$G,L90)&amp;""),0)=IFERROR(--(INDEX('Reguler Class Availability'!$F:$F,L90)&amp;""),0),"Penuh",IF(IFERROR(--(INDEX('Reguler Class Availability'!$G:$G,L90)&amp;""),0)=0,IF(INDEX('Reguler Class Availability'!$B:$B,L90)&amp;""="","Kosong","Belum terisi"),IF(IFERROR(--(INDEX('Reguler Class Availability'!$G:$G,L90)&amp;""),0)/IFERROR(--(INDEX('Reguler Class Availability'!$F:$F,L90)&amp;""),0)&gt;=0.6,"Tinggi","Sebagian"))))))</f>
        <v>Kosong</v>
      </c>
      <c r="U90" s="0" t="str">
        <f aca="false">IF(M90="","",IF(AND(IFERROR(--(INDEX('Reguler Class Availability'!$F:$F,M90)&amp;""),0)=0,IFERROR(--(INDEX('Reguler Class Availability'!$G:$G,M90)&amp;""),0)=0),IF(OR(INDEX('Reguler Class Availability'!$B:$B,M90)&amp;""&lt;&gt;"",INDEX('Reguler Class Availability'!$I:$I,M90)&amp;""&lt;&gt;""),"Tutup","Tidak dibuka"),IF(IFERROR(--(INDEX('Reguler Class Availability'!$G:$G,M90)&amp;""),0)&gt;IFERROR(--(INDEX('Reguler Class Availability'!$F:$F,M90)&amp;""),0),"Lebih",IF(IFERROR(--(INDEX('Reguler Class Availability'!$G:$G,M90)&amp;""),0)=IFERROR(--(INDEX('Reguler Class Availability'!$F:$F,M90)&amp;""),0),"Penuh",IF(IFERROR(--(INDEX('Reguler Class Availability'!$G:$G,M90)&amp;""),0)=0,IF(INDEX('Reguler Class Availability'!$B:$B,M90)&amp;""="","Kosong","Belum terisi"),IF(IFERROR(--(INDEX('Reguler Class Availability'!$G:$G,M90)&amp;""),0)/IFERROR(--(INDEX('Reguler Class Availability'!$F:$F,M90)&amp;""),0)&gt;=0.6,"Tinggi","Sebagian"))))))</f>
        <v>Kosong</v>
      </c>
      <c r="V90" s="0" t="str">
        <f aca="false">IF(N90="","",IF(AND(IFERROR(--(INDEX('Reguler Class Availability'!$F:$F,N90)&amp;""),0)=0,IFERROR(--(INDEX('Reguler Class Availability'!$G:$G,N90)&amp;""),0)=0),IF(OR(INDEX('Reguler Class Availability'!$B:$B,N90)&amp;""&lt;&gt;"",INDEX('Reguler Class Availability'!$I:$I,N90)&amp;""&lt;&gt;""),"Tutup","Tidak dibuka"),IF(IFERROR(--(INDEX('Reguler Class Availability'!$G:$G,N90)&amp;""),0)&gt;IFERROR(--(INDEX('Reguler Class Availability'!$F:$F,N90)&amp;""),0),"Lebih",IF(IFERROR(--(INDEX('Reguler Class Availability'!$G:$G,N90)&amp;""),0)=IFERROR(--(INDEX('Reguler Class Availability'!$F:$F,N90)&amp;""),0),"Penuh",IF(IFERROR(--(INDEX('Reguler Class Availability'!$G:$G,N90)&amp;""),0)=0,IF(INDEX('Reguler Class Availability'!$B:$B,N90)&amp;""="","Kosong","Belum terisi"),IF(IFERROR(--(INDEX('Reguler Class Availability'!$G:$G,N90)&amp;""),0)/IFERROR(--(INDEX('Reguler Class Availability'!$F:$F,N90)&amp;""),0)&gt;=0.6,"Tinggi","Sebagian"))))))</f>
        <v>Kosong</v>
      </c>
      <c r="W90" s="0" t="str">
        <f aca="false">IF(O90="","",IF(AND(IFERROR(--(INDEX('Reguler Class Availability'!$F:$F,O90)&amp;""),0)=0,IFERROR(--(INDEX('Reguler Class Availability'!$G:$G,O90)&amp;""),0)=0),IF(OR(INDEX('Reguler Class Availability'!$B:$B,O90)&amp;""&lt;&gt;"",INDEX('Reguler Class Availability'!$I:$I,O90)&amp;""&lt;&gt;""),"Tutup","Tidak dibuka"),IF(IFERROR(--(INDEX('Reguler Class Availability'!$G:$G,O90)&amp;""),0)&gt;IFERROR(--(INDEX('Reguler Class Availability'!$F:$F,O90)&amp;""),0),"Lebih",IF(IFERROR(--(INDEX('Reguler Class Availability'!$G:$G,O90)&amp;""),0)=IFERROR(--(INDEX('Reguler Class Availability'!$F:$F,O90)&amp;""),0),"Penuh",IF(IFERROR(--(INDEX('Reguler Class Availability'!$G:$G,O90)&amp;""),0)=0,IF(INDEX('Reguler Class Availability'!$B:$B,O90)&amp;""="","Kosong","Belum terisi"),IF(IFERROR(--(INDEX('Reguler Class Availability'!$G:$G,O90)&amp;""),0)/IFERROR(--(INDEX('Reguler Class Availability'!$F:$F,O90)&amp;""),0)&gt;=0.6,"Tinggi","Sebagian"))))))</f>
        <v>Penuh</v>
      </c>
      <c r="X90" s="0" t="str">
        <f aca="false">IF(P90="","",IF(AND(IFERROR(--(INDEX('Reguler Class Availability'!$F:$F,P90)&amp;""),0)=0,IFERROR(--(INDEX('Reguler Class Availability'!$G:$G,P90)&amp;""),0)=0),IF(OR(INDEX('Reguler Class Availability'!$B:$B,P90)&amp;""&lt;&gt;"",INDEX('Reguler Class Availability'!$I:$I,P90)&amp;""&lt;&gt;""),"Tutup","Tidak dibuka"),IF(IFERROR(--(INDEX('Reguler Class Availability'!$G:$G,P90)&amp;""),0)&gt;IFERROR(--(INDEX('Reguler Class Availability'!$F:$F,P90)&amp;""),0),"Lebih",IF(IFERROR(--(INDEX('Reguler Class Availability'!$G:$G,P90)&amp;""),0)=IFERROR(--(INDEX('Reguler Class Availability'!$F:$F,P90)&amp;""),0),"Penuh",IF(IFERROR(--(INDEX('Reguler Class Availability'!$G:$G,P90)&amp;""),0)=0,IF(INDEX('Reguler Class Availability'!$B:$B,P90)&amp;""="","Kosong","Belum terisi"),IF(IFERROR(--(INDEX('Reguler Class Availability'!$G:$G,P90)&amp;""),0)/IFERROR(--(INDEX('Reguler Class Availability'!$F:$F,P90)&amp;""),0)&gt;=0.6,"Tinggi","Sebagian"))))))</f>
        <v>Penuh</v>
      </c>
      <c r="Z90" s="4" t="s">
        <v>64</v>
      </c>
      <c r="AA90" s="4" t="n">
        <f aca="false">IF(COUNTIFS('Reguler Class Availability'!$L:$L,$B$4&amp;"|- Lane 2 - *|"&amp;Z90)&gt;0,1,0)</f>
        <v>0</v>
      </c>
      <c r="AB90" s="4" t="n">
        <f aca="false">AA90+AB89</f>
        <v>6</v>
      </c>
    </row>
    <row r="91" customFormat="false" ht="39.75" hidden="false" customHeight="true" outlineLevel="0" collapsed="false">
      <c r="A91" s="39" t="str">
        <f aca="false">IFERROR(INDEX($Z$242:$Z$301,MATCH(4,$AB$242:$AB$301,0)),"")</f>
        <v>10:15</v>
      </c>
      <c r="B91" s="40" t="str">
        <f aca="false">IF(J91="","",IF(R91="Tidak dibuka","–",IF(INDEX('Reguler Class Availability'!$B:$B,J91)&amp;""="","Kosong",PROPER(INDEX('Reguler Class Availability'!$B:$B,J91)&amp;""))&amp;"  "&amp;IFERROR(--(INDEX('Reguler Class Availability'!$G:$G,J91)&amp;""),0)&amp;"/"&amp;IFERROR(--(INDEX('Reguler Class Availability'!$F:$F,J91)&amp;""),0)&amp;IF(IFERROR(--(INDEX('Reguler Class Availability'!$F:$F,J91)&amp;""),0)&gt;0,"  ("&amp;TEXT(IFERROR(--(INDEX('Reguler Class Availability'!$G:$G,J91)&amp;""),0)/IFERROR(--(INDEX('Reguler Class Availability'!$F:$F,J91)&amp;""),0),"0%")&amp;")","")&amp;CHAR(10)&amp;IF(INDEX('Reguler Class Availability'!$I:$I,J91)&amp;""="","coach: –",PROPER(INDEX('Reguler Class Availability'!$I:$I,J91)&amp;""))&amp;IF(INDEX('Reguler Class Availability'!$J:$J,J91)&amp;""="","",CHAR(10)&amp;"asst: "&amp;PROPER(INDEX('Reguler Class Availability'!$J:$J,J91)&amp;""))))</f>
        <v>Kosong  0/4  (0%)
coach: –</v>
      </c>
      <c r="C91" s="40" t="str">
        <f aca="false">IF(K91="","",IF(S91="Tidak dibuka","–",IF(INDEX('Reguler Class Availability'!$B:$B,K91)&amp;""="","Kosong",PROPER(INDEX('Reguler Class Availability'!$B:$B,K91)&amp;""))&amp;"  "&amp;IFERROR(--(INDEX('Reguler Class Availability'!$G:$G,K91)&amp;""),0)&amp;"/"&amp;IFERROR(--(INDEX('Reguler Class Availability'!$F:$F,K91)&amp;""),0)&amp;IF(IFERROR(--(INDEX('Reguler Class Availability'!$F:$F,K91)&amp;""),0)&gt;0,"  ("&amp;TEXT(IFERROR(--(INDEX('Reguler Class Availability'!$G:$G,K91)&amp;""),0)/IFERROR(--(INDEX('Reguler Class Availability'!$F:$F,K91)&amp;""),0),"0%")&amp;")","")&amp;CHAR(10)&amp;IF(INDEX('Reguler Class Availability'!$I:$I,K91)&amp;""="","coach: –",PROPER(INDEX('Reguler Class Availability'!$I:$I,K91)&amp;""))&amp;IF(INDEX('Reguler Class Availability'!$J:$J,K91)&amp;""="","",CHAR(10)&amp;"asst: "&amp;PROPER(INDEX('Reguler Class Availability'!$J:$J,K91)&amp;""))))</f>
        <v>Kosong  0/4  (0%)
coach: –</v>
      </c>
      <c r="D91" s="40" t="str">
        <f aca="false">IF(L91="","",IF(T91="Tidak dibuka","–",IF(INDEX('Reguler Class Availability'!$B:$B,L91)&amp;""="","Kosong",PROPER(INDEX('Reguler Class Availability'!$B:$B,L91)&amp;""))&amp;"  "&amp;IFERROR(--(INDEX('Reguler Class Availability'!$G:$G,L91)&amp;""),0)&amp;"/"&amp;IFERROR(--(INDEX('Reguler Class Availability'!$F:$F,L91)&amp;""),0)&amp;IF(IFERROR(--(INDEX('Reguler Class Availability'!$F:$F,L91)&amp;""),0)&gt;0,"  ("&amp;TEXT(IFERROR(--(INDEX('Reguler Class Availability'!$G:$G,L91)&amp;""),0)/IFERROR(--(INDEX('Reguler Class Availability'!$F:$F,L91)&amp;""),0),"0%")&amp;")","")&amp;CHAR(10)&amp;IF(INDEX('Reguler Class Availability'!$I:$I,L91)&amp;""="","coach: –",PROPER(INDEX('Reguler Class Availability'!$I:$I,L91)&amp;""))&amp;IF(INDEX('Reguler Class Availability'!$J:$J,L91)&amp;""="","",CHAR(10)&amp;"asst: "&amp;PROPER(INDEX('Reguler Class Availability'!$J:$J,L91)&amp;""))))</f>
        <v>Kosong  0/4  (0%)
coach: –</v>
      </c>
      <c r="E91" s="40" t="str">
        <f aca="false">IF(M91="","",IF(U91="Tidak dibuka","–",IF(INDEX('Reguler Class Availability'!$B:$B,M91)&amp;""="","Kosong",PROPER(INDEX('Reguler Class Availability'!$B:$B,M91)&amp;""))&amp;"  "&amp;IFERROR(--(INDEX('Reguler Class Availability'!$G:$G,M91)&amp;""),0)&amp;"/"&amp;IFERROR(--(INDEX('Reguler Class Availability'!$F:$F,M91)&amp;""),0)&amp;IF(IFERROR(--(INDEX('Reguler Class Availability'!$F:$F,M91)&amp;""),0)&gt;0,"  ("&amp;TEXT(IFERROR(--(INDEX('Reguler Class Availability'!$G:$G,M91)&amp;""),0)/IFERROR(--(INDEX('Reguler Class Availability'!$F:$F,M91)&amp;""),0),"0%")&amp;")","")&amp;CHAR(10)&amp;IF(INDEX('Reguler Class Availability'!$I:$I,M91)&amp;""="","coach: –",PROPER(INDEX('Reguler Class Availability'!$I:$I,M91)&amp;""))&amp;IF(INDEX('Reguler Class Availability'!$J:$J,M91)&amp;""="","",CHAR(10)&amp;"asst: "&amp;PROPER(INDEX('Reguler Class Availability'!$J:$J,M91)&amp;""))))</f>
        <v>Kosong  0/4  (0%)
coach: –</v>
      </c>
      <c r="F91" s="40" t="str">
        <f aca="false">IF(N91="","",IF(V91="Tidak dibuka","–",IF(INDEX('Reguler Class Availability'!$B:$B,N91)&amp;""="","Kosong",PROPER(INDEX('Reguler Class Availability'!$B:$B,N91)&amp;""))&amp;"  "&amp;IFERROR(--(INDEX('Reguler Class Availability'!$G:$G,N91)&amp;""),0)&amp;"/"&amp;IFERROR(--(INDEX('Reguler Class Availability'!$F:$F,N91)&amp;""),0)&amp;IF(IFERROR(--(INDEX('Reguler Class Availability'!$F:$F,N91)&amp;""),0)&gt;0,"  ("&amp;TEXT(IFERROR(--(INDEX('Reguler Class Availability'!$G:$G,N91)&amp;""),0)/IFERROR(--(INDEX('Reguler Class Availability'!$F:$F,N91)&amp;""),0),"0%")&amp;")","")&amp;CHAR(10)&amp;IF(INDEX('Reguler Class Availability'!$I:$I,N91)&amp;""="","coach: –",PROPER(INDEX('Reguler Class Availability'!$I:$I,N91)&amp;""))&amp;IF(INDEX('Reguler Class Availability'!$J:$J,N91)&amp;""="","",CHAR(10)&amp;"asst: "&amp;PROPER(INDEX('Reguler Class Availability'!$J:$J,N91)&amp;""))))</f>
        <v>Kosong  0/4  (0%)
coach: –</v>
      </c>
      <c r="G91" s="40" t="str">
        <f aca="false">IF(O91="","",IF(W91="Tidak dibuka","–",IF(INDEX('Reguler Class Availability'!$B:$B,O91)&amp;""="","Kosong",PROPER(INDEX('Reguler Class Availability'!$B:$B,O91)&amp;""))&amp;"  "&amp;IFERROR(--(INDEX('Reguler Class Availability'!$G:$G,O91)&amp;""),0)&amp;"/"&amp;IFERROR(--(INDEX('Reguler Class Availability'!$F:$F,O91)&amp;""),0)&amp;IF(IFERROR(--(INDEX('Reguler Class Availability'!$F:$F,O91)&amp;""),0)&gt;0,"  ("&amp;TEXT(IFERROR(--(INDEX('Reguler Class Availability'!$G:$G,O91)&amp;""),0)/IFERROR(--(INDEX('Reguler Class Availability'!$F:$F,O91)&amp;""),0),"0%")&amp;")","")&amp;CHAR(10)&amp;IF(INDEX('Reguler Class Availability'!$I:$I,O91)&amp;""="","coach: –",PROPER(INDEX('Reguler Class Availability'!$I:$I,O91)&amp;""))&amp;IF(INDEX('Reguler Class Availability'!$J:$J,O91)&amp;""="","",CHAR(10)&amp;"asst: "&amp;PROPER(INDEX('Reguler Class Availability'!$J:$J,O91)&amp;""))))</f>
        <v>Kids  4/4  (100%)
Nuky</v>
      </c>
      <c r="H91" s="40" t="str">
        <f aca="false">IF(P91="","",IF(X91="Tidak dibuka","–",IF(INDEX('Reguler Class Availability'!$B:$B,P91)&amp;""="","Kosong",PROPER(INDEX('Reguler Class Availability'!$B:$B,P91)&amp;""))&amp;"  "&amp;IFERROR(--(INDEX('Reguler Class Availability'!$G:$G,P91)&amp;""),0)&amp;"/"&amp;IFERROR(--(INDEX('Reguler Class Availability'!$F:$F,P91)&amp;""),0)&amp;IF(IFERROR(--(INDEX('Reguler Class Availability'!$F:$F,P91)&amp;""),0)&gt;0,"  ("&amp;TEXT(IFERROR(--(INDEX('Reguler Class Availability'!$G:$G,P91)&amp;""),0)/IFERROR(--(INDEX('Reguler Class Availability'!$F:$F,P91)&amp;""),0),"0%")&amp;")","")&amp;CHAR(10)&amp;IF(INDEX('Reguler Class Availability'!$I:$I,P91)&amp;""="","coach: –",PROPER(INDEX('Reguler Class Availability'!$I:$I,P91)&amp;""))&amp;IF(INDEX('Reguler Class Availability'!$J:$J,P91)&amp;""="","",CHAR(10)&amp;"asst: "&amp;PROPER(INDEX('Reguler Class Availability'!$J:$J,P91)&amp;""))))</f>
        <v>Kids  4/4  (100%)
Rischa</v>
      </c>
      <c r="J91" s="4" t="n">
        <f aca="false">IF($A91="","",IFERROR(MATCH($B$4&amp;"|- Lane 5 - "&amp;B$87&amp;"|"&amp;$A91,'Reguler Class Availability'!$L:$L,0),""))</f>
        <v>355</v>
      </c>
      <c r="K91" s="4" t="n">
        <f aca="false">IF($A91="","",IFERROR(MATCH($B$4&amp;"|- Lane 5 - "&amp;C$87&amp;"|"&amp;$A91,'Reguler Class Availability'!$L:$L,0),""))</f>
        <v>367</v>
      </c>
      <c r="L91" s="4" t="n">
        <f aca="false">IF($A91="","",IFERROR(MATCH($B$4&amp;"|- Lane 5 - "&amp;D$87&amp;"|"&amp;$A91,'Reguler Class Availability'!$L:$L,0),""))</f>
        <v>379</v>
      </c>
      <c r="M91" s="4" t="n">
        <f aca="false">IF($A91="","",IFERROR(MATCH($B$4&amp;"|- Lane 5 - "&amp;E$87&amp;"|"&amp;$A91,'Reguler Class Availability'!$L:$L,0),""))</f>
        <v>391</v>
      </c>
      <c r="N91" s="4" t="n">
        <f aca="false">IF($A91="","",IFERROR(MATCH($B$4&amp;"|- Lane 5 - "&amp;F$87&amp;"|"&amp;$A91,'Reguler Class Availability'!$L:$L,0),""))</f>
        <v>403</v>
      </c>
      <c r="O91" s="4" t="n">
        <f aca="false">IF($A91="","",IFERROR(MATCH($B$4&amp;"|- Lane 5 - "&amp;G$87&amp;"|"&amp;$A91,'Reguler Class Availability'!$L:$L,0),""))</f>
        <v>415</v>
      </c>
      <c r="P91" s="4" t="n">
        <f aca="false">IF($A91="","",IFERROR(MATCH($B$4&amp;"|- Lane 5 - "&amp;H$87&amp;"|"&amp;$A91,'Reguler Class Availability'!$L:$L,0),""))</f>
        <v>427</v>
      </c>
      <c r="R91" s="0" t="str">
        <f aca="false">IF(J91="","",IF(AND(IFERROR(--(INDEX('Reguler Class Availability'!$F:$F,J91)&amp;""),0)=0,IFERROR(--(INDEX('Reguler Class Availability'!$G:$G,J91)&amp;""),0)=0),IF(OR(INDEX('Reguler Class Availability'!$B:$B,J91)&amp;""&lt;&gt;"",INDEX('Reguler Class Availability'!$I:$I,J91)&amp;""&lt;&gt;""),"Tutup","Tidak dibuka"),IF(IFERROR(--(INDEX('Reguler Class Availability'!$G:$G,J91)&amp;""),0)&gt;IFERROR(--(INDEX('Reguler Class Availability'!$F:$F,J91)&amp;""),0),"Lebih",IF(IFERROR(--(INDEX('Reguler Class Availability'!$G:$G,J91)&amp;""),0)=IFERROR(--(INDEX('Reguler Class Availability'!$F:$F,J91)&amp;""),0),"Penuh",IF(IFERROR(--(INDEX('Reguler Class Availability'!$G:$G,J91)&amp;""),0)=0,IF(INDEX('Reguler Class Availability'!$B:$B,J91)&amp;""="","Kosong","Belum terisi"),IF(IFERROR(--(INDEX('Reguler Class Availability'!$G:$G,J91)&amp;""),0)/IFERROR(--(INDEX('Reguler Class Availability'!$F:$F,J91)&amp;""),0)&gt;=0.6,"Tinggi","Sebagian"))))))</f>
        <v>Kosong</v>
      </c>
      <c r="S91" s="0" t="str">
        <f aca="false">IF(K91="","",IF(AND(IFERROR(--(INDEX('Reguler Class Availability'!$F:$F,K91)&amp;""),0)=0,IFERROR(--(INDEX('Reguler Class Availability'!$G:$G,K91)&amp;""),0)=0),IF(OR(INDEX('Reguler Class Availability'!$B:$B,K91)&amp;""&lt;&gt;"",INDEX('Reguler Class Availability'!$I:$I,K91)&amp;""&lt;&gt;""),"Tutup","Tidak dibuka"),IF(IFERROR(--(INDEX('Reguler Class Availability'!$G:$G,K91)&amp;""),0)&gt;IFERROR(--(INDEX('Reguler Class Availability'!$F:$F,K91)&amp;""),0),"Lebih",IF(IFERROR(--(INDEX('Reguler Class Availability'!$G:$G,K91)&amp;""),0)=IFERROR(--(INDEX('Reguler Class Availability'!$F:$F,K91)&amp;""),0),"Penuh",IF(IFERROR(--(INDEX('Reguler Class Availability'!$G:$G,K91)&amp;""),0)=0,IF(INDEX('Reguler Class Availability'!$B:$B,K91)&amp;""="","Kosong","Belum terisi"),IF(IFERROR(--(INDEX('Reguler Class Availability'!$G:$G,K91)&amp;""),0)/IFERROR(--(INDEX('Reguler Class Availability'!$F:$F,K91)&amp;""),0)&gt;=0.6,"Tinggi","Sebagian"))))))</f>
        <v>Kosong</v>
      </c>
      <c r="T91" s="0" t="str">
        <f aca="false">IF(L91="","",IF(AND(IFERROR(--(INDEX('Reguler Class Availability'!$F:$F,L91)&amp;""),0)=0,IFERROR(--(INDEX('Reguler Class Availability'!$G:$G,L91)&amp;""),0)=0),IF(OR(INDEX('Reguler Class Availability'!$B:$B,L91)&amp;""&lt;&gt;"",INDEX('Reguler Class Availability'!$I:$I,L91)&amp;""&lt;&gt;""),"Tutup","Tidak dibuka"),IF(IFERROR(--(INDEX('Reguler Class Availability'!$G:$G,L91)&amp;""),0)&gt;IFERROR(--(INDEX('Reguler Class Availability'!$F:$F,L91)&amp;""),0),"Lebih",IF(IFERROR(--(INDEX('Reguler Class Availability'!$G:$G,L91)&amp;""),0)=IFERROR(--(INDEX('Reguler Class Availability'!$F:$F,L91)&amp;""),0),"Penuh",IF(IFERROR(--(INDEX('Reguler Class Availability'!$G:$G,L91)&amp;""),0)=0,IF(INDEX('Reguler Class Availability'!$B:$B,L91)&amp;""="","Kosong","Belum terisi"),IF(IFERROR(--(INDEX('Reguler Class Availability'!$G:$G,L91)&amp;""),0)/IFERROR(--(INDEX('Reguler Class Availability'!$F:$F,L91)&amp;""),0)&gt;=0.6,"Tinggi","Sebagian"))))))</f>
        <v>Kosong</v>
      </c>
      <c r="U91" s="0" t="str">
        <f aca="false">IF(M91="","",IF(AND(IFERROR(--(INDEX('Reguler Class Availability'!$F:$F,M91)&amp;""),0)=0,IFERROR(--(INDEX('Reguler Class Availability'!$G:$G,M91)&amp;""),0)=0),IF(OR(INDEX('Reguler Class Availability'!$B:$B,M91)&amp;""&lt;&gt;"",INDEX('Reguler Class Availability'!$I:$I,M91)&amp;""&lt;&gt;""),"Tutup","Tidak dibuka"),IF(IFERROR(--(INDEX('Reguler Class Availability'!$G:$G,M91)&amp;""),0)&gt;IFERROR(--(INDEX('Reguler Class Availability'!$F:$F,M91)&amp;""),0),"Lebih",IF(IFERROR(--(INDEX('Reguler Class Availability'!$G:$G,M91)&amp;""),0)=IFERROR(--(INDEX('Reguler Class Availability'!$F:$F,M91)&amp;""),0),"Penuh",IF(IFERROR(--(INDEX('Reguler Class Availability'!$G:$G,M91)&amp;""),0)=0,IF(INDEX('Reguler Class Availability'!$B:$B,M91)&amp;""="","Kosong","Belum terisi"),IF(IFERROR(--(INDEX('Reguler Class Availability'!$G:$G,M91)&amp;""),0)/IFERROR(--(INDEX('Reguler Class Availability'!$F:$F,M91)&amp;""),0)&gt;=0.6,"Tinggi","Sebagian"))))))</f>
        <v>Kosong</v>
      </c>
      <c r="V91" s="0" t="str">
        <f aca="false">IF(N91="","",IF(AND(IFERROR(--(INDEX('Reguler Class Availability'!$F:$F,N91)&amp;""),0)=0,IFERROR(--(INDEX('Reguler Class Availability'!$G:$G,N91)&amp;""),0)=0),IF(OR(INDEX('Reguler Class Availability'!$B:$B,N91)&amp;""&lt;&gt;"",INDEX('Reguler Class Availability'!$I:$I,N91)&amp;""&lt;&gt;""),"Tutup","Tidak dibuka"),IF(IFERROR(--(INDEX('Reguler Class Availability'!$G:$G,N91)&amp;""),0)&gt;IFERROR(--(INDEX('Reguler Class Availability'!$F:$F,N91)&amp;""),0),"Lebih",IF(IFERROR(--(INDEX('Reguler Class Availability'!$G:$G,N91)&amp;""),0)=IFERROR(--(INDEX('Reguler Class Availability'!$F:$F,N91)&amp;""),0),"Penuh",IF(IFERROR(--(INDEX('Reguler Class Availability'!$G:$G,N91)&amp;""),0)=0,IF(INDEX('Reguler Class Availability'!$B:$B,N91)&amp;""="","Kosong","Belum terisi"),IF(IFERROR(--(INDEX('Reguler Class Availability'!$G:$G,N91)&amp;""),0)/IFERROR(--(INDEX('Reguler Class Availability'!$F:$F,N91)&amp;""),0)&gt;=0.6,"Tinggi","Sebagian"))))))</f>
        <v>Kosong</v>
      </c>
      <c r="W91" s="0" t="str">
        <f aca="false">IF(O91="","",IF(AND(IFERROR(--(INDEX('Reguler Class Availability'!$F:$F,O91)&amp;""),0)=0,IFERROR(--(INDEX('Reguler Class Availability'!$G:$G,O91)&amp;""),0)=0),IF(OR(INDEX('Reguler Class Availability'!$B:$B,O91)&amp;""&lt;&gt;"",INDEX('Reguler Class Availability'!$I:$I,O91)&amp;""&lt;&gt;""),"Tutup","Tidak dibuka"),IF(IFERROR(--(INDEX('Reguler Class Availability'!$G:$G,O91)&amp;""),0)&gt;IFERROR(--(INDEX('Reguler Class Availability'!$F:$F,O91)&amp;""),0),"Lebih",IF(IFERROR(--(INDEX('Reguler Class Availability'!$G:$G,O91)&amp;""),0)=IFERROR(--(INDEX('Reguler Class Availability'!$F:$F,O91)&amp;""),0),"Penuh",IF(IFERROR(--(INDEX('Reguler Class Availability'!$G:$G,O91)&amp;""),0)=0,IF(INDEX('Reguler Class Availability'!$B:$B,O91)&amp;""="","Kosong","Belum terisi"),IF(IFERROR(--(INDEX('Reguler Class Availability'!$G:$G,O91)&amp;""),0)/IFERROR(--(INDEX('Reguler Class Availability'!$F:$F,O91)&amp;""),0)&gt;=0.6,"Tinggi","Sebagian"))))))</f>
        <v>Penuh</v>
      </c>
      <c r="X91" s="0" t="str">
        <f aca="false">IF(P91="","",IF(AND(IFERROR(--(INDEX('Reguler Class Availability'!$F:$F,P91)&amp;""),0)=0,IFERROR(--(INDEX('Reguler Class Availability'!$G:$G,P91)&amp;""),0)=0),IF(OR(INDEX('Reguler Class Availability'!$B:$B,P91)&amp;""&lt;&gt;"",INDEX('Reguler Class Availability'!$I:$I,P91)&amp;""&lt;&gt;""),"Tutup","Tidak dibuka"),IF(IFERROR(--(INDEX('Reguler Class Availability'!$G:$G,P91)&amp;""),0)&gt;IFERROR(--(INDEX('Reguler Class Availability'!$F:$F,P91)&amp;""),0),"Lebih",IF(IFERROR(--(INDEX('Reguler Class Availability'!$G:$G,P91)&amp;""),0)=IFERROR(--(INDEX('Reguler Class Availability'!$F:$F,P91)&amp;""),0),"Penuh",IF(IFERROR(--(INDEX('Reguler Class Availability'!$G:$G,P91)&amp;""),0)=0,IF(INDEX('Reguler Class Availability'!$B:$B,P91)&amp;""="","Kosong","Belum terisi"),IF(IFERROR(--(INDEX('Reguler Class Availability'!$G:$G,P91)&amp;""),0)/IFERROR(--(INDEX('Reguler Class Availability'!$F:$F,P91)&amp;""),0)&gt;=0.6,"Tinggi","Sebagian"))))))</f>
        <v>Penuh</v>
      </c>
      <c r="Z91" s="4" t="s">
        <v>65</v>
      </c>
      <c r="AA91" s="4" t="n">
        <f aca="false">IF(COUNTIFS('Reguler Class Availability'!$L:$L,$B$4&amp;"|- Lane 2 - *|"&amp;Z91)&gt;0,1,0)</f>
        <v>0</v>
      </c>
      <c r="AB91" s="4" t="n">
        <f aca="false">AA91+AB90</f>
        <v>6</v>
      </c>
    </row>
    <row r="92" customFormat="false" ht="39.75" hidden="false" customHeight="true" outlineLevel="0" collapsed="false">
      <c r="A92" s="39" t="str">
        <f aca="false">IFERROR(INDEX($Z$242:$Z$301,MATCH(5,$AB$242:$AB$301,0)),"")</f>
        <v>11:00</v>
      </c>
      <c r="B92" s="40" t="str">
        <f aca="false">IF(J92="","",IF(R92="Tidak dibuka","–",IF(INDEX('Reguler Class Availability'!$B:$B,J92)&amp;""="","Kosong",PROPER(INDEX('Reguler Class Availability'!$B:$B,J92)&amp;""))&amp;"  "&amp;IFERROR(--(INDEX('Reguler Class Availability'!$G:$G,J92)&amp;""),0)&amp;"/"&amp;IFERROR(--(INDEX('Reguler Class Availability'!$F:$F,J92)&amp;""),0)&amp;IF(IFERROR(--(INDEX('Reguler Class Availability'!$F:$F,J92)&amp;""),0)&gt;0,"  ("&amp;TEXT(IFERROR(--(INDEX('Reguler Class Availability'!$G:$G,J92)&amp;""),0)/IFERROR(--(INDEX('Reguler Class Availability'!$F:$F,J92)&amp;""),0),"0%")&amp;")","")&amp;CHAR(10)&amp;IF(INDEX('Reguler Class Availability'!$I:$I,J92)&amp;""="","coach: –",PROPER(INDEX('Reguler Class Availability'!$I:$I,J92)&amp;""))&amp;IF(INDEX('Reguler Class Availability'!$J:$J,J92)&amp;""="","",CHAR(10)&amp;"asst: "&amp;PROPER(INDEX('Reguler Class Availability'!$J:$J,J92)&amp;""))))</f>
        <v>Kosong  0/4  (0%)
coach: –</v>
      </c>
      <c r="C92" s="40" t="str">
        <f aca="false">IF(K92="","",IF(S92="Tidak dibuka","–",IF(INDEX('Reguler Class Availability'!$B:$B,K92)&amp;""="","Kosong",PROPER(INDEX('Reguler Class Availability'!$B:$B,K92)&amp;""))&amp;"  "&amp;IFERROR(--(INDEX('Reguler Class Availability'!$G:$G,K92)&amp;""),0)&amp;"/"&amp;IFERROR(--(INDEX('Reguler Class Availability'!$F:$F,K92)&amp;""),0)&amp;IF(IFERROR(--(INDEX('Reguler Class Availability'!$F:$F,K92)&amp;""),0)&gt;0,"  ("&amp;TEXT(IFERROR(--(INDEX('Reguler Class Availability'!$G:$G,K92)&amp;""),0)/IFERROR(--(INDEX('Reguler Class Availability'!$F:$F,K92)&amp;""),0),"0%")&amp;")","")&amp;CHAR(10)&amp;IF(INDEX('Reguler Class Availability'!$I:$I,K92)&amp;""="","coach: –",PROPER(INDEX('Reguler Class Availability'!$I:$I,K92)&amp;""))&amp;IF(INDEX('Reguler Class Availability'!$J:$J,K92)&amp;""="","",CHAR(10)&amp;"asst: "&amp;PROPER(INDEX('Reguler Class Availability'!$J:$J,K92)&amp;""))))</f>
        <v>Kosong  0/4  (0%)
coach: –</v>
      </c>
      <c r="D92" s="40" t="str">
        <f aca="false">IF(L92="","",IF(T92="Tidak dibuka","–",IF(INDEX('Reguler Class Availability'!$B:$B,L92)&amp;""="","Kosong",PROPER(INDEX('Reguler Class Availability'!$B:$B,L92)&amp;""))&amp;"  "&amp;IFERROR(--(INDEX('Reguler Class Availability'!$G:$G,L92)&amp;""),0)&amp;"/"&amp;IFERROR(--(INDEX('Reguler Class Availability'!$F:$F,L92)&amp;""),0)&amp;IF(IFERROR(--(INDEX('Reguler Class Availability'!$F:$F,L92)&amp;""),0)&gt;0,"  ("&amp;TEXT(IFERROR(--(INDEX('Reguler Class Availability'!$G:$G,L92)&amp;""),0)/IFERROR(--(INDEX('Reguler Class Availability'!$F:$F,L92)&amp;""),0),"0%")&amp;")","")&amp;CHAR(10)&amp;IF(INDEX('Reguler Class Availability'!$I:$I,L92)&amp;""="","coach: –",PROPER(INDEX('Reguler Class Availability'!$I:$I,L92)&amp;""))&amp;IF(INDEX('Reguler Class Availability'!$J:$J,L92)&amp;""="","",CHAR(10)&amp;"asst: "&amp;PROPER(INDEX('Reguler Class Availability'!$J:$J,L92)&amp;""))))</f>
        <v>Kosong  0/4  (0%)
coach: –</v>
      </c>
      <c r="E92" s="40" t="str">
        <f aca="false">IF(M92="","",IF(U92="Tidak dibuka","–",IF(INDEX('Reguler Class Availability'!$B:$B,M92)&amp;""="","Kosong",PROPER(INDEX('Reguler Class Availability'!$B:$B,M92)&amp;""))&amp;"  "&amp;IFERROR(--(INDEX('Reguler Class Availability'!$G:$G,M92)&amp;""),0)&amp;"/"&amp;IFERROR(--(INDEX('Reguler Class Availability'!$F:$F,M92)&amp;""),0)&amp;IF(IFERROR(--(INDEX('Reguler Class Availability'!$F:$F,M92)&amp;""),0)&gt;0,"  ("&amp;TEXT(IFERROR(--(INDEX('Reguler Class Availability'!$G:$G,M92)&amp;""),0)/IFERROR(--(INDEX('Reguler Class Availability'!$F:$F,M92)&amp;""),0),"0%")&amp;")","")&amp;CHAR(10)&amp;IF(INDEX('Reguler Class Availability'!$I:$I,M92)&amp;""="","coach: –",PROPER(INDEX('Reguler Class Availability'!$I:$I,M92)&amp;""))&amp;IF(INDEX('Reguler Class Availability'!$J:$J,M92)&amp;""="","",CHAR(10)&amp;"asst: "&amp;PROPER(INDEX('Reguler Class Availability'!$J:$J,M92)&amp;""))))</f>
        <v>Kosong  0/4  (0%)
coach: –</v>
      </c>
      <c r="F92" s="40" t="str">
        <f aca="false">IF(N92="","",IF(V92="Tidak dibuka","–",IF(INDEX('Reguler Class Availability'!$B:$B,N92)&amp;""="","Kosong",PROPER(INDEX('Reguler Class Availability'!$B:$B,N92)&amp;""))&amp;"  "&amp;IFERROR(--(INDEX('Reguler Class Availability'!$G:$G,N92)&amp;""),0)&amp;"/"&amp;IFERROR(--(INDEX('Reguler Class Availability'!$F:$F,N92)&amp;""),0)&amp;IF(IFERROR(--(INDEX('Reguler Class Availability'!$F:$F,N92)&amp;""),0)&gt;0,"  ("&amp;TEXT(IFERROR(--(INDEX('Reguler Class Availability'!$G:$G,N92)&amp;""),0)/IFERROR(--(INDEX('Reguler Class Availability'!$F:$F,N92)&amp;""),0),"0%")&amp;")","")&amp;CHAR(10)&amp;IF(INDEX('Reguler Class Availability'!$I:$I,N92)&amp;""="","coach: –",PROPER(INDEX('Reguler Class Availability'!$I:$I,N92)&amp;""))&amp;IF(INDEX('Reguler Class Availability'!$J:$J,N92)&amp;""="","",CHAR(10)&amp;"asst: "&amp;PROPER(INDEX('Reguler Class Availability'!$J:$J,N92)&amp;""))))</f>
        <v>Kids  4/4  (100%)
Gita</v>
      </c>
      <c r="G92" s="40" t="str">
        <f aca="false">IF(O92="","",IF(W92="Tidak dibuka","–",IF(INDEX('Reguler Class Availability'!$B:$B,O92)&amp;""="","Kosong",PROPER(INDEX('Reguler Class Availability'!$B:$B,O92)&amp;""))&amp;"  "&amp;IFERROR(--(INDEX('Reguler Class Availability'!$G:$G,O92)&amp;""),0)&amp;"/"&amp;IFERROR(--(INDEX('Reguler Class Availability'!$F:$F,O92)&amp;""),0)&amp;IF(IFERROR(--(INDEX('Reguler Class Availability'!$F:$F,O92)&amp;""),0)&gt;0,"  ("&amp;TEXT(IFERROR(--(INDEX('Reguler Class Availability'!$G:$G,O92)&amp;""),0)/IFERROR(--(INDEX('Reguler Class Availability'!$F:$F,O92)&amp;""),0),"0%")&amp;")","")&amp;CHAR(10)&amp;IF(INDEX('Reguler Class Availability'!$I:$I,O92)&amp;""="","coach: –",PROPER(INDEX('Reguler Class Availability'!$I:$I,O92)&amp;""))&amp;IF(INDEX('Reguler Class Availability'!$J:$J,O92)&amp;""="","",CHAR(10)&amp;"asst: "&amp;PROPER(INDEX('Reguler Class Availability'!$J:$J,O92)&amp;""))))</f>
        <v>Kids  4/4  (100%)
Rischa</v>
      </c>
      <c r="H92" s="40" t="str">
        <f aca="false">IF(P92="","",IF(X92="Tidak dibuka","–",IF(INDEX('Reguler Class Availability'!$B:$B,P92)&amp;""="","Kosong",PROPER(INDEX('Reguler Class Availability'!$B:$B,P92)&amp;""))&amp;"  "&amp;IFERROR(--(INDEX('Reguler Class Availability'!$G:$G,P92)&amp;""),0)&amp;"/"&amp;IFERROR(--(INDEX('Reguler Class Availability'!$F:$F,P92)&amp;""),0)&amp;IF(IFERROR(--(INDEX('Reguler Class Availability'!$F:$F,P92)&amp;""),0)&gt;0,"  ("&amp;TEXT(IFERROR(--(INDEX('Reguler Class Availability'!$G:$G,P92)&amp;""),0)/IFERROR(--(INDEX('Reguler Class Availability'!$F:$F,P92)&amp;""),0),"0%")&amp;")","")&amp;CHAR(10)&amp;IF(INDEX('Reguler Class Availability'!$I:$I,P92)&amp;""="","coach: –",PROPER(INDEX('Reguler Class Availability'!$I:$I,P92)&amp;""))&amp;IF(INDEX('Reguler Class Availability'!$J:$J,P92)&amp;""="","",CHAR(10)&amp;"asst: "&amp;PROPER(INDEX('Reguler Class Availability'!$J:$J,P92)&amp;""))))</f>
        <v>Little  3/4  (75%)
Dian</v>
      </c>
      <c r="J92" s="4" t="n">
        <f aca="false">IF($A92="","",IFERROR(MATCH($B$4&amp;"|- Lane 5 - "&amp;B$87&amp;"|"&amp;$A92,'Reguler Class Availability'!$L:$L,0),""))</f>
        <v>356</v>
      </c>
      <c r="K92" s="4" t="n">
        <f aca="false">IF($A92="","",IFERROR(MATCH($B$4&amp;"|- Lane 5 - "&amp;C$87&amp;"|"&amp;$A92,'Reguler Class Availability'!$L:$L,0),""))</f>
        <v>368</v>
      </c>
      <c r="L92" s="4" t="n">
        <f aca="false">IF($A92="","",IFERROR(MATCH($B$4&amp;"|- Lane 5 - "&amp;D$87&amp;"|"&amp;$A92,'Reguler Class Availability'!$L:$L,0),""))</f>
        <v>380</v>
      </c>
      <c r="M92" s="4" t="n">
        <f aca="false">IF($A92="","",IFERROR(MATCH($B$4&amp;"|- Lane 5 - "&amp;E$87&amp;"|"&amp;$A92,'Reguler Class Availability'!$L:$L,0),""))</f>
        <v>392</v>
      </c>
      <c r="N92" s="4" t="n">
        <f aca="false">IF($A92="","",IFERROR(MATCH($B$4&amp;"|- Lane 5 - "&amp;F$87&amp;"|"&amp;$A92,'Reguler Class Availability'!$L:$L,0),""))</f>
        <v>404</v>
      </c>
      <c r="O92" s="4" t="n">
        <f aca="false">IF($A92="","",IFERROR(MATCH($B$4&amp;"|- Lane 5 - "&amp;G$87&amp;"|"&amp;$A92,'Reguler Class Availability'!$L:$L,0),""))</f>
        <v>416</v>
      </c>
      <c r="P92" s="4" t="n">
        <f aca="false">IF($A92="","",IFERROR(MATCH($B$4&amp;"|- Lane 5 - "&amp;H$87&amp;"|"&amp;$A92,'Reguler Class Availability'!$L:$L,0),""))</f>
        <v>428</v>
      </c>
      <c r="R92" s="0" t="str">
        <f aca="false">IF(J92="","",IF(AND(IFERROR(--(INDEX('Reguler Class Availability'!$F:$F,J92)&amp;""),0)=0,IFERROR(--(INDEX('Reguler Class Availability'!$G:$G,J92)&amp;""),0)=0),IF(OR(INDEX('Reguler Class Availability'!$B:$B,J92)&amp;""&lt;&gt;"",INDEX('Reguler Class Availability'!$I:$I,J92)&amp;""&lt;&gt;""),"Tutup","Tidak dibuka"),IF(IFERROR(--(INDEX('Reguler Class Availability'!$G:$G,J92)&amp;""),0)&gt;IFERROR(--(INDEX('Reguler Class Availability'!$F:$F,J92)&amp;""),0),"Lebih",IF(IFERROR(--(INDEX('Reguler Class Availability'!$G:$G,J92)&amp;""),0)=IFERROR(--(INDEX('Reguler Class Availability'!$F:$F,J92)&amp;""),0),"Penuh",IF(IFERROR(--(INDEX('Reguler Class Availability'!$G:$G,J92)&amp;""),0)=0,IF(INDEX('Reguler Class Availability'!$B:$B,J92)&amp;""="","Kosong","Belum terisi"),IF(IFERROR(--(INDEX('Reguler Class Availability'!$G:$G,J92)&amp;""),0)/IFERROR(--(INDEX('Reguler Class Availability'!$F:$F,J92)&amp;""),0)&gt;=0.6,"Tinggi","Sebagian"))))))</f>
        <v>Kosong</v>
      </c>
      <c r="S92" s="0" t="str">
        <f aca="false">IF(K92="","",IF(AND(IFERROR(--(INDEX('Reguler Class Availability'!$F:$F,K92)&amp;""),0)=0,IFERROR(--(INDEX('Reguler Class Availability'!$G:$G,K92)&amp;""),0)=0),IF(OR(INDEX('Reguler Class Availability'!$B:$B,K92)&amp;""&lt;&gt;"",INDEX('Reguler Class Availability'!$I:$I,K92)&amp;""&lt;&gt;""),"Tutup","Tidak dibuka"),IF(IFERROR(--(INDEX('Reguler Class Availability'!$G:$G,K92)&amp;""),0)&gt;IFERROR(--(INDEX('Reguler Class Availability'!$F:$F,K92)&amp;""),0),"Lebih",IF(IFERROR(--(INDEX('Reguler Class Availability'!$G:$G,K92)&amp;""),0)=IFERROR(--(INDEX('Reguler Class Availability'!$F:$F,K92)&amp;""),0),"Penuh",IF(IFERROR(--(INDEX('Reguler Class Availability'!$G:$G,K92)&amp;""),0)=0,IF(INDEX('Reguler Class Availability'!$B:$B,K92)&amp;""="","Kosong","Belum terisi"),IF(IFERROR(--(INDEX('Reguler Class Availability'!$G:$G,K92)&amp;""),0)/IFERROR(--(INDEX('Reguler Class Availability'!$F:$F,K92)&amp;""),0)&gt;=0.6,"Tinggi","Sebagian"))))))</f>
        <v>Kosong</v>
      </c>
      <c r="T92" s="0" t="str">
        <f aca="false">IF(L92="","",IF(AND(IFERROR(--(INDEX('Reguler Class Availability'!$F:$F,L92)&amp;""),0)=0,IFERROR(--(INDEX('Reguler Class Availability'!$G:$G,L92)&amp;""),0)=0),IF(OR(INDEX('Reguler Class Availability'!$B:$B,L92)&amp;""&lt;&gt;"",INDEX('Reguler Class Availability'!$I:$I,L92)&amp;""&lt;&gt;""),"Tutup","Tidak dibuka"),IF(IFERROR(--(INDEX('Reguler Class Availability'!$G:$G,L92)&amp;""),0)&gt;IFERROR(--(INDEX('Reguler Class Availability'!$F:$F,L92)&amp;""),0),"Lebih",IF(IFERROR(--(INDEX('Reguler Class Availability'!$G:$G,L92)&amp;""),0)=IFERROR(--(INDEX('Reguler Class Availability'!$F:$F,L92)&amp;""),0),"Penuh",IF(IFERROR(--(INDEX('Reguler Class Availability'!$G:$G,L92)&amp;""),0)=0,IF(INDEX('Reguler Class Availability'!$B:$B,L92)&amp;""="","Kosong","Belum terisi"),IF(IFERROR(--(INDEX('Reguler Class Availability'!$G:$G,L92)&amp;""),0)/IFERROR(--(INDEX('Reguler Class Availability'!$F:$F,L92)&amp;""),0)&gt;=0.6,"Tinggi","Sebagian"))))))</f>
        <v>Kosong</v>
      </c>
      <c r="U92" s="0" t="str">
        <f aca="false">IF(M92="","",IF(AND(IFERROR(--(INDEX('Reguler Class Availability'!$F:$F,M92)&amp;""),0)=0,IFERROR(--(INDEX('Reguler Class Availability'!$G:$G,M92)&amp;""),0)=0),IF(OR(INDEX('Reguler Class Availability'!$B:$B,M92)&amp;""&lt;&gt;"",INDEX('Reguler Class Availability'!$I:$I,M92)&amp;""&lt;&gt;""),"Tutup","Tidak dibuka"),IF(IFERROR(--(INDEX('Reguler Class Availability'!$G:$G,M92)&amp;""),0)&gt;IFERROR(--(INDEX('Reguler Class Availability'!$F:$F,M92)&amp;""),0),"Lebih",IF(IFERROR(--(INDEX('Reguler Class Availability'!$G:$G,M92)&amp;""),0)=IFERROR(--(INDEX('Reguler Class Availability'!$F:$F,M92)&amp;""),0),"Penuh",IF(IFERROR(--(INDEX('Reguler Class Availability'!$G:$G,M92)&amp;""),0)=0,IF(INDEX('Reguler Class Availability'!$B:$B,M92)&amp;""="","Kosong","Belum terisi"),IF(IFERROR(--(INDEX('Reguler Class Availability'!$G:$G,M92)&amp;""),0)/IFERROR(--(INDEX('Reguler Class Availability'!$F:$F,M92)&amp;""),0)&gt;=0.6,"Tinggi","Sebagian"))))))</f>
        <v>Kosong</v>
      </c>
      <c r="V92" s="0" t="str">
        <f aca="false">IF(N92="","",IF(AND(IFERROR(--(INDEX('Reguler Class Availability'!$F:$F,N92)&amp;""),0)=0,IFERROR(--(INDEX('Reguler Class Availability'!$G:$G,N92)&amp;""),0)=0),IF(OR(INDEX('Reguler Class Availability'!$B:$B,N92)&amp;""&lt;&gt;"",INDEX('Reguler Class Availability'!$I:$I,N92)&amp;""&lt;&gt;""),"Tutup","Tidak dibuka"),IF(IFERROR(--(INDEX('Reguler Class Availability'!$G:$G,N92)&amp;""),0)&gt;IFERROR(--(INDEX('Reguler Class Availability'!$F:$F,N92)&amp;""),0),"Lebih",IF(IFERROR(--(INDEX('Reguler Class Availability'!$G:$G,N92)&amp;""),0)=IFERROR(--(INDEX('Reguler Class Availability'!$F:$F,N92)&amp;""),0),"Penuh",IF(IFERROR(--(INDEX('Reguler Class Availability'!$G:$G,N92)&amp;""),0)=0,IF(INDEX('Reguler Class Availability'!$B:$B,N92)&amp;""="","Kosong","Belum terisi"),IF(IFERROR(--(INDEX('Reguler Class Availability'!$G:$G,N92)&amp;""),0)/IFERROR(--(INDEX('Reguler Class Availability'!$F:$F,N92)&amp;""),0)&gt;=0.6,"Tinggi","Sebagian"))))))</f>
        <v>Penuh</v>
      </c>
      <c r="W92" s="0" t="str">
        <f aca="false">IF(O92="","",IF(AND(IFERROR(--(INDEX('Reguler Class Availability'!$F:$F,O92)&amp;""),0)=0,IFERROR(--(INDEX('Reguler Class Availability'!$G:$G,O92)&amp;""),0)=0),IF(OR(INDEX('Reguler Class Availability'!$B:$B,O92)&amp;""&lt;&gt;"",INDEX('Reguler Class Availability'!$I:$I,O92)&amp;""&lt;&gt;""),"Tutup","Tidak dibuka"),IF(IFERROR(--(INDEX('Reguler Class Availability'!$G:$G,O92)&amp;""),0)&gt;IFERROR(--(INDEX('Reguler Class Availability'!$F:$F,O92)&amp;""),0),"Lebih",IF(IFERROR(--(INDEX('Reguler Class Availability'!$G:$G,O92)&amp;""),0)=IFERROR(--(INDEX('Reguler Class Availability'!$F:$F,O92)&amp;""),0),"Penuh",IF(IFERROR(--(INDEX('Reguler Class Availability'!$G:$G,O92)&amp;""),0)=0,IF(INDEX('Reguler Class Availability'!$B:$B,O92)&amp;""="","Kosong","Belum terisi"),IF(IFERROR(--(INDEX('Reguler Class Availability'!$G:$G,O92)&amp;""),0)/IFERROR(--(INDEX('Reguler Class Availability'!$F:$F,O92)&amp;""),0)&gt;=0.6,"Tinggi","Sebagian"))))))</f>
        <v>Penuh</v>
      </c>
      <c r="X92" s="0" t="str">
        <f aca="false">IF(P92="","",IF(AND(IFERROR(--(INDEX('Reguler Class Availability'!$F:$F,P92)&amp;""),0)=0,IFERROR(--(INDEX('Reguler Class Availability'!$G:$G,P92)&amp;""),0)=0),IF(OR(INDEX('Reguler Class Availability'!$B:$B,P92)&amp;""&lt;&gt;"",INDEX('Reguler Class Availability'!$I:$I,P92)&amp;""&lt;&gt;""),"Tutup","Tidak dibuka"),IF(IFERROR(--(INDEX('Reguler Class Availability'!$G:$G,P92)&amp;""),0)&gt;IFERROR(--(INDEX('Reguler Class Availability'!$F:$F,P92)&amp;""),0),"Lebih",IF(IFERROR(--(INDEX('Reguler Class Availability'!$G:$G,P92)&amp;""),0)=IFERROR(--(INDEX('Reguler Class Availability'!$F:$F,P92)&amp;""),0),"Penuh",IF(IFERROR(--(INDEX('Reguler Class Availability'!$G:$G,P92)&amp;""),0)=0,IF(INDEX('Reguler Class Availability'!$B:$B,P92)&amp;""="","Kosong","Belum terisi"),IF(IFERROR(--(INDEX('Reguler Class Availability'!$G:$G,P92)&amp;""),0)/IFERROR(--(INDEX('Reguler Class Availability'!$F:$F,P92)&amp;""),0)&gt;=0.6,"Tinggi","Sebagian"))))))</f>
        <v>Tinggi</v>
      </c>
      <c r="Z92" s="4" t="s">
        <v>67</v>
      </c>
      <c r="AA92" s="4" t="n">
        <f aca="false">IF(COUNTIFS('Reguler Class Availability'!$L:$L,$B$4&amp;"|- Lane 2 - *|"&amp;Z92)&gt;0,1,0)</f>
        <v>1</v>
      </c>
      <c r="AB92" s="4" t="n">
        <f aca="false">AA92+AB91</f>
        <v>7</v>
      </c>
    </row>
    <row r="93" customFormat="false" ht="39.75" hidden="false" customHeight="true" outlineLevel="0" collapsed="false">
      <c r="A93" s="39" t="str">
        <f aca="false">IFERROR(INDEX($Z$242:$Z$301,MATCH(6,$AB$242:$AB$301,0)),"")</f>
        <v>11:45</v>
      </c>
      <c r="B93" s="40" t="str">
        <f aca="false">IF(J93="","",IF(R93="Tidak dibuka","–",IF(INDEX('Reguler Class Availability'!$B:$B,J93)&amp;""="","Kosong",PROPER(INDEX('Reguler Class Availability'!$B:$B,J93)&amp;""))&amp;"  "&amp;IFERROR(--(INDEX('Reguler Class Availability'!$G:$G,J93)&amp;""),0)&amp;"/"&amp;IFERROR(--(INDEX('Reguler Class Availability'!$F:$F,J93)&amp;""),0)&amp;IF(IFERROR(--(INDEX('Reguler Class Availability'!$F:$F,J93)&amp;""),0)&gt;0,"  ("&amp;TEXT(IFERROR(--(INDEX('Reguler Class Availability'!$G:$G,J93)&amp;""),0)/IFERROR(--(INDEX('Reguler Class Availability'!$F:$F,J93)&amp;""),0),"0%")&amp;")","")&amp;CHAR(10)&amp;IF(INDEX('Reguler Class Availability'!$I:$I,J93)&amp;""="","coach: –",PROPER(INDEX('Reguler Class Availability'!$I:$I,J93)&amp;""))&amp;IF(INDEX('Reguler Class Availability'!$J:$J,J93)&amp;""="","",CHAR(10)&amp;"asst: "&amp;PROPER(INDEX('Reguler Class Availability'!$J:$J,J93)&amp;""))))</f>
        <v>–</v>
      </c>
      <c r="C93" s="40" t="str">
        <f aca="false">IF(K93="","",IF(S93="Tidak dibuka","–",IF(INDEX('Reguler Class Availability'!$B:$B,K93)&amp;""="","Kosong",PROPER(INDEX('Reguler Class Availability'!$B:$B,K93)&amp;""))&amp;"  "&amp;IFERROR(--(INDEX('Reguler Class Availability'!$G:$G,K93)&amp;""),0)&amp;"/"&amp;IFERROR(--(INDEX('Reguler Class Availability'!$F:$F,K93)&amp;""),0)&amp;IF(IFERROR(--(INDEX('Reguler Class Availability'!$F:$F,K93)&amp;""),0)&gt;0,"  ("&amp;TEXT(IFERROR(--(INDEX('Reguler Class Availability'!$G:$G,K93)&amp;""),0)/IFERROR(--(INDEX('Reguler Class Availability'!$F:$F,K93)&amp;""),0),"0%")&amp;")","")&amp;CHAR(10)&amp;IF(INDEX('Reguler Class Availability'!$I:$I,K93)&amp;""="","coach: –",PROPER(INDEX('Reguler Class Availability'!$I:$I,K93)&amp;""))&amp;IF(INDEX('Reguler Class Availability'!$J:$J,K93)&amp;""="","",CHAR(10)&amp;"asst: "&amp;PROPER(INDEX('Reguler Class Availability'!$J:$J,K93)&amp;""))))</f>
        <v>–</v>
      </c>
      <c r="D93" s="40" t="str">
        <f aca="false">IF(L93="","",IF(T93="Tidak dibuka","–",IF(INDEX('Reguler Class Availability'!$B:$B,L93)&amp;""="","Kosong",PROPER(INDEX('Reguler Class Availability'!$B:$B,L93)&amp;""))&amp;"  "&amp;IFERROR(--(INDEX('Reguler Class Availability'!$G:$G,L93)&amp;""),0)&amp;"/"&amp;IFERROR(--(INDEX('Reguler Class Availability'!$F:$F,L93)&amp;""),0)&amp;IF(IFERROR(--(INDEX('Reguler Class Availability'!$F:$F,L93)&amp;""),0)&gt;0,"  ("&amp;TEXT(IFERROR(--(INDEX('Reguler Class Availability'!$G:$G,L93)&amp;""),0)/IFERROR(--(INDEX('Reguler Class Availability'!$F:$F,L93)&amp;""),0),"0%")&amp;")","")&amp;CHAR(10)&amp;IF(INDEX('Reguler Class Availability'!$I:$I,L93)&amp;""="","coach: –",PROPER(INDEX('Reguler Class Availability'!$I:$I,L93)&amp;""))&amp;IF(INDEX('Reguler Class Availability'!$J:$J,L93)&amp;""="","",CHAR(10)&amp;"asst: "&amp;PROPER(INDEX('Reguler Class Availability'!$J:$J,L93)&amp;""))))</f>
        <v>Kosong  0/4  (0%)
coach: –</v>
      </c>
      <c r="E93" s="40" t="str">
        <f aca="false">IF(M93="","",IF(U93="Tidak dibuka","–",IF(INDEX('Reguler Class Availability'!$B:$B,M93)&amp;""="","Kosong",PROPER(INDEX('Reguler Class Availability'!$B:$B,M93)&amp;""))&amp;"  "&amp;IFERROR(--(INDEX('Reguler Class Availability'!$G:$G,M93)&amp;""),0)&amp;"/"&amp;IFERROR(--(INDEX('Reguler Class Availability'!$F:$F,M93)&amp;""),0)&amp;IF(IFERROR(--(INDEX('Reguler Class Availability'!$F:$F,M93)&amp;""),0)&gt;0,"  ("&amp;TEXT(IFERROR(--(INDEX('Reguler Class Availability'!$G:$G,M93)&amp;""),0)/IFERROR(--(INDEX('Reguler Class Availability'!$F:$F,M93)&amp;""),0),"0%")&amp;")","")&amp;CHAR(10)&amp;IF(INDEX('Reguler Class Availability'!$I:$I,M93)&amp;""="","coach: –",PROPER(INDEX('Reguler Class Availability'!$I:$I,M93)&amp;""))&amp;IF(INDEX('Reguler Class Availability'!$J:$J,M93)&amp;""="","",CHAR(10)&amp;"asst: "&amp;PROPER(INDEX('Reguler Class Availability'!$J:$J,M93)&amp;""))))</f>
        <v>Kosong  0/4  (0%)
coach: –</v>
      </c>
      <c r="F93" s="40" t="str">
        <f aca="false">IF(N93="","",IF(V93="Tidak dibuka","–",IF(INDEX('Reguler Class Availability'!$B:$B,N93)&amp;""="","Kosong",PROPER(INDEX('Reguler Class Availability'!$B:$B,N93)&amp;""))&amp;"  "&amp;IFERROR(--(INDEX('Reguler Class Availability'!$G:$G,N93)&amp;""),0)&amp;"/"&amp;IFERROR(--(INDEX('Reguler Class Availability'!$F:$F,N93)&amp;""),0)&amp;IF(IFERROR(--(INDEX('Reguler Class Availability'!$F:$F,N93)&amp;""),0)&gt;0,"  ("&amp;TEXT(IFERROR(--(INDEX('Reguler Class Availability'!$G:$G,N93)&amp;""),0)/IFERROR(--(INDEX('Reguler Class Availability'!$F:$F,N93)&amp;""),0),"0%")&amp;")","")&amp;CHAR(10)&amp;IF(INDEX('Reguler Class Availability'!$I:$I,N93)&amp;""="","coach: –",PROPER(INDEX('Reguler Class Availability'!$I:$I,N93)&amp;""))&amp;IF(INDEX('Reguler Class Availability'!$J:$J,N93)&amp;""="","",CHAR(10)&amp;"asst: "&amp;PROPER(INDEX('Reguler Class Availability'!$J:$J,N93)&amp;""))))</f>
        <v>Kosong  0/4  (0%)
coach: –</v>
      </c>
      <c r="G93" s="40" t="str">
        <f aca="false">IF(O93="","",IF(W93="Tidak dibuka","–",IF(INDEX('Reguler Class Availability'!$B:$B,O93)&amp;""="","Kosong",PROPER(INDEX('Reguler Class Availability'!$B:$B,O93)&amp;""))&amp;"  "&amp;IFERROR(--(INDEX('Reguler Class Availability'!$G:$G,O93)&amp;""),0)&amp;"/"&amp;IFERROR(--(INDEX('Reguler Class Availability'!$F:$F,O93)&amp;""),0)&amp;IF(IFERROR(--(INDEX('Reguler Class Availability'!$F:$F,O93)&amp;""),0)&gt;0,"  ("&amp;TEXT(IFERROR(--(INDEX('Reguler Class Availability'!$G:$G,O93)&amp;""),0)/IFERROR(--(INDEX('Reguler Class Availability'!$F:$F,O93)&amp;""),0),"0%")&amp;")","")&amp;CHAR(10)&amp;IF(INDEX('Reguler Class Availability'!$I:$I,O93)&amp;""="","coach: –",PROPER(INDEX('Reguler Class Availability'!$I:$I,O93)&amp;""))&amp;IF(INDEX('Reguler Class Availability'!$J:$J,O93)&amp;""="","",CHAR(10)&amp;"asst: "&amp;PROPER(INDEX('Reguler Class Availability'!$J:$J,O93)&amp;""))))</f>
        <v>Kids  4/4  (100%)
Nuky</v>
      </c>
      <c r="H93" s="40" t="str">
        <f aca="false">IF(P93="","",IF(X93="Tidak dibuka","–",IF(INDEX('Reguler Class Availability'!$B:$B,P93)&amp;""="","Kosong",PROPER(INDEX('Reguler Class Availability'!$B:$B,P93)&amp;""))&amp;"  "&amp;IFERROR(--(INDEX('Reguler Class Availability'!$G:$G,P93)&amp;""),0)&amp;"/"&amp;IFERROR(--(INDEX('Reguler Class Availability'!$F:$F,P93)&amp;""),0)&amp;IF(IFERROR(--(INDEX('Reguler Class Availability'!$F:$F,P93)&amp;""),0)&gt;0,"  ("&amp;TEXT(IFERROR(--(INDEX('Reguler Class Availability'!$G:$G,P93)&amp;""),0)/IFERROR(--(INDEX('Reguler Class Availability'!$F:$F,P93)&amp;""),0),"0%")&amp;")","")&amp;CHAR(10)&amp;IF(INDEX('Reguler Class Availability'!$I:$I,P93)&amp;""="","coach: –",PROPER(INDEX('Reguler Class Availability'!$I:$I,P93)&amp;""))&amp;IF(INDEX('Reguler Class Availability'!$J:$J,P93)&amp;""="","",CHAR(10)&amp;"asst: "&amp;PROPER(INDEX('Reguler Class Availability'!$J:$J,P93)&amp;""))))</f>
        <v>Kosong  0/4  (0%)
coach: –</v>
      </c>
      <c r="J93" s="4" t="n">
        <f aca="false">IF($A93="","",IFERROR(MATCH($B$4&amp;"|- Lane 5 - "&amp;B$87&amp;"|"&amp;$A93,'Reguler Class Availability'!$L:$L,0),""))</f>
        <v>357</v>
      </c>
      <c r="K93" s="4" t="n">
        <f aca="false">IF($A93="","",IFERROR(MATCH($B$4&amp;"|- Lane 5 - "&amp;C$87&amp;"|"&amp;$A93,'Reguler Class Availability'!$L:$L,0),""))</f>
        <v>369</v>
      </c>
      <c r="L93" s="4" t="n">
        <f aca="false">IF($A93="","",IFERROR(MATCH($B$4&amp;"|- Lane 5 - "&amp;D$87&amp;"|"&amp;$A93,'Reguler Class Availability'!$L:$L,0),""))</f>
        <v>381</v>
      </c>
      <c r="M93" s="4" t="n">
        <f aca="false">IF($A93="","",IFERROR(MATCH($B$4&amp;"|- Lane 5 - "&amp;E$87&amp;"|"&amp;$A93,'Reguler Class Availability'!$L:$L,0),""))</f>
        <v>393</v>
      </c>
      <c r="N93" s="4" t="n">
        <f aca="false">IF($A93="","",IFERROR(MATCH($B$4&amp;"|- Lane 5 - "&amp;F$87&amp;"|"&amp;$A93,'Reguler Class Availability'!$L:$L,0),""))</f>
        <v>405</v>
      </c>
      <c r="O93" s="4" t="n">
        <f aca="false">IF($A93="","",IFERROR(MATCH($B$4&amp;"|- Lane 5 - "&amp;G$87&amp;"|"&amp;$A93,'Reguler Class Availability'!$L:$L,0),""))</f>
        <v>417</v>
      </c>
      <c r="P93" s="4" t="n">
        <f aca="false">IF($A93="","",IFERROR(MATCH($B$4&amp;"|- Lane 5 - "&amp;H$87&amp;"|"&amp;$A93,'Reguler Class Availability'!$L:$L,0),""))</f>
        <v>429</v>
      </c>
      <c r="R93" s="0" t="str">
        <f aca="false">IF(J93="","",IF(AND(IFERROR(--(INDEX('Reguler Class Availability'!$F:$F,J93)&amp;""),0)=0,IFERROR(--(INDEX('Reguler Class Availability'!$G:$G,J93)&amp;""),0)=0),IF(OR(INDEX('Reguler Class Availability'!$B:$B,J93)&amp;""&lt;&gt;"",INDEX('Reguler Class Availability'!$I:$I,J93)&amp;""&lt;&gt;""),"Tutup","Tidak dibuka"),IF(IFERROR(--(INDEX('Reguler Class Availability'!$G:$G,J93)&amp;""),0)&gt;IFERROR(--(INDEX('Reguler Class Availability'!$F:$F,J93)&amp;""),0),"Lebih",IF(IFERROR(--(INDEX('Reguler Class Availability'!$G:$G,J93)&amp;""),0)=IFERROR(--(INDEX('Reguler Class Availability'!$F:$F,J93)&amp;""),0),"Penuh",IF(IFERROR(--(INDEX('Reguler Class Availability'!$G:$G,J93)&amp;""),0)=0,IF(INDEX('Reguler Class Availability'!$B:$B,J93)&amp;""="","Kosong","Belum terisi"),IF(IFERROR(--(INDEX('Reguler Class Availability'!$G:$G,J93)&amp;""),0)/IFERROR(--(INDEX('Reguler Class Availability'!$F:$F,J93)&amp;""),0)&gt;=0.6,"Tinggi","Sebagian"))))))</f>
        <v>Tidak dibuka</v>
      </c>
      <c r="S93" s="0" t="str">
        <f aca="false">IF(K93="","",IF(AND(IFERROR(--(INDEX('Reguler Class Availability'!$F:$F,K93)&amp;""),0)=0,IFERROR(--(INDEX('Reguler Class Availability'!$G:$G,K93)&amp;""),0)=0),IF(OR(INDEX('Reguler Class Availability'!$B:$B,K93)&amp;""&lt;&gt;"",INDEX('Reguler Class Availability'!$I:$I,K93)&amp;""&lt;&gt;""),"Tutup","Tidak dibuka"),IF(IFERROR(--(INDEX('Reguler Class Availability'!$G:$G,K93)&amp;""),0)&gt;IFERROR(--(INDEX('Reguler Class Availability'!$F:$F,K93)&amp;""),0),"Lebih",IF(IFERROR(--(INDEX('Reguler Class Availability'!$G:$G,K93)&amp;""),0)=IFERROR(--(INDEX('Reguler Class Availability'!$F:$F,K93)&amp;""),0),"Penuh",IF(IFERROR(--(INDEX('Reguler Class Availability'!$G:$G,K93)&amp;""),0)=0,IF(INDEX('Reguler Class Availability'!$B:$B,K93)&amp;""="","Kosong","Belum terisi"),IF(IFERROR(--(INDEX('Reguler Class Availability'!$G:$G,K93)&amp;""),0)/IFERROR(--(INDEX('Reguler Class Availability'!$F:$F,K93)&amp;""),0)&gt;=0.6,"Tinggi","Sebagian"))))))</f>
        <v>Tidak dibuka</v>
      </c>
      <c r="T93" s="0" t="str">
        <f aca="false">IF(L93="","",IF(AND(IFERROR(--(INDEX('Reguler Class Availability'!$F:$F,L93)&amp;""),0)=0,IFERROR(--(INDEX('Reguler Class Availability'!$G:$G,L93)&amp;""),0)=0),IF(OR(INDEX('Reguler Class Availability'!$B:$B,L93)&amp;""&lt;&gt;"",INDEX('Reguler Class Availability'!$I:$I,L93)&amp;""&lt;&gt;""),"Tutup","Tidak dibuka"),IF(IFERROR(--(INDEX('Reguler Class Availability'!$G:$G,L93)&amp;""),0)&gt;IFERROR(--(INDEX('Reguler Class Availability'!$F:$F,L93)&amp;""),0),"Lebih",IF(IFERROR(--(INDEX('Reguler Class Availability'!$G:$G,L93)&amp;""),0)=IFERROR(--(INDEX('Reguler Class Availability'!$F:$F,L93)&amp;""),0),"Penuh",IF(IFERROR(--(INDEX('Reguler Class Availability'!$G:$G,L93)&amp;""),0)=0,IF(INDEX('Reguler Class Availability'!$B:$B,L93)&amp;""="","Kosong","Belum terisi"),IF(IFERROR(--(INDEX('Reguler Class Availability'!$G:$G,L93)&amp;""),0)/IFERROR(--(INDEX('Reguler Class Availability'!$F:$F,L93)&amp;""),0)&gt;=0.6,"Tinggi","Sebagian"))))))</f>
        <v>Kosong</v>
      </c>
      <c r="U93" s="0" t="str">
        <f aca="false">IF(M93="","",IF(AND(IFERROR(--(INDEX('Reguler Class Availability'!$F:$F,M93)&amp;""),0)=0,IFERROR(--(INDEX('Reguler Class Availability'!$G:$G,M93)&amp;""),0)=0),IF(OR(INDEX('Reguler Class Availability'!$B:$B,M93)&amp;""&lt;&gt;"",INDEX('Reguler Class Availability'!$I:$I,M93)&amp;""&lt;&gt;""),"Tutup","Tidak dibuka"),IF(IFERROR(--(INDEX('Reguler Class Availability'!$G:$G,M93)&amp;""),0)&gt;IFERROR(--(INDEX('Reguler Class Availability'!$F:$F,M93)&amp;""),0),"Lebih",IF(IFERROR(--(INDEX('Reguler Class Availability'!$G:$G,M93)&amp;""),0)=IFERROR(--(INDEX('Reguler Class Availability'!$F:$F,M93)&amp;""),0),"Penuh",IF(IFERROR(--(INDEX('Reguler Class Availability'!$G:$G,M93)&amp;""),0)=0,IF(INDEX('Reguler Class Availability'!$B:$B,M93)&amp;""="","Kosong","Belum terisi"),IF(IFERROR(--(INDEX('Reguler Class Availability'!$G:$G,M93)&amp;""),0)/IFERROR(--(INDEX('Reguler Class Availability'!$F:$F,M93)&amp;""),0)&gt;=0.6,"Tinggi","Sebagian"))))))</f>
        <v>Kosong</v>
      </c>
      <c r="V93" s="0" t="str">
        <f aca="false">IF(N93="","",IF(AND(IFERROR(--(INDEX('Reguler Class Availability'!$F:$F,N93)&amp;""),0)=0,IFERROR(--(INDEX('Reguler Class Availability'!$G:$G,N93)&amp;""),0)=0),IF(OR(INDEX('Reguler Class Availability'!$B:$B,N93)&amp;""&lt;&gt;"",INDEX('Reguler Class Availability'!$I:$I,N93)&amp;""&lt;&gt;""),"Tutup","Tidak dibuka"),IF(IFERROR(--(INDEX('Reguler Class Availability'!$G:$G,N93)&amp;""),0)&gt;IFERROR(--(INDEX('Reguler Class Availability'!$F:$F,N93)&amp;""),0),"Lebih",IF(IFERROR(--(INDEX('Reguler Class Availability'!$G:$G,N93)&amp;""),0)=IFERROR(--(INDEX('Reguler Class Availability'!$F:$F,N93)&amp;""),0),"Penuh",IF(IFERROR(--(INDEX('Reguler Class Availability'!$G:$G,N93)&amp;""),0)=0,IF(INDEX('Reguler Class Availability'!$B:$B,N93)&amp;""="","Kosong","Belum terisi"),IF(IFERROR(--(INDEX('Reguler Class Availability'!$G:$G,N93)&amp;""),0)/IFERROR(--(INDEX('Reguler Class Availability'!$F:$F,N93)&amp;""),0)&gt;=0.6,"Tinggi","Sebagian"))))))</f>
        <v>Kosong</v>
      </c>
      <c r="W93" s="0" t="str">
        <f aca="false">IF(O93="","",IF(AND(IFERROR(--(INDEX('Reguler Class Availability'!$F:$F,O93)&amp;""),0)=0,IFERROR(--(INDEX('Reguler Class Availability'!$G:$G,O93)&amp;""),0)=0),IF(OR(INDEX('Reguler Class Availability'!$B:$B,O93)&amp;""&lt;&gt;"",INDEX('Reguler Class Availability'!$I:$I,O93)&amp;""&lt;&gt;""),"Tutup","Tidak dibuka"),IF(IFERROR(--(INDEX('Reguler Class Availability'!$G:$G,O93)&amp;""),0)&gt;IFERROR(--(INDEX('Reguler Class Availability'!$F:$F,O93)&amp;""),0),"Lebih",IF(IFERROR(--(INDEX('Reguler Class Availability'!$G:$G,O93)&amp;""),0)=IFERROR(--(INDEX('Reguler Class Availability'!$F:$F,O93)&amp;""),0),"Penuh",IF(IFERROR(--(INDEX('Reguler Class Availability'!$G:$G,O93)&amp;""),0)=0,IF(INDEX('Reguler Class Availability'!$B:$B,O93)&amp;""="","Kosong","Belum terisi"),IF(IFERROR(--(INDEX('Reguler Class Availability'!$G:$G,O93)&amp;""),0)/IFERROR(--(INDEX('Reguler Class Availability'!$F:$F,O93)&amp;""),0)&gt;=0.6,"Tinggi","Sebagian"))))))</f>
        <v>Penuh</v>
      </c>
      <c r="X93" s="0" t="str">
        <f aca="false">IF(P93="","",IF(AND(IFERROR(--(INDEX('Reguler Class Availability'!$F:$F,P93)&amp;""),0)=0,IFERROR(--(INDEX('Reguler Class Availability'!$G:$G,P93)&amp;""),0)=0),IF(OR(INDEX('Reguler Class Availability'!$B:$B,P93)&amp;""&lt;&gt;"",INDEX('Reguler Class Availability'!$I:$I,P93)&amp;""&lt;&gt;""),"Tutup","Tidak dibuka"),IF(IFERROR(--(INDEX('Reguler Class Availability'!$G:$G,P93)&amp;""),0)&gt;IFERROR(--(INDEX('Reguler Class Availability'!$F:$F,P93)&amp;""),0),"Lebih",IF(IFERROR(--(INDEX('Reguler Class Availability'!$G:$G,P93)&amp;""),0)=IFERROR(--(INDEX('Reguler Class Availability'!$F:$F,P93)&amp;""),0),"Penuh",IF(IFERROR(--(INDEX('Reguler Class Availability'!$G:$G,P93)&amp;""),0)=0,IF(INDEX('Reguler Class Availability'!$B:$B,P93)&amp;""="","Kosong","Belum terisi"),IF(IFERROR(--(INDEX('Reguler Class Availability'!$G:$G,P93)&amp;""),0)/IFERROR(--(INDEX('Reguler Class Availability'!$F:$F,P93)&amp;""),0)&gt;=0.6,"Tinggi","Sebagian"))))))</f>
        <v>Kosong</v>
      </c>
      <c r="Z93" s="4" t="s">
        <v>68</v>
      </c>
      <c r="AA93" s="4" t="n">
        <f aca="false">IF(COUNTIFS('Reguler Class Availability'!$L:$L,$B$4&amp;"|- Lane 2 - *|"&amp;Z93)&gt;0,1,0)</f>
        <v>0</v>
      </c>
      <c r="AB93" s="4" t="n">
        <f aca="false">AA93+AB92</f>
        <v>7</v>
      </c>
    </row>
    <row r="94" customFormat="false" ht="39.75" hidden="false" customHeight="true" outlineLevel="0" collapsed="false">
      <c r="A94" s="39" t="str">
        <f aca="false">IFERROR(INDEX($Z$242:$Z$301,MATCH(7,$AB$242:$AB$301,0)),"")</f>
        <v>13:15</v>
      </c>
      <c r="B94" s="40" t="str">
        <f aca="false">IF(J94="","",IF(R94="Tidak dibuka","–",IF(INDEX('Reguler Class Availability'!$B:$B,J94)&amp;""="","Kosong",PROPER(INDEX('Reguler Class Availability'!$B:$B,J94)&amp;""))&amp;"  "&amp;IFERROR(--(INDEX('Reguler Class Availability'!$G:$G,J94)&amp;""),0)&amp;"/"&amp;IFERROR(--(INDEX('Reguler Class Availability'!$F:$F,J94)&amp;""),0)&amp;IF(IFERROR(--(INDEX('Reguler Class Availability'!$F:$F,J94)&amp;""),0)&gt;0,"  ("&amp;TEXT(IFERROR(--(INDEX('Reguler Class Availability'!$G:$G,J94)&amp;""),0)/IFERROR(--(INDEX('Reguler Class Availability'!$F:$F,J94)&amp;""),0),"0%")&amp;")","")&amp;CHAR(10)&amp;IF(INDEX('Reguler Class Availability'!$I:$I,J94)&amp;""="","coach: –",PROPER(INDEX('Reguler Class Availability'!$I:$I,J94)&amp;""))&amp;IF(INDEX('Reguler Class Availability'!$J:$J,J94)&amp;""="","",CHAR(10)&amp;"asst: "&amp;PROPER(INDEX('Reguler Class Availability'!$J:$J,J94)&amp;""))))</f>
        <v>Kosong  0/4  (0%)
coach: –</v>
      </c>
      <c r="C94" s="40" t="str">
        <f aca="false">IF(K94="","",IF(S94="Tidak dibuka","–",IF(INDEX('Reguler Class Availability'!$B:$B,K94)&amp;""="","Kosong",PROPER(INDEX('Reguler Class Availability'!$B:$B,K94)&amp;""))&amp;"  "&amp;IFERROR(--(INDEX('Reguler Class Availability'!$G:$G,K94)&amp;""),0)&amp;"/"&amp;IFERROR(--(INDEX('Reguler Class Availability'!$F:$F,K94)&amp;""),0)&amp;IF(IFERROR(--(INDEX('Reguler Class Availability'!$F:$F,K94)&amp;""),0)&gt;0,"  ("&amp;TEXT(IFERROR(--(INDEX('Reguler Class Availability'!$G:$G,K94)&amp;""),0)/IFERROR(--(INDEX('Reguler Class Availability'!$F:$F,K94)&amp;""),0),"0%")&amp;")","")&amp;CHAR(10)&amp;IF(INDEX('Reguler Class Availability'!$I:$I,K94)&amp;""="","coach: –",PROPER(INDEX('Reguler Class Availability'!$I:$I,K94)&amp;""))&amp;IF(INDEX('Reguler Class Availability'!$J:$J,K94)&amp;""="","",CHAR(10)&amp;"asst: "&amp;PROPER(INDEX('Reguler Class Availability'!$J:$J,K94)&amp;""))))</f>
        <v>Kosong  0/4  (0%)
coach: –</v>
      </c>
      <c r="D94" s="40" t="str">
        <f aca="false">IF(L94="","",IF(T94="Tidak dibuka","–",IF(INDEX('Reguler Class Availability'!$B:$B,L94)&amp;""="","Kosong",PROPER(INDEX('Reguler Class Availability'!$B:$B,L94)&amp;""))&amp;"  "&amp;IFERROR(--(INDEX('Reguler Class Availability'!$G:$G,L94)&amp;""),0)&amp;"/"&amp;IFERROR(--(INDEX('Reguler Class Availability'!$F:$F,L94)&amp;""),0)&amp;IF(IFERROR(--(INDEX('Reguler Class Availability'!$F:$F,L94)&amp;""),0)&gt;0,"  ("&amp;TEXT(IFERROR(--(INDEX('Reguler Class Availability'!$G:$G,L94)&amp;""),0)/IFERROR(--(INDEX('Reguler Class Availability'!$F:$F,L94)&amp;""),0),"0%")&amp;")","")&amp;CHAR(10)&amp;IF(INDEX('Reguler Class Availability'!$I:$I,L94)&amp;""="","coach: –",PROPER(INDEX('Reguler Class Availability'!$I:$I,L94)&amp;""))&amp;IF(INDEX('Reguler Class Availability'!$J:$J,L94)&amp;""="","",CHAR(10)&amp;"asst: "&amp;PROPER(INDEX('Reguler Class Availability'!$J:$J,L94)&amp;""))))</f>
        <v>Little  3/4  (75%)
Eka</v>
      </c>
      <c r="E94" s="40" t="str">
        <f aca="false">IF(M94="","",IF(U94="Tidak dibuka","–",IF(INDEX('Reguler Class Availability'!$B:$B,M94)&amp;""="","Kosong",PROPER(INDEX('Reguler Class Availability'!$B:$B,M94)&amp;""))&amp;"  "&amp;IFERROR(--(INDEX('Reguler Class Availability'!$G:$G,M94)&amp;""),0)&amp;"/"&amp;IFERROR(--(INDEX('Reguler Class Availability'!$F:$F,M94)&amp;""),0)&amp;IF(IFERROR(--(INDEX('Reguler Class Availability'!$F:$F,M94)&amp;""),0)&gt;0,"  ("&amp;TEXT(IFERROR(--(INDEX('Reguler Class Availability'!$G:$G,M94)&amp;""),0)/IFERROR(--(INDEX('Reguler Class Availability'!$F:$F,M94)&amp;""),0),"0%")&amp;")","")&amp;CHAR(10)&amp;IF(INDEX('Reguler Class Availability'!$I:$I,M94)&amp;""="","coach: –",PROPER(INDEX('Reguler Class Availability'!$I:$I,M94)&amp;""))&amp;IF(INDEX('Reguler Class Availability'!$J:$J,M94)&amp;""="","",CHAR(10)&amp;"asst: "&amp;PROPER(INDEX('Reguler Class Availability'!$J:$J,M94)&amp;""))))</f>
        <v>Little  2/4  (50%)
Nuky</v>
      </c>
      <c r="F94" s="40" t="str">
        <f aca="false">IF(N94="","",IF(V94="Tidak dibuka","–",IF(INDEX('Reguler Class Availability'!$B:$B,N94)&amp;""="","Kosong",PROPER(INDEX('Reguler Class Availability'!$B:$B,N94)&amp;""))&amp;"  "&amp;IFERROR(--(INDEX('Reguler Class Availability'!$G:$G,N94)&amp;""),0)&amp;"/"&amp;IFERROR(--(INDEX('Reguler Class Availability'!$F:$F,N94)&amp;""),0)&amp;IF(IFERROR(--(INDEX('Reguler Class Availability'!$F:$F,N94)&amp;""),0)&gt;0,"  ("&amp;TEXT(IFERROR(--(INDEX('Reguler Class Availability'!$G:$G,N94)&amp;""),0)/IFERROR(--(INDEX('Reguler Class Availability'!$F:$F,N94)&amp;""),0),"0%")&amp;")","")&amp;CHAR(10)&amp;IF(INDEX('Reguler Class Availability'!$I:$I,N94)&amp;""="","coach: –",PROPER(INDEX('Reguler Class Availability'!$I:$I,N94)&amp;""))&amp;IF(INDEX('Reguler Class Availability'!$J:$J,N94)&amp;""="","",CHAR(10)&amp;"asst: "&amp;PROPER(INDEX('Reguler Class Availability'!$J:$J,N94)&amp;""))))</f>
        <v>Kids  4/4  (100%)
Daffa</v>
      </c>
      <c r="G94" s="40" t="str">
        <f aca="false">IF(O94="","",IF(W94="Tidak dibuka","–",IF(INDEX('Reguler Class Availability'!$B:$B,O94)&amp;""="","Kosong",PROPER(INDEX('Reguler Class Availability'!$B:$B,O94)&amp;""))&amp;"  "&amp;IFERROR(--(INDEX('Reguler Class Availability'!$G:$G,O94)&amp;""),0)&amp;"/"&amp;IFERROR(--(INDEX('Reguler Class Availability'!$F:$F,O94)&amp;""),0)&amp;IF(IFERROR(--(INDEX('Reguler Class Availability'!$F:$F,O94)&amp;""),0)&gt;0,"  ("&amp;TEXT(IFERROR(--(INDEX('Reguler Class Availability'!$G:$G,O94)&amp;""),0)/IFERROR(--(INDEX('Reguler Class Availability'!$F:$F,O94)&amp;""),0),"0%")&amp;")","")&amp;CHAR(10)&amp;IF(INDEX('Reguler Class Availability'!$I:$I,O94)&amp;""="","coach: –",PROPER(INDEX('Reguler Class Availability'!$I:$I,O94)&amp;""))&amp;IF(INDEX('Reguler Class Availability'!$J:$J,O94)&amp;""="","",CHAR(10)&amp;"asst: "&amp;PROPER(INDEX('Reguler Class Availability'!$J:$J,O94)&amp;""))))</f>
        <v>Little  3/4  (75%)
Eka</v>
      </c>
      <c r="H94" s="40" t="str">
        <f aca="false">IF(P94="","",IF(X94="Tidak dibuka","–",IF(INDEX('Reguler Class Availability'!$B:$B,P94)&amp;""="","Kosong",PROPER(INDEX('Reguler Class Availability'!$B:$B,P94)&amp;""))&amp;"  "&amp;IFERROR(--(INDEX('Reguler Class Availability'!$G:$G,P94)&amp;""),0)&amp;"/"&amp;IFERROR(--(INDEX('Reguler Class Availability'!$F:$F,P94)&amp;""),0)&amp;IF(IFERROR(--(INDEX('Reguler Class Availability'!$F:$F,P94)&amp;""),0)&gt;0,"  ("&amp;TEXT(IFERROR(--(INDEX('Reguler Class Availability'!$G:$G,P94)&amp;""),0)/IFERROR(--(INDEX('Reguler Class Availability'!$F:$F,P94)&amp;""),0),"0%")&amp;")","")&amp;CHAR(10)&amp;IF(INDEX('Reguler Class Availability'!$I:$I,P94)&amp;""="","coach: –",PROPER(INDEX('Reguler Class Availability'!$I:$I,P94)&amp;""))&amp;IF(INDEX('Reguler Class Availability'!$J:$J,P94)&amp;""="","",CHAR(10)&amp;"asst: "&amp;PROPER(INDEX('Reguler Class Availability'!$J:$J,P94)&amp;""))))</f>
        <v>Kids  4/4  (100%)
Danti</v>
      </c>
      <c r="J94" s="4" t="n">
        <f aca="false">IF($A94="","",IFERROR(MATCH($B$4&amp;"|- Lane 5 - "&amp;B$87&amp;"|"&amp;$A94,'Reguler Class Availability'!$L:$L,0),""))</f>
        <v>358</v>
      </c>
      <c r="K94" s="4" t="n">
        <f aca="false">IF($A94="","",IFERROR(MATCH($B$4&amp;"|- Lane 5 - "&amp;C$87&amp;"|"&amp;$A94,'Reguler Class Availability'!$L:$L,0),""))</f>
        <v>370</v>
      </c>
      <c r="L94" s="4" t="n">
        <f aca="false">IF($A94="","",IFERROR(MATCH($B$4&amp;"|- Lane 5 - "&amp;D$87&amp;"|"&amp;$A94,'Reguler Class Availability'!$L:$L,0),""))</f>
        <v>382</v>
      </c>
      <c r="M94" s="4" t="n">
        <f aca="false">IF($A94="","",IFERROR(MATCH($B$4&amp;"|- Lane 5 - "&amp;E$87&amp;"|"&amp;$A94,'Reguler Class Availability'!$L:$L,0),""))</f>
        <v>394</v>
      </c>
      <c r="N94" s="4" t="n">
        <f aca="false">IF($A94="","",IFERROR(MATCH($B$4&amp;"|- Lane 5 - "&amp;F$87&amp;"|"&amp;$A94,'Reguler Class Availability'!$L:$L,0),""))</f>
        <v>406</v>
      </c>
      <c r="O94" s="4" t="n">
        <f aca="false">IF($A94="","",IFERROR(MATCH($B$4&amp;"|- Lane 5 - "&amp;G$87&amp;"|"&amp;$A94,'Reguler Class Availability'!$L:$L,0),""))</f>
        <v>418</v>
      </c>
      <c r="P94" s="4" t="n">
        <f aca="false">IF($A94="","",IFERROR(MATCH($B$4&amp;"|- Lane 5 - "&amp;H$87&amp;"|"&amp;$A94,'Reguler Class Availability'!$L:$L,0),""))</f>
        <v>430</v>
      </c>
      <c r="R94" s="0" t="str">
        <f aca="false">IF(J94="","",IF(AND(IFERROR(--(INDEX('Reguler Class Availability'!$F:$F,J94)&amp;""),0)=0,IFERROR(--(INDEX('Reguler Class Availability'!$G:$G,J94)&amp;""),0)=0),IF(OR(INDEX('Reguler Class Availability'!$B:$B,J94)&amp;""&lt;&gt;"",INDEX('Reguler Class Availability'!$I:$I,J94)&amp;""&lt;&gt;""),"Tutup","Tidak dibuka"),IF(IFERROR(--(INDEX('Reguler Class Availability'!$G:$G,J94)&amp;""),0)&gt;IFERROR(--(INDEX('Reguler Class Availability'!$F:$F,J94)&amp;""),0),"Lebih",IF(IFERROR(--(INDEX('Reguler Class Availability'!$G:$G,J94)&amp;""),0)=IFERROR(--(INDEX('Reguler Class Availability'!$F:$F,J94)&amp;""),0),"Penuh",IF(IFERROR(--(INDEX('Reguler Class Availability'!$G:$G,J94)&amp;""),0)=0,IF(INDEX('Reguler Class Availability'!$B:$B,J94)&amp;""="","Kosong","Belum terisi"),IF(IFERROR(--(INDEX('Reguler Class Availability'!$G:$G,J94)&amp;""),0)/IFERROR(--(INDEX('Reguler Class Availability'!$F:$F,J94)&amp;""),0)&gt;=0.6,"Tinggi","Sebagian"))))))</f>
        <v>Kosong</v>
      </c>
      <c r="S94" s="0" t="str">
        <f aca="false">IF(K94="","",IF(AND(IFERROR(--(INDEX('Reguler Class Availability'!$F:$F,K94)&amp;""),0)=0,IFERROR(--(INDEX('Reguler Class Availability'!$G:$G,K94)&amp;""),0)=0),IF(OR(INDEX('Reguler Class Availability'!$B:$B,K94)&amp;""&lt;&gt;"",INDEX('Reguler Class Availability'!$I:$I,K94)&amp;""&lt;&gt;""),"Tutup","Tidak dibuka"),IF(IFERROR(--(INDEX('Reguler Class Availability'!$G:$G,K94)&amp;""),0)&gt;IFERROR(--(INDEX('Reguler Class Availability'!$F:$F,K94)&amp;""),0),"Lebih",IF(IFERROR(--(INDEX('Reguler Class Availability'!$G:$G,K94)&amp;""),0)=IFERROR(--(INDEX('Reguler Class Availability'!$F:$F,K94)&amp;""),0),"Penuh",IF(IFERROR(--(INDEX('Reguler Class Availability'!$G:$G,K94)&amp;""),0)=0,IF(INDEX('Reguler Class Availability'!$B:$B,K94)&amp;""="","Kosong","Belum terisi"),IF(IFERROR(--(INDEX('Reguler Class Availability'!$G:$G,K94)&amp;""),0)/IFERROR(--(INDEX('Reguler Class Availability'!$F:$F,K94)&amp;""),0)&gt;=0.6,"Tinggi","Sebagian"))))))</f>
        <v>Kosong</v>
      </c>
      <c r="T94" s="0" t="str">
        <f aca="false">IF(L94="","",IF(AND(IFERROR(--(INDEX('Reguler Class Availability'!$F:$F,L94)&amp;""),0)=0,IFERROR(--(INDEX('Reguler Class Availability'!$G:$G,L94)&amp;""),0)=0),IF(OR(INDEX('Reguler Class Availability'!$B:$B,L94)&amp;""&lt;&gt;"",INDEX('Reguler Class Availability'!$I:$I,L94)&amp;""&lt;&gt;""),"Tutup","Tidak dibuka"),IF(IFERROR(--(INDEX('Reguler Class Availability'!$G:$G,L94)&amp;""),0)&gt;IFERROR(--(INDEX('Reguler Class Availability'!$F:$F,L94)&amp;""),0),"Lebih",IF(IFERROR(--(INDEX('Reguler Class Availability'!$G:$G,L94)&amp;""),0)=IFERROR(--(INDEX('Reguler Class Availability'!$F:$F,L94)&amp;""),0),"Penuh",IF(IFERROR(--(INDEX('Reguler Class Availability'!$G:$G,L94)&amp;""),0)=0,IF(INDEX('Reguler Class Availability'!$B:$B,L94)&amp;""="","Kosong","Belum terisi"),IF(IFERROR(--(INDEX('Reguler Class Availability'!$G:$G,L94)&amp;""),0)/IFERROR(--(INDEX('Reguler Class Availability'!$F:$F,L94)&amp;""),0)&gt;=0.6,"Tinggi","Sebagian"))))))</f>
        <v>Tinggi</v>
      </c>
      <c r="U94" s="0" t="str">
        <f aca="false">IF(M94="","",IF(AND(IFERROR(--(INDEX('Reguler Class Availability'!$F:$F,M94)&amp;""),0)=0,IFERROR(--(INDEX('Reguler Class Availability'!$G:$G,M94)&amp;""),0)=0),IF(OR(INDEX('Reguler Class Availability'!$B:$B,M94)&amp;""&lt;&gt;"",INDEX('Reguler Class Availability'!$I:$I,M94)&amp;""&lt;&gt;""),"Tutup","Tidak dibuka"),IF(IFERROR(--(INDEX('Reguler Class Availability'!$G:$G,M94)&amp;""),0)&gt;IFERROR(--(INDEX('Reguler Class Availability'!$F:$F,M94)&amp;""),0),"Lebih",IF(IFERROR(--(INDEX('Reguler Class Availability'!$G:$G,M94)&amp;""),0)=IFERROR(--(INDEX('Reguler Class Availability'!$F:$F,M94)&amp;""),0),"Penuh",IF(IFERROR(--(INDEX('Reguler Class Availability'!$G:$G,M94)&amp;""),0)=0,IF(INDEX('Reguler Class Availability'!$B:$B,M94)&amp;""="","Kosong","Belum terisi"),IF(IFERROR(--(INDEX('Reguler Class Availability'!$G:$G,M94)&amp;""),0)/IFERROR(--(INDEX('Reguler Class Availability'!$F:$F,M94)&amp;""),0)&gt;=0.6,"Tinggi","Sebagian"))))))</f>
        <v>Sebagian</v>
      </c>
      <c r="V94" s="0" t="str">
        <f aca="false">IF(N94="","",IF(AND(IFERROR(--(INDEX('Reguler Class Availability'!$F:$F,N94)&amp;""),0)=0,IFERROR(--(INDEX('Reguler Class Availability'!$G:$G,N94)&amp;""),0)=0),IF(OR(INDEX('Reguler Class Availability'!$B:$B,N94)&amp;""&lt;&gt;"",INDEX('Reguler Class Availability'!$I:$I,N94)&amp;""&lt;&gt;""),"Tutup","Tidak dibuka"),IF(IFERROR(--(INDEX('Reguler Class Availability'!$G:$G,N94)&amp;""),0)&gt;IFERROR(--(INDEX('Reguler Class Availability'!$F:$F,N94)&amp;""),0),"Lebih",IF(IFERROR(--(INDEX('Reguler Class Availability'!$G:$G,N94)&amp;""),0)=IFERROR(--(INDEX('Reguler Class Availability'!$F:$F,N94)&amp;""),0),"Penuh",IF(IFERROR(--(INDEX('Reguler Class Availability'!$G:$G,N94)&amp;""),0)=0,IF(INDEX('Reguler Class Availability'!$B:$B,N94)&amp;""="","Kosong","Belum terisi"),IF(IFERROR(--(INDEX('Reguler Class Availability'!$G:$G,N94)&amp;""),0)/IFERROR(--(INDEX('Reguler Class Availability'!$F:$F,N94)&amp;""),0)&gt;=0.6,"Tinggi","Sebagian"))))))</f>
        <v>Penuh</v>
      </c>
      <c r="W94" s="0" t="str">
        <f aca="false">IF(O94="","",IF(AND(IFERROR(--(INDEX('Reguler Class Availability'!$F:$F,O94)&amp;""),0)=0,IFERROR(--(INDEX('Reguler Class Availability'!$G:$G,O94)&amp;""),0)=0),IF(OR(INDEX('Reguler Class Availability'!$B:$B,O94)&amp;""&lt;&gt;"",INDEX('Reguler Class Availability'!$I:$I,O94)&amp;""&lt;&gt;""),"Tutup","Tidak dibuka"),IF(IFERROR(--(INDEX('Reguler Class Availability'!$G:$G,O94)&amp;""),0)&gt;IFERROR(--(INDEX('Reguler Class Availability'!$F:$F,O94)&amp;""),0),"Lebih",IF(IFERROR(--(INDEX('Reguler Class Availability'!$G:$G,O94)&amp;""),0)=IFERROR(--(INDEX('Reguler Class Availability'!$F:$F,O94)&amp;""),0),"Penuh",IF(IFERROR(--(INDEX('Reguler Class Availability'!$G:$G,O94)&amp;""),0)=0,IF(INDEX('Reguler Class Availability'!$B:$B,O94)&amp;""="","Kosong","Belum terisi"),IF(IFERROR(--(INDEX('Reguler Class Availability'!$G:$G,O94)&amp;""),0)/IFERROR(--(INDEX('Reguler Class Availability'!$F:$F,O94)&amp;""),0)&gt;=0.6,"Tinggi","Sebagian"))))))</f>
        <v>Tinggi</v>
      </c>
      <c r="X94" s="0" t="str">
        <f aca="false">IF(P94="","",IF(AND(IFERROR(--(INDEX('Reguler Class Availability'!$F:$F,P94)&amp;""),0)=0,IFERROR(--(INDEX('Reguler Class Availability'!$G:$G,P94)&amp;""),0)=0),IF(OR(INDEX('Reguler Class Availability'!$B:$B,P94)&amp;""&lt;&gt;"",INDEX('Reguler Class Availability'!$I:$I,P94)&amp;""&lt;&gt;""),"Tutup","Tidak dibuka"),IF(IFERROR(--(INDEX('Reguler Class Availability'!$G:$G,P94)&amp;""),0)&gt;IFERROR(--(INDEX('Reguler Class Availability'!$F:$F,P94)&amp;""),0),"Lebih",IF(IFERROR(--(INDEX('Reguler Class Availability'!$G:$G,P94)&amp;""),0)=IFERROR(--(INDEX('Reguler Class Availability'!$F:$F,P94)&amp;""),0),"Penuh",IF(IFERROR(--(INDEX('Reguler Class Availability'!$G:$G,P94)&amp;""),0)=0,IF(INDEX('Reguler Class Availability'!$B:$B,P94)&amp;""="","Kosong","Belum terisi"),IF(IFERROR(--(INDEX('Reguler Class Availability'!$G:$G,P94)&amp;""),0)/IFERROR(--(INDEX('Reguler Class Availability'!$F:$F,P94)&amp;""),0)&gt;=0.6,"Tinggi","Sebagian"))))))</f>
        <v>Penuh</v>
      </c>
      <c r="Z94" s="4" t="s">
        <v>69</v>
      </c>
      <c r="AA94" s="4" t="n">
        <f aca="false">IF(COUNTIFS('Reguler Class Availability'!$L:$L,$B$4&amp;"|- Lane 2 - *|"&amp;Z94)&gt;0,1,0)</f>
        <v>0</v>
      </c>
      <c r="AB94" s="4" t="n">
        <f aca="false">AA94+AB93</f>
        <v>7</v>
      </c>
    </row>
    <row r="95" customFormat="false" ht="39.75" hidden="false" customHeight="true" outlineLevel="0" collapsed="false">
      <c r="A95" s="39" t="str">
        <f aca="false">IFERROR(INDEX($Z$242:$Z$301,MATCH(8,$AB$242:$AB$301,0)),"")</f>
        <v>14:00</v>
      </c>
      <c r="B95" s="40" t="str">
        <f aca="false">IF(J95="","",IF(R95="Tidak dibuka","–",IF(INDEX('Reguler Class Availability'!$B:$B,J95)&amp;""="","Kosong",PROPER(INDEX('Reguler Class Availability'!$B:$B,J95)&amp;""))&amp;"  "&amp;IFERROR(--(INDEX('Reguler Class Availability'!$G:$G,J95)&amp;""),0)&amp;"/"&amp;IFERROR(--(INDEX('Reguler Class Availability'!$F:$F,J95)&amp;""),0)&amp;IF(IFERROR(--(INDEX('Reguler Class Availability'!$F:$F,J95)&amp;""),0)&gt;0,"  ("&amp;TEXT(IFERROR(--(INDEX('Reguler Class Availability'!$G:$G,J95)&amp;""),0)/IFERROR(--(INDEX('Reguler Class Availability'!$F:$F,J95)&amp;""),0),"0%")&amp;")","")&amp;CHAR(10)&amp;IF(INDEX('Reguler Class Availability'!$I:$I,J95)&amp;""="","coach: –",PROPER(INDEX('Reguler Class Availability'!$I:$I,J95)&amp;""))&amp;IF(INDEX('Reguler Class Availability'!$J:$J,J95)&amp;""="","",CHAR(10)&amp;"asst: "&amp;PROPER(INDEX('Reguler Class Availability'!$J:$J,J95)&amp;""))))</f>
        <v>Little  3/4  (75%)
Daffa</v>
      </c>
      <c r="C95" s="40" t="str">
        <f aca="false">IF(K95="","",IF(S95="Tidak dibuka","–",IF(INDEX('Reguler Class Availability'!$B:$B,K95)&amp;""="","Kosong",PROPER(INDEX('Reguler Class Availability'!$B:$B,K95)&amp;""))&amp;"  "&amp;IFERROR(--(INDEX('Reguler Class Availability'!$G:$G,K95)&amp;""),0)&amp;"/"&amp;IFERROR(--(INDEX('Reguler Class Availability'!$F:$F,K95)&amp;""),0)&amp;IF(IFERROR(--(INDEX('Reguler Class Availability'!$F:$F,K95)&amp;""),0)&gt;0,"  ("&amp;TEXT(IFERROR(--(INDEX('Reguler Class Availability'!$G:$G,K95)&amp;""),0)/IFERROR(--(INDEX('Reguler Class Availability'!$F:$F,K95)&amp;""),0),"0%")&amp;")","")&amp;CHAR(10)&amp;IF(INDEX('Reguler Class Availability'!$I:$I,K95)&amp;""="","coach: –",PROPER(INDEX('Reguler Class Availability'!$I:$I,K95)&amp;""))&amp;IF(INDEX('Reguler Class Availability'!$J:$J,K95)&amp;""="","",CHAR(10)&amp;"asst: "&amp;PROPER(INDEX('Reguler Class Availability'!$J:$J,K95)&amp;""))))</f>
        <v>Little  3/4  (75%)
Tessa</v>
      </c>
      <c r="D95" s="40" t="str">
        <f aca="false">IF(L95="","",IF(T95="Tidak dibuka","–",IF(INDEX('Reguler Class Availability'!$B:$B,L95)&amp;""="","Kosong",PROPER(INDEX('Reguler Class Availability'!$B:$B,L95)&amp;""))&amp;"  "&amp;IFERROR(--(INDEX('Reguler Class Availability'!$G:$G,L95)&amp;""),0)&amp;"/"&amp;IFERROR(--(INDEX('Reguler Class Availability'!$F:$F,L95)&amp;""),0)&amp;IF(IFERROR(--(INDEX('Reguler Class Availability'!$F:$F,L95)&amp;""),0)&gt;0,"  ("&amp;TEXT(IFERROR(--(INDEX('Reguler Class Availability'!$G:$G,L95)&amp;""),0)/IFERROR(--(INDEX('Reguler Class Availability'!$F:$F,L95)&amp;""),0),"0%")&amp;")","")&amp;CHAR(10)&amp;IF(INDEX('Reguler Class Availability'!$I:$I,L95)&amp;""="","coach: –",PROPER(INDEX('Reguler Class Availability'!$I:$I,L95)&amp;""))&amp;IF(INDEX('Reguler Class Availability'!$J:$J,L95)&amp;""="","",CHAR(10)&amp;"asst: "&amp;PROPER(INDEX('Reguler Class Availability'!$J:$J,L95)&amp;""))))</f>
        <v>Kosong  0/4  (0%)
coach: –</v>
      </c>
      <c r="E95" s="40" t="str">
        <f aca="false">IF(M95="","",IF(U95="Tidak dibuka","–",IF(INDEX('Reguler Class Availability'!$B:$B,M95)&amp;""="","Kosong",PROPER(INDEX('Reguler Class Availability'!$B:$B,M95)&amp;""))&amp;"  "&amp;IFERROR(--(INDEX('Reguler Class Availability'!$G:$G,M95)&amp;""),0)&amp;"/"&amp;IFERROR(--(INDEX('Reguler Class Availability'!$F:$F,M95)&amp;""),0)&amp;IF(IFERROR(--(INDEX('Reguler Class Availability'!$F:$F,M95)&amp;""),0)&gt;0,"  ("&amp;TEXT(IFERROR(--(INDEX('Reguler Class Availability'!$G:$G,M95)&amp;""),0)/IFERROR(--(INDEX('Reguler Class Availability'!$F:$F,M95)&amp;""),0),"0%")&amp;")","")&amp;CHAR(10)&amp;IF(INDEX('Reguler Class Availability'!$I:$I,M95)&amp;""="","coach: –",PROPER(INDEX('Reguler Class Availability'!$I:$I,M95)&amp;""))&amp;IF(INDEX('Reguler Class Availability'!$J:$J,M95)&amp;""="","",CHAR(10)&amp;"asst: "&amp;PROPER(INDEX('Reguler Class Availability'!$J:$J,M95)&amp;""))))</f>
        <v>Kids  4/4  (100%)
Eka</v>
      </c>
      <c r="F95" s="40" t="str">
        <f aca="false">IF(N95="","",IF(V95="Tidak dibuka","–",IF(INDEX('Reguler Class Availability'!$B:$B,N95)&amp;""="","Kosong",PROPER(INDEX('Reguler Class Availability'!$B:$B,N95)&amp;""))&amp;"  "&amp;IFERROR(--(INDEX('Reguler Class Availability'!$G:$G,N95)&amp;""),0)&amp;"/"&amp;IFERROR(--(INDEX('Reguler Class Availability'!$F:$F,N95)&amp;""),0)&amp;IF(IFERROR(--(INDEX('Reguler Class Availability'!$F:$F,N95)&amp;""),0)&gt;0,"  ("&amp;TEXT(IFERROR(--(INDEX('Reguler Class Availability'!$G:$G,N95)&amp;""),0)/IFERROR(--(INDEX('Reguler Class Availability'!$F:$F,N95)&amp;""),0),"0%")&amp;")","")&amp;CHAR(10)&amp;IF(INDEX('Reguler Class Availability'!$I:$I,N95)&amp;""="","coach: –",PROPER(INDEX('Reguler Class Availability'!$I:$I,N95)&amp;""))&amp;IF(INDEX('Reguler Class Availability'!$J:$J,N95)&amp;""="","",CHAR(10)&amp;"asst: "&amp;PROPER(INDEX('Reguler Class Availability'!$J:$J,N95)&amp;""))))</f>
        <v>Kids  3/4  (75%)
Eka</v>
      </c>
      <c r="G95" s="40" t="str">
        <f aca="false">IF(O95="","",IF(W95="Tidak dibuka","–",IF(INDEX('Reguler Class Availability'!$B:$B,O95)&amp;""="","Kosong",PROPER(INDEX('Reguler Class Availability'!$B:$B,O95)&amp;""))&amp;"  "&amp;IFERROR(--(INDEX('Reguler Class Availability'!$G:$G,O95)&amp;""),0)&amp;"/"&amp;IFERROR(--(INDEX('Reguler Class Availability'!$F:$F,O95)&amp;""),0)&amp;IF(IFERROR(--(INDEX('Reguler Class Availability'!$F:$F,O95)&amp;""),0)&gt;0,"  ("&amp;TEXT(IFERROR(--(INDEX('Reguler Class Availability'!$G:$G,O95)&amp;""),0)/IFERROR(--(INDEX('Reguler Class Availability'!$F:$F,O95)&amp;""),0),"0%")&amp;")","")&amp;CHAR(10)&amp;IF(INDEX('Reguler Class Availability'!$I:$I,O95)&amp;""="","coach: –",PROPER(INDEX('Reguler Class Availability'!$I:$I,O95)&amp;""))&amp;IF(INDEX('Reguler Class Availability'!$J:$J,O95)&amp;""="","",CHAR(10)&amp;"asst: "&amp;PROPER(INDEX('Reguler Class Availability'!$J:$J,O95)&amp;""))))</f>
        <v>Little  4/4  (100%)
Surya</v>
      </c>
      <c r="H95" s="40" t="str">
        <f aca="false">IF(P95="","",IF(X95="Tidak dibuka","–",IF(INDEX('Reguler Class Availability'!$B:$B,P95)&amp;""="","Kosong",PROPER(INDEX('Reguler Class Availability'!$B:$B,P95)&amp;""))&amp;"  "&amp;IFERROR(--(INDEX('Reguler Class Availability'!$G:$G,P95)&amp;""),0)&amp;"/"&amp;IFERROR(--(INDEX('Reguler Class Availability'!$F:$F,P95)&amp;""),0)&amp;IF(IFERROR(--(INDEX('Reguler Class Availability'!$F:$F,P95)&amp;""),0)&gt;0,"  ("&amp;TEXT(IFERROR(--(INDEX('Reguler Class Availability'!$G:$G,P95)&amp;""),0)/IFERROR(--(INDEX('Reguler Class Availability'!$F:$F,P95)&amp;""),0),"0%")&amp;")","")&amp;CHAR(10)&amp;IF(INDEX('Reguler Class Availability'!$I:$I,P95)&amp;""="","coach: –",PROPER(INDEX('Reguler Class Availability'!$I:$I,P95)&amp;""))&amp;IF(INDEX('Reguler Class Availability'!$J:$J,P95)&amp;""="","",CHAR(10)&amp;"asst: "&amp;PROPER(INDEX('Reguler Class Availability'!$J:$J,P95)&amp;""))))</f>
        <v>Kids  4/4  (100%)
Nuky</v>
      </c>
      <c r="J95" s="4" t="n">
        <f aca="false">IF($A95="","",IFERROR(MATCH($B$4&amp;"|- Lane 5 - "&amp;B$87&amp;"|"&amp;$A95,'Reguler Class Availability'!$L:$L,0),""))</f>
        <v>359</v>
      </c>
      <c r="K95" s="4" t="n">
        <f aca="false">IF($A95="","",IFERROR(MATCH($B$4&amp;"|- Lane 5 - "&amp;C$87&amp;"|"&amp;$A95,'Reguler Class Availability'!$L:$L,0),""))</f>
        <v>371</v>
      </c>
      <c r="L95" s="4" t="n">
        <f aca="false">IF($A95="","",IFERROR(MATCH($B$4&amp;"|- Lane 5 - "&amp;D$87&amp;"|"&amp;$A95,'Reguler Class Availability'!$L:$L,0),""))</f>
        <v>383</v>
      </c>
      <c r="M95" s="4" t="n">
        <f aca="false">IF($A95="","",IFERROR(MATCH($B$4&amp;"|- Lane 5 - "&amp;E$87&amp;"|"&amp;$A95,'Reguler Class Availability'!$L:$L,0),""))</f>
        <v>395</v>
      </c>
      <c r="N95" s="4" t="n">
        <f aca="false">IF($A95="","",IFERROR(MATCH($B$4&amp;"|- Lane 5 - "&amp;F$87&amp;"|"&amp;$A95,'Reguler Class Availability'!$L:$L,0),""))</f>
        <v>407</v>
      </c>
      <c r="O95" s="4" t="n">
        <f aca="false">IF($A95="","",IFERROR(MATCH($B$4&amp;"|- Lane 5 - "&amp;G$87&amp;"|"&amp;$A95,'Reguler Class Availability'!$L:$L,0),""))</f>
        <v>419</v>
      </c>
      <c r="P95" s="4" t="n">
        <f aca="false">IF($A95="","",IFERROR(MATCH($B$4&amp;"|- Lane 5 - "&amp;H$87&amp;"|"&amp;$A95,'Reguler Class Availability'!$L:$L,0),""))</f>
        <v>431</v>
      </c>
      <c r="R95" s="0" t="str">
        <f aca="false">IF(J95="","",IF(AND(IFERROR(--(INDEX('Reguler Class Availability'!$F:$F,J95)&amp;""),0)=0,IFERROR(--(INDEX('Reguler Class Availability'!$G:$G,J95)&amp;""),0)=0),IF(OR(INDEX('Reguler Class Availability'!$B:$B,J95)&amp;""&lt;&gt;"",INDEX('Reguler Class Availability'!$I:$I,J95)&amp;""&lt;&gt;""),"Tutup","Tidak dibuka"),IF(IFERROR(--(INDEX('Reguler Class Availability'!$G:$G,J95)&amp;""),0)&gt;IFERROR(--(INDEX('Reguler Class Availability'!$F:$F,J95)&amp;""),0),"Lebih",IF(IFERROR(--(INDEX('Reguler Class Availability'!$G:$G,J95)&amp;""),0)=IFERROR(--(INDEX('Reguler Class Availability'!$F:$F,J95)&amp;""),0),"Penuh",IF(IFERROR(--(INDEX('Reguler Class Availability'!$G:$G,J95)&amp;""),0)=0,IF(INDEX('Reguler Class Availability'!$B:$B,J95)&amp;""="","Kosong","Belum terisi"),IF(IFERROR(--(INDEX('Reguler Class Availability'!$G:$G,J95)&amp;""),0)/IFERROR(--(INDEX('Reguler Class Availability'!$F:$F,J95)&amp;""),0)&gt;=0.6,"Tinggi","Sebagian"))))))</f>
        <v>Tinggi</v>
      </c>
      <c r="S95" s="0" t="str">
        <f aca="false">IF(K95="","",IF(AND(IFERROR(--(INDEX('Reguler Class Availability'!$F:$F,K95)&amp;""),0)=0,IFERROR(--(INDEX('Reguler Class Availability'!$G:$G,K95)&amp;""),0)=0),IF(OR(INDEX('Reguler Class Availability'!$B:$B,K95)&amp;""&lt;&gt;"",INDEX('Reguler Class Availability'!$I:$I,K95)&amp;""&lt;&gt;""),"Tutup","Tidak dibuka"),IF(IFERROR(--(INDEX('Reguler Class Availability'!$G:$G,K95)&amp;""),0)&gt;IFERROR(--(INDEX('Reguler Class Availability'!$F:$F,K95)&amp;""),0),"Lebih",IF(IFERROR(--(INDEX('Reguler Class Availability'!$G:$G,K95)&amp;""),0)=IFERROR(--(INDEX('Reguler Class Availability'!$F:$F,K95)&amp;""),0),"Penuh",IF(IFERROR(--(INDEX('Reguler Class Availability'!$G:$G,K95)&amp;""),0)=0,IF(INDEX('Reguler Class Availability'!$B:$B,K95)&amp;""="","Kosong","Belum terisi"),IF(IFERROR(--(INDEX('Reguler Class Availability'!$G:$G,K95)&amp;""),0)/IFERROR(--(INDEX('Reguler Class Availability'!$F:$F,K95)&amp;""),0)&gt;=0.6,"Tinggi","Sebagian"))))))</f>
        <v>Tinggi</v>
      </c>
      <c r="T95" s="0" t="str">
        <f aca="false">IF(L95="","",IF(AND(IFERROR(--(INDEX('Reguler Class Availability'!$F:$F,L95)&amp;""),0)=0,IFERROR(--(INDEX('Reguler Class Availability'!$G:$G,L95)&amp;""),0)=0),IF(OR(INDEX('Reguler Class Availability'!$B:$B,L95)&amp;""&lt;&gt;"",INDEX('Reguler Class Availability'!$I:$I,L95)&amp;""&lt;&gt;""),"Tutup","Tidak dibuka"),IF(IFERROR(--(INDEX('Reguler Class Availability'!$G:$G,L95)&amp;""),0)&gt;IFERROR(--(INDEX('Reguler Class Availability'!$F:$F,L95)&amp;""),0),"Lebih",IF(IFERROR(--(INDEX('Reguler Class Availability'!$G:$G,L95)&amp;""),0)=IFERROR(--(INDEX('Reguler Class Availability'!$F:$F,L95)&amp;""),0),"Penuh",IF(IFERROR(--(INDEX('Reguler Class Availability'!$G:$G,L95)&amp;""),0)=0,IF(INDEX('Reguler Class Availability'!$B:$B,L95)&amp;""="","Kosong","Belum terisi"),IF(IFERROR(--(INDEX('Reguler Class Availability'!$G:$G,L95)&amp;""),0)/IFERROR(--(INDEX('Reguler Class Availability'!$F:$F,L95)&amp;""),0)&gt;=0.6,"Tinggi","Sebagian"))))))</f>
        <v>Kosong</v>
      </c>
      <c r="U95" s="0" t="str">
        <f aca="false">IF(M95="","",IF(AND(IFERROR(--(INDEX('Reguler Class Availability'!$F:$F,M95)&amp;""),0)=0,IFERROR(--(INDEX('Reguler Class Availability'!$G:$G,M95)&amp;""),0)=0),IF(OR(INDEX('Reguler Class Availability'!$B:$B,M95)&amp;""&lt;&gt;"",INDEX('Reguler Class Availability'!$I:$I,M95)&amp;""&lt;&gt;""),"Tutup","Tidak dibuka"),IF(IFERROR(--(INDEX('Reguler Class Availability'!$G:$G,M95)&amp;""),0)&gt;IFERROR(--(INDEX('Reguler Class Availability'!$F:$F,M95)&amp;""),0),"Lebih",IF(IFERROR(--(INDEX('Reguler Class Availability'!$G:$G,M95)&amp;""),0)=IFERROR(--(INDEX('Reguler Class Availability'!$F:$F,M95)&amp;""),0),"Penuh",IF(IFERROR(--(INDEX('Reguler Class Availability'!$G:$G,M95)&amp;""),0)=0,IF(INDEX('Reguler Class Availability'!$B:$B,M95)&amp;""="","Kosong","Belum terisi"),IF(IFERROR(--(INDEX('Reguler Class Availability'!$G:$G,M95)&amp;""),0)/IFERROR(--(INDEX('Reguler Class Availability'!$F:$F,M95)&amp;""),0)&gt;=0.6,"Tinggi","Sebagian"))))))</f>
        <v>Penuh</v>
      </c>
      <c r="V95" s="0" t="str">
        <f aca="false">IF(N95="","",IF(AND(IFERROR(--(INDEX('Reguler Class Availability'!$F:$F,N95)&amp;""),0)=0,IFERROR(--(INDEX('Reguler Class Availability'!$G:$G,N95)&amp;""),0)=0),IF(OR(INDEX('Reguler Class Availability'!$B:$B,N95)&amp;""&lt;&gt;"",INDEX('Reguler Class Availability'!$I:$I,N95)&amp;""&lt;&gt;""),"Tutup","Tidak dibuka"),IF(IFERROR(--(INDEX('Reguler Class Availability'!$G:$G,N95)&amp;""),0)&gt;IFERROR(--(INDEX('Reguler Class Availability'!$F:$F,N95)&amp;""),0),"Lebih",IF(IFERROR(--(INDEX('Reguler Class Availability'!$G:$G,N95)&amp;""),0)=IFERROR(--(INDEX('Reguler Class Availability'!$F:$F,N95)&amp;""),0),"Penuh",IF(IFERROR(--(INDEX('Reguler Class Availability'!$G:$G,N95)&amp;""),0)=0,IF(INDEX('Reguler Class Availability'!$B:$B,N95)&amp;""="","Kosong","Belum terisi"),IF(IFERROR(--(INDEX('Reguler Class Availability'!$G:$G,N95)&amp;""),0)/IFERROR(--(INDEX('Reguler Class Availability'!$F:$F,N95)&amp;""),0)&gt;=0.6,"Tinggi","Sebagian"))))))</f>
        <v>Tinggi</v>
      </c>
      <c r="W95" s="0" t="str">
        <f aca="false">IF(O95="","",IF(AND(IFERROR(--(INDEX('Reguler Class Availability'!$F:$F,O95)&amp;""),0)=0,IFERROR(--(INDEX('Reguler Class Availability'!$G:$G,O95)&amp;""),0)=0),IF(OR(INDEX('Reguler Class Availability'!$B:$B,O95)&amp;""&lt;&gt;"",INDEX('Reguler Class Availability'!$I:$I,O95)&amp;""&lt;&gt;""),"Tutup","Tidak dibuka"),IF(IFERROR(--(INDEX('Reguler Class Availability'!$G:$G,O95)&amp;""),0)&gt;IFERROR(--(INDEX('Reguler Class Availability'!$F:$F,O95)&amp;""),0),"Lebih",IF(IFERROR(--(INDEX('Reguler Class Availability'!$G:$G,O95)&amp;""),0)=IFERROR(--(INDEX('Reguler Class Availability'!$F:$F,O95)&amp;""),0),"Penuh",IF(IFERROR(--(INDEX('Reguler Class Availability'!$G:$G,O95)&amp;""),0)=0,IF(INDEX('Reguler Class Availability'!$B:$B,O95)&amp;""="","Kosong","Belum terisi"),IF(IFERROR(--(INDEX('Reguler Class Availability'!$G:$G,O95)&amp;""),0)/IFERROR(--(INDEX('Reguler Class Availability'!$F:$F,O95)&amp;""),0)&gt;=0.6,"Tinggi","Sebagian"))))))</f>
        <v>Penuh</v>
      </c>
      <c r="X95" s="0" t="str">
        <f aca="false">IF(P95="","",IF(AND(IFERROR(--(INDEX('Reguler Class Availability'!$F:$F,P95)&amp;""),0)=0,IFERROR(--(INDEX('Reguler Class Availability'!$G:$G,P95)&amp;""),0)=0),IF(OR(INDEX('Reguler Class Availability'!$B:$B,P95)&amp;""&lt;&gt;"",INDEX('Reguler Class Availability'!$I:$I,P95)&amp;""&lt;&gt;""),"Tutup","Tidak dibuka"),IF(IFERROR(--(INDEX('Reguler Class Availability'!$G:$G,P95)&amp;""),0)&gt;IFERROR(--(INDEX('Reguler Class Availability'!$F:$F,P95)&amp;""),0),"Lebih",IF(IFERROR(--(INDEX('Reguler Class Availability'!$G:$G,P95)&amp;""),0)=IFERROR(--(INDEX('Reguler Class Availability'!$F:$F,P95)&amp;""),0),"Penuh",IF(IFERROR(--(INDEX('Reguler Class Availability'!$G:$G,P95)&amp;""),0)=0,IF(INDEX('Reguler Class Availability'!$B:$B,P95)&amp;""="","Kosong","Belum terisi"),IF(IFERROR(--(INDEX('Reguler Class Availability'!$G:$G,P95)&amp;""),0)/IFERROR(--(INDEX('Reguler Class Availability'!$F:$F,P95)&amp;""),0)&gt;=0.6,"Tinggi","Sebagian"))))))</f>
        <v>Penuh</v>
      </c>
      <c r="Z95" s="4" t="s">
        <v>70</v>
      </c>
      <c r="AA95" s="4" t="n">
        <f aca="false">IF(COUNTIFS('Reguler Class Availability'!$L:$L,$B$4&amp;"|- Lane 2 - *|"&amp;Z95)&gt;0,1,0)</f>
        <v>1</v>
      </c>
      <c r="AB95" s="4" t="n">
        <f aca="false">AA95+AB94</f>
        <v>8</v>
      </c>
    </row>
    <row r="96" customFormat="false" ht="39.75" hidden="false" customHeight="true" outlineLevel="0" collapsed="false">
      <c r="A96" s="39" t="str">
        <f aca="false">IFERROR(INDEX($Z$242:$Z$301,MATCH(9,$AB$242:$AB$301,0)),"")</f>
        <v>14:45</v>
      </c>
      <c r="B96" s="40" t="str">
        <f aca="false">IF(J96="","",IF(R96="Tidak dibuka","–",IF(INDEX('Reguler Class Availability'!$B:$B,J96)&amp;""="","Kosong",PROPER(INDEX('Reguler Class Availability'!$B:$B,J96)&amp;""))&amp;"  "&amp;IFERROR(--(INDEX('Reguler Class Availability'!$G:$G,J96)&amp;""),0)&amp;"/"&amp;IFERROR(--(INDEX('Reguler Class Availability'!$F:$F,J96)&amp;""),0)&amp;IF(IFERROR(--(INDEX('Reguler Class Availability'!$F:$F,J96)&amp;""),0)&gt;0,"  ("&amp;TEXT(IFERROR(--(INDEX('Reguler Class Availability'!$G:$G,J96)&amp;""),0)/IFERROR(--(INDEX('Reguler Class Availability'!$F:$F,J96)&amp;""),0),"0%")&amp;")","")&amp;CHAR(10)&amp;IF(INDEX('Reguler Class Availability'!$I:$I,J96)&amp;""="","coach: –",PROPER(INDEX('Reguler Class Availability'!$I:$I,J96)&amp;""))&amp;IF(INDEX('Reguler Class Availability'!$J:$J,J96)&amp;""="","",CHAR(10)&amp;"asst: "&amp;PROPER(INDEX('Reguler Class Availability'!$J:$J,J96)&amp;""))))</f>
        <v>Kids  4/4  (100%)
Dian</v>
      </c>
      <c r="C96" s="40" t="str">
        <f aca="false">IF(K96="","",IF(S96="Tidak dibuka","–",IF(INDEX('Reguler Class Availability'!$B:$B,K96)&amp;""="","Kosong",PROPER(INDEX('Reguler Class Availability'!$B:$B,K96)&amp;""))&amp;"  "&amp;IFERROR(--(INDEX('Reguler Class Availability'!$G:$G,K96)&amp;""),0)&amp;"/"&amp;IFERROR(--(INDEX('Reguler Class Availability'!$F:$F,K96)&amp;""),0)&amp;IF(IFERROR(--(INDEX('Reguler Class Availability'!$F:$F,K96)&amp;""),0)&gt;0,"  ("&amp;TEXT(IFERROR(--(INDEX('Reguler Class Availability'!$G:$G,K96)&amp;""),0)/IFERROR(--(INDEX('Reguler Class Availability'!$F:$F,K96)&amp;""),0),"0%")&amp;")","")&amp;CHAR(10)&amp;IF(INDEX('Reguler Class Availability'!$I:$I,K96)&amp;""="","coach: –",PROPER(INDEX('Reguler Class Availability'!$I:$I,K96)&amp;""))&amp;IF(INDEX('Reguler Class Availability'!$J:$J,K96)&amp;""="","",CHAR(10)&amp;"asst: "&amp;PROPER(INDEX('Reguler Class Availability'!$J:$J,K96)&amp;""))))</f>
        <v>Kosong  0/4  (0%)
coach: –</v>
      </c>
      <c r="D96" s="40" t="str">
        <f aca="false">IF(L96="","",IF(T96="Tidak dibuka","–",IF(INDEX('Reguler Class Availability'!$B:$B,L96)&amp;""="","Kosong",PROPER(INDEX('Reguler Class Availability'!$B:$B,L96)&amp;""))&amp;"  "&amp;IFERROR(--(INDEX('Reguler Class Availability'!$G:$G,L96)&amp;""),0)&amp;"/"&amp;IFERROR(--(INDEX('Reguler Class Availability'!$F:$F,L96)&amp;""),0)&amp;IF(IFERROR(--(INDEX('Reguler Class Availability'!$F:$F,L96)&amp;""),0)&gt;0,"  ("&amp;TEXT(IFERROR(--(INDEX('Reguler Class Availability'!$G:$G,L96)&amp;""),0)/IFERROR(--(INDEX('Reguler Class Availability'!$F:$F,L96)&amp;""),0),"0%")&amp;")","")&amp;CHAR(10)&amp;IF(INDEX('Reguler Class Availability'!$I:$I,L96)&amp;""="","coach: –",PROPER(INDEX('Reguler Class Availability'!$I:$I,L96)&amp;""))&amp;IF(INDEX('Reguler Class Availability'!$J:$J,L96)&amp;""="","",CHAR(10)&amp;"asst: "&amp;PROPER(INDEX('Reguler Class Availability'!$J:$J,L96)&amp;""))))</f>
        <v>Kosong  0/4  (0%)
coach: –</v>
      </c>
      <c r="E96" s="40" t="str">
        <f aca="false">IF(M96="","",IF(U96="Tidak dibuka","–",IF(INDEX('Reguler Class Availability'!$B:$B,M96)&amp;""="","Kosong",PROPER(INDEX('Reguler Class Availability'!$B:$B,M96)&amp;""))&amp;"  "&amp;IFERROR(--(INDEX('Reguler Class Availability'!$G:$G,M96)&amp;""),0)&amp;"/"&amp;IFERROR(--(INDEX('Reguler Class Availability'!$F:$F,M96)&amp;""),0)&amp;IF(IFERROR(--(INDEX('Reguler Class Availability'!$F:$F,M96)&amp;""),0)&gt;0,"  ("&amp;TEXT(IFERROR(--(INDEX('Reguler Class Availability'!$G:$G,M96)&amp;""),0)/IFERROR(--(INDEX('Reguler Class Availability'!$F:$F,M96)&amp;""),0),"0%")&amp;")","")&amp;CHAR(10)&amp;IF(INDEX('Reguler Class Availability'!$I:$I,M96)&amp;""="","coach: –",PROPER(INDEX('Reguler Class Availability'!$I:$I,M96)&amp;""))&amp;IF(INDEX('Reguler Class Availability'!$J:$J,M96)&amp;""="","",CHAR(10)&amp;"asst: "&amp;PROPER(INDEX('Reguler Class Availability'!$J:$J,M96)&amp;""))))</f>
        <v>–</v>
      </c>
      <c r="F96" s="40" t="str">
        <f aca="false">IF(N96="","",IF(V96="Tidak dibuka","–",IF(INDEX('Reguler Class Availability'!$B:$B,N96)&amp;""="","Kosong",PROPER(INDEX('Reguler Class Availability'!$B:$B,N96)&amp;""))&amp;"  "&amp;IFERROR(--(INDEX('Reguler Class Availability'!$G:$G,N96)&amp;""),0)&amp;"/"&amp;IFERROR(--(INDEX('Reguler Class Availability'!$F:$F,N96)&amp;""),0)&amp;IF(IFERROR(--(INDEX('Reguler Class Availability'!$F:$F,N96)&amp;""),0)&gt;0,"  ("&amp;TEXT(IFERROR(--(INDEX('Reguler Class Availability'!$G:$G,N96)&amp;""),0)/IFERROR(--(INDEX('Reguler Class Availability'!$F:$F,N96)&amp;""),0),"0%")&amp;")","")&amp;CHAR(10)&amp;IF(INDEX('Reguler Class Availability'!$I:$I,N96)&amp;""="","coach: –",PROPER(INDEX('Reguler Class Availability'!$I:$I,N96)&amp;""))&amp;IF(INDEX('Reguler Class Availability'!$J:$J,N96)&amp;""="","",CHAR(10)&amp;"asst: "&amp;PROPER(INDEX('Reguler Class Availability'!$J:$J,N96)&amp;""))))</f>
        <v>Little  4/4  (100%)
Nuky</v>
      </c>
      <c r="G96" s="40" t="str">
        <f aca="false">IF(O96="","",IF(W96="Tidak dibuka","–",IF(INDEX('Reguler Class Availability'!$B:$B,O96)&amp;""="","Kosong",PROPER(INDEX('Reguler Class Availability'!$B:$B,O96)&amp;""))&amp;"  "&amp;IFERROR(--(INDEX('Reguler Class Availability'!$G:$G,O96)&amp;""),0)&amp;"/"&amp;IFERROR(--(INDEX('Reguler Class Availability'!$F:$F,O96)&amp;""),0)&amp;IF(IFERROR(--(INDEX('Reguler Class Availability'!$F:$F,O96)&amp;""),0)&gt;0,"  ("&amp;TEXT(IFERROR(--(INDEX('Reguler Class Availability'!$G:$G,O96)&amp;""),0)/IFERROR(--(INDEX('Reguler Class Availability'!$F:$F,O96)&amp;""),0),"0%")&amp;")","")&amp;CHAR(10)&amp;IF(INDEX('Reguler Class Availability'!$I:$I,O96)&amp;""="","coach: –",PROPER(INDEX('Reguler Class Availability'!$I:$I,O96)&amp;""))&amp;IF(INDEX('Reguler Class Availability'!$J:$J,O96)&amp;""="","",CHAR(10)&amp;"asst: "&amp;PROPER(INDEX('Reguler Class Availability'!$J:$J,O96)&amp;""))))</f>
        <v>Kids  3/4  (75%)
Rischa</v>
      </c>
      <c r="H96" s="40" t="str">
        <f aca="false">IF(P96="","",IF(X96="Tidak dibuka","–",IF(INDEX('Reguler Class Availability'!$B:$B,P96)&amp;""="","Kosong",PROPER(INDEX('Reguler Class Availability'!$B:$B,P96)&amp;""))&amp;"  "&amp;IFERROR(--(INDEX('Reguler Class Availability'!$G:$G,P96)&amp;""),0)&amp;"/"&amp;IFERROR(--(INDEX('Reguler Class Availability'!$F:$F,P96)&amp;""),0)&amp;IF(IFERROR(--(INDEX('Reguler Class Availability'!$F:$F,P96)&amp;""),0)&gt;0,"  ("&amp;TEXT(IFERROR(--(INDEX('Reguler Class Availability'!$G:$G,P96)&amp;""),0)/IFERROR(--(INDEX('Reguler Class Availability'!$F:$F,P96)&amp;""),0),"0%")&amp;")","")&amp;CHAR(10)&amp;IF(INDEX('Reguler Class Availability'!$I:$I,P96)&amp;""="","coach: –",PROPER(INDEX('Reguler Class Availability'!$I:$I,P96)&amp;""))&amp;IF(INDEX('Reguler Class Availability'!$J:$J,P96)&amp;""="","",CHAR(10)&amp;"asst: "&amp;PROPER(INDEX('Reguler Class Availability'!$J:$J,P96)&amp;""))))</f>
        <v>Little  4/4  (100%)
Daffa</v>
      </c>
      <c r="J96" s="4" t="n">
        <f aca="false">IF($A96="","",IFERROR(MATCH($B$4&amp;"|- Lane 5 - "&amp;B$87&amp;"|"&amp;$A96,'Reguler Class Availability'!$L:$L,0),""))</f>
        <v>360</v>
      </c>
      <c r="K96" s="4" t="n">
        <f aca="false">IF($A96="","",IFERROR(MATCH($B$4&amp;"|- Lane 5 - "&amp;C$87&amp;"|"&amp;$A96,'Reguler Class Availability'!$L:$L,0),""))</f>
        <v>372</v>
      </c>
      <c r="L96" s="4" t="n">
        <f aca="false">IF($A96="","",IFERROR(MATCH($B$4&amp;"|- Lane 5 - "&amp;D$87&amp;"|"&amp;$A96,'Reguler Class Availability'!$L:$L,0),""))</f>
        <v>384</v>
      </c>
      <c r="M96" s="4" t="n">
        <f aca="false">IF($A96="","",IFERROR(MATCH($B$4&amp;"|- Lane 5 - "&amp;E$87&amp;"|"&amp;$A96,'Reguler Class Availability'!$L:$L,0),""))</f>
        <v>396</v>
      </c>
      <c r="N96" s="4" t="n">
        <f aca="false">IF($A96="","",IFERROR(MATCH($B$4&amp;"|- Lane 5 - "&amp;F$87&amp;"|"&amp;$A96,'Reguler Class Availability'!$L:$L,0),""))</f>
        <v>408</v>
      </c>
      <c r="O96" s="4" t="n">
        <f aca="false">IF($A96="","",IFERROR(MATCH($B$4&amp;"|- Lane 5 - "&amp;G$87&amp;"|"&amp;$A96,'Reguler Class Availability'!$L:$L,0),""))</f>
        <v>420</v>
      </c>
      <c r="P96" s="4" t="n">
        <f aca="false">IF($A96="","",IFERROR(MATCH($B$4&amp;"|- Lane 5 - "&amp;H$87&amp;"|"&amp;$A96,'Reguler Class Availability'!$L:$L,0),""))</f>
        <v>432</v>
      </c>
      <c r="R96" s="0" t="str">
        <f aca="false">IF(J96="","",IF(AND(IFERROR(--(INDEX('Reguler Class Availability'!$F:$F,J96)&amp;""),0)=0,IFERROR(--(INDEX('Reguler Class Availability'!$G:$G,J96)&amp;""),0)=0),IF(OR(INDEX('Reguler Class Availability'!$B:$B,J96)&amp;""&lt;&gt;"",INDEX('Reguler Class Availability'!$I:$I,J96)&amp;""&lt;&gt;""),"Tutup","Tidak dibuka"),IF(IFERROR(--(INDEX('Reguler Class Availability'!$G:$G,J96)&amp;""),0)&gt;IFERROR(--(INDEX('Reguler Class Availability'!$F:$F,J96)&amp;""),0),"Lebih",IF(IFERROR(--(INDEX('Reguler Class Availability'!$G:$G,J96)&amp;""),0)=IFERROR(--(INDEX('Reguler Class Availability'!$F:$F,J96)&amp;""),0),"Penuh",IF(IFERROR(--(INDEX('Reguler Class Availability'!$G:$G,J96)&amp;""),0)=0,IF(INDEX('Reguler Class Availability'!$B:$B,J96)&amp;""="","Kosong","Belum terisi"),IF(IFERROR(--(INDEX('Reguler Class Availability'!$G:$G,J96)&amp;""),0)/IFERROR(--(INDEX('Reguler Class Availability'!$F:$F,J96)&amp;""),0)&gt;=0.6,"Tinggi","Sebagian"))))))</f>
        <v>Penuh</v>
      </c>
      <c r="S96" s="0" t="str">
        <f aca="false">IF(K96="","",IF(AND(IFERROR(--(INDEX('Reguler Class Availability'!$F:$F,K96)&amp;""),0)=0,IFERROR(--(INDEX('Reguler Class Availability'!$G:$G,K96)&amp;""),0)=0),IF(OR(INDEX('Reguler Class Availability'!$B:$B,K96)&amp;""&lt;&gt;"",INDEX('Reguler Class Availability'!$I:$I,K96)&amp;""&lt;&gt;""),"Tutup","Tidak dibuka"),IF(IFERROR(--(INDEX('Reguler Class Availability'!$G:$G,K96)&amp;""),0)&gt;IFERROR(--(INDEX('Reguler Class Availability'!$F:$F,K96)&amp;""),0),"Lebih",IF(IFERROR(--(INDEX('Reguler Class Availability'!$G:$G,K96)&amp;""),0)=IFERROR(--(INDEX('Reguler Class Availability'!$F:$F,K96)&amp;""),0),"Penuh",IF(IFERROR(--(INDEX('Reguler Class Availability'!$G:$G,K96)&amp;""),0)=0,IF(INDEX('Reguler Class Availability'!$B:$B,K96)&amp;""="","Kosong","Belum terisi"),IF(IFERROR(--(INDEX('Reguler Class Availability'!$G:$G,K96)&amp;""),0)/IFERROR(--(INDEX('Reguler Class Availability'!$F:$F,K96)&amp;""),0)&gt;=0.6,"Tinggi","Sebagian"))))))</f>
        <v>Kosong</v>
      </c>
      <c r="T96" s="0" t="str">
        <f aca="false">IF(L96="","",IF(AND(IFERROR(--(INDEX('Reguler Class Availability'!$F:$F,L96)&amp;""),0)=0,IFERROR(--(INDEX('Reguler Class Availability'!$G:$G,L96)&amp;""),0)=0),IF(OR(INDEX('Reguler Class Availability'!$B:$B,L96)&amp;""&lt;&gt;"",INDEX('Reguler Class Availability'!$I:$I,L96)&amp;""&lt;&gt;""),"Tutup","Tidak dibuka"),IF(IFERROR(--(INDEX('Reguler Class Availability'!$G:$G,L96)&amp;""),0)&gt;IFERROR(--(INDEX('Reguler Class Availability'!$F:$F,L96)&amp;""),0),"Lebih",IF(IFERROR(--(INDEX('Reguler Class Availability'!$G:$G,L96)&amp;""),0)=IFERROR(--(INDEX('Reguler Class Availability'!$F:$F,L96)&amp;""),0),"Penuh",IF(IFERROR(--(INDEX('Reguler Class Availability'!$G:$G,L96)&amp;""),0)=0,IF(INDEX('Reguler Class Availability'!$B:$B,L96)&amp;""="","Kosong","Belum terisi"),IF(IFERROR(--(INDEX('Reguler Class Availability'!$G:$G,L96)&amp;""),0)/IFERROR(--(INDEX('Reguler Class Availability'!$F:$F,L96)&amp;""),0)&gt;=0.6,"Tinggi","Sebagian"))))))</f>
        <v>Kosong</v>
      </c>
      <c r="U96" s="0" t="str">
        <f aca="false">IF(M96="","",IF(AND(IFERROR(--(INDEX('Reguler Class Availability'!$F:$F,M96)&amp;""),0)=0,IFERROR(--(INDEX('Reguler Class Availability'!$G:$G,M96)&amp;""),0)=0),IF(OR(INDEX('Reguler Class Availability'!$B:$B,M96)&amp;""&lt;&gt;"",INDEX('Reguler Class Availability'!$I:$I,M96)&amp;""&lt;&gt;""),"Tutup","Tidak dibuka"),IF(IFERROR(--(INDEX('Reguler Class Availability'!$G:$G,M96)&amp;""),0)&gt;IFERROR(--(INDEX('Reguler Class Availability'!$F:$F,M96)&amp;""),0),"Lebih",IF(IFERROR(--(INDEX('Reguler Class Availability'!$G:$G,M96)&amp;""),0)=IFERROR(--(INDEX('Reguler Class Availability'!$F:$F,M96)&amp;""),0),"Penuh",IF(IFERROR(--(INDEX('Reguler Class Availability'!$G:$G,M96)&amp;""),0)=0,IF(INDEX('Reguler Class Availability'!$B:$B,M96)&amp;""="","Kosong","Belum terisi"),IF(IFERROR(--(INDEX('Reguler Class Availability'!$G:$G,M96)&amp;""),0)/IFERROR(--(INDEX('Reguler Class Availability'!$F:$F,M96)&amp;""),0)&gt;=0.6,"Tinggi","Sebagian"))))))</f>
        <v>Tidak dibuka</v>
      </c>
      <c r="V96" s="0" t="str">
        <f aca="false">IF(N96="","",IF(AND(IFERROR(--(INDEX('Reguler Class Availability'!$F:$F,N96)&amp;""),0)=0,IFERROR(--(INDEX('Reguler Class Availability'!$G:$G,N96)&amp;""),0)=0),IF(OR(INDEX('Reguler Class Availability'!$B:$B,N96)&amp;""&lt;&gt;"",INDEX('Reguler Class Availability'!$I:$I,N96)&amp;""&lt;&gt;""),"Tutup","Tidak dibuka"),IF(IFERROR(--(INDEX('Reguler Class Availability'!$G:$G,N96)&amp;""),0)&gt;IFERROR(--(INDEX('Reguler Class Availability'!$F:$F,N96)&amp;""),0),"Lebih",IF(IFERROR(--(INDEX('Reguler Class Availability'!$G:$G,N96)&amp;""),0)=IFERROR(--(INDEX('Reguler Class Availability'!$F:$F,N96)&amp;""),0),"Penuh",IF(IFERROR(--(INDEX('Reguler Class Availability'!$G:$G,N96)&amp;""),0)=0,IF(INDEX('Reguler Class Availability'!$B:$B,N96)&amp;""="","Kosong","Belum terisi"),IF(IFERROR(--(INDEX('Reguler Class Availability'!$G:$G,N96)&amp;""),0)/IFERROR(--(INDEX('Reguler Class Availability'!$F:$F,N96)&amp;""),0)&gt;=0.6,"Tinggi","Sebagian"))))))</f>
        <v>Penuh</v>
      </c>
      <c r="W96" s="0" t="str">
        <f aca="false">IF(O96="","",IF(AND(IFERROR(--(INDEX('Reguler Class Availability'!$F:$F,O96)&amp;""),0)=0,IFERROR(--(INDEX('Reguler Class Availability'!$G:$G,O96)&amp;""),0)=0),IF(OR(INDEX('Reguler Class Availability'!$B:$B,O96)&amp;""&lt;&gt;"",INDEX('Reguler Class Availability'!$I:$I,O96)&amp;""&lt;&gt;""),"Tutup","Tidak dibuka"),IF(IFERROR(--(INDEX('Reguler Class Availability'!$G:$G,O96)&amp;""),0)&gt;IFERROR(--(INDEX('Reguler Class Availability'!$F:$F,O96)&amp;""),0),"Lebih",IF(IFERROR(--(INDEX('Reguler Class Availability'!$G:$G,O96)&amp;""),0)=IFERROR(--(INDEX('Reguler Class Availability'!$F:$F,O96)&amp;""),0),"Penuh",IF(IFERROR(--(INDEX('Reguler Class Availability'!$G:$G,O96)&amp;""),0)=0,IF(INDEX('Reguler Class Availability'!$B:$B,O96)&amp;""="","Kosong","Belum terisi"),IF(IFERROR(--(INDEX('Reguler Class Availability'!$G:$G,O96)&amp;""),0)/IFERROR(--(INDEX('Reguler Class Availability'!$F:$F,O96)&amp;""),0)&gt;=0.6,"Tinggi","Sebagian"))))))</f>
        <v>Tinggi</v>
      </c>
      <c r="X96" s="0" t="str">
        <f aca="false">IF(P96="","",IF(AND(IFERROR(--(INDEX('Reguler Class Availability'!$F:$F,P96)&amp;""),0)=0,IFERROR(--(INDEX('Reguler Class Availability'!$G:$G,P96)&amp;""),0)=0),IF(OR(INDEX('Reguler Class Availability'!$B:$B,P96)&amp;""&lt;&gt;"",INDEX('Reguler Class Availability'!$I:$I,P96)&amp;""&lt;&gt;""),"Tutup","Tidak dibuka"),IF(IFERROR(--(INDEX('Reguler Class Availability'!$G:$G,P96)&amp;""),0)&gt;IFERROR(--(INDEX('Reguler Class Availability'!$F:$F,P96)&amp;""),0),"Lebih",IF(IFERROR(--(INDEX('Reguler Class Availability'!$G:$G,P96)&amp;""),0)=IFERROR(--(INDEX('Reguler Class Availability'!$F:$F,P96)&amp;""),0),"Penuh",IF(IFERROR(--(INDEX('Reguler Class Availability'!$G:$G,P96)&amp;""),0)=0,IF(INDEX('Reguler Class Availability'!$B:$B,P96)&amp;""="","Kosong","Belum terisi"),IF(IFERROR(--(INDEX('Reguler Class Availability'!$G:$G,P96)&amp;""),0)/IFERROR(--(INDEX('Reguler Class Availability'!$F:$F,P96)&amp;""),0)&gt;=0.6,"Tinggi","Sebagian"))))))</f>
        <v>Penuh</v>
      </c>
      <c r="Z96" s="4" t="s">
        <v>71</v>
      </c>
      <c r="AA96" s="4" t="n">
        <f aca="false">IF(COUNTIFS('Reguler Class Availability'!$L:$L,$B$4&amp;"|- Lane 2 - *|"&amp;Z96)&gt;0,1,0)</f>
        <v>0</v>
      </c>
      <c r="AB96" s="4" t="n">
        <f aca="false">AA96+AB95</f>
        <v>8</v>
      </c>
    </row>
    <row r="97" customFormat="false" ht="39.75" hidden="false" customHeight="true" outlineLevel="0" collapsed="false">
      <c r="A97" s="39" t="str">
        <f aca="false">IFERROR(INDEX($Z$242:$Z$301,MATCH(10,$AB$242:$AB$301,0)),"")</f>
        <v>15:30</v>
      </c>
      <c r="B97" s="40" t="str">
        <f aca="false">IF(J97="","",IF(R97="Tidak dibuka","–",IF(INDEX('Reguler Class Availability'!$B:$B,J97)&amp;""="","Kosong",PROPER(INDEX('Reguler Class Availability'!$B:$B,J97)&amp;""))&amp;"  "&amp;IFERROR(--(INDEX('Reguler Class Availability'!$G:$G,J97)&amp;""),0)&amp;"/"&amp;IFERROR(--(INDEX('Reguler Class Availability'!$F:$F,J97)&amp;""),0)&amp;IF(IFERROR(--(INDEX('Reguler Class Availability'!$F:$F,J97)&amp;""),0)&gt;0,"  ("&amp;TEXT(IFERROR(--(INDEX('Reguler Class Availability'!$G:$G,J97)&amp;""),0)/IFERROR(--(INDEX('Reguler Class Availability'!$F:$F,J97)&amp;""),0),"0%")&amp;")","")&amp;CHAR(10)&amp;IF(INDEX('Reguler Class Availability'!$I:$I,J97)&amp;""="","coach: –",PROPER(INDEX('Reguler Class Availability'!$I:$I,J97)&amp;""))&amp;IF(INDEX('Reguler Class Availability'!$J:$J,J97)&amp;""="","",CHAR(10)&amp;"asst: "&amp;PROPER(INDEX('Reguler Class Availability'!$J:$J,J97)&amp;""))))</f>
        <v>Kids  4/4  (100%)
Rischa</v>
      </c>
      <c r="C97" s="40" t="str">
        <f aca="false">IF(K97="","",IF(S97="Tidak dibuka","–",IF(INDEX('Reguler Class Availability'!$B:$B,K97)&amp;""="","Kosong",PROPER(INDEX('Reguler Class Availability'!$B:$B,K97)&amp;""))&amp;"  "&amp;IFERROR(--(INDEX('Reguler Class Availability'!$G:$G,K97)&amp;""),0)&amp;"/"&amp;IFERROR(--(INDEX('Reguler Class Availability'!$F:$F,K97)&amp;""),0)&amp;IF(IFERROR(--(INDEX('Reguler Class Availability'!$F:$F,K97)&amp;""),0)&gt;0,"  ("&amp;TEXT(IFERROR(--(INDEX('Reguler Class Availability'!$G:$G,K97)&amp;""),0)/IFERROR(--(INDEX('Reguler Class Availability'!$F:$F,K97)&amp;""),0),"0%")&amp;")","")&amp;CHAR(10)&amp;IF(INDEX('Reguler Class Availability'!$I:$I,K97)&amp;""="","coach: –",PROPER(INDEX('Reguler Class Availability'!$I:$I,K97)&amp;""))&amp;IF(INDEX('Reguler Class Availability'!$J:$J,K97)&amp;""="","",CHAR(10)&amp;"asst: "&amp;PROPER(INDEX('Reguler Class Availability'!$J:$J,K97)&amp;""))))</f>
        <v>Little  2/4  (50%)
Danti</v>
      </c>
      <c r="D97" s="40" t="str">
        <f aca="false">IF(L97="","",IF(T97="Tidak dibuka","–",IF(INDEX('Reguler Class Availability'!$B:$B,L97)&amp;""="","Kosong",PROPER(INDEX('Reguler Class Availability'!$B:$B,L97)&amp;""))&amp;"  "&amp;IFERROR(--(INDEX('Reguler Class Availability'!$G:$G,L97)&amp;""),0)&amp;"/"&amp;IFERROR(--(INDEX('Reguler Class Availability'!$F:$F,L97)&amp;""),0)&amp;IF(IFERROR(--(INDEX('Reguler Class Availability'!$F:$F,L97)&amp;""),0)&gt;0,"  ("&amp;TEXT(IFERROR(--(INDEX('Reguler Class Availability'!$G:$G,L97)&amp;""),0)/IFERROR(--(INDEX('Reguler Class Availability'!$F:$F,L97)&amp;""),0),"0%")&amp;")","")&amp;CHAR(10)&amp;IF(INDEX('Reguler Class Availability'!$I:$I,L97)&amp;""="","coach: –",PROPER(INDEX('Reguler Class Availability'!$I:$I,L97)&amp;""))&amp;IF(INDEX('Reguler Class Availability'!$J:$J,L97)&amp;""="","",CHAR(10)&amp;"asst: "&amp;PROPER(INDEX('Reguler Class Availability'!$J:$J,L97)&amp;""))))</f>
        <v>Kids  4/4  (100%)
Nuky</v>
      </c>
      <c r="E97" s="40" t="str">
        <f aca="false">IF(M97="","",IF(U97="Tidak dibuka","–",IF(INDEX('Reguler Class Availability'!$B:$B,M97)&amp;""="","Kosong",PROPER(INDEX('Reguler Class Availability'!$B:$B,M97)&amp;""))&amp;"  "&amp;IFERROR(--(INDEX('Reguler Class Availability'!$G:$G,M97)&amp;""),0)&amp;"/"&amp;IFERROR(--(INDEX('Reguler Class Availability'!$F:$F,M97)&amp;""),0)&amp;IF(IFERROR(--(INDEX('Reguler Class Availability'!$F:$F,M97)&amp;""),0)&gt;0,"  ("&amp;TEXT(IFERROR(--(INDEX('Reguler Class Availability'!$G:$G,M97)&amp;""),0)/IFERROR(--(INDEX('Reguler Class Availability'!$F:$F,M97)&amp;""),0),"0%")&amp;")","")&amp;CHAR(10)&amp;IF(INDEX('Reguler Class Availability'!$I:$I,M97)&amp;""="","coach: –",PROPER(INDEX('Reguler Class Availability'!$I:$I,M97)&amp;""))&amp;IF(INDEX('Reguler Class Availability'!$J:$J,M97)&amp;""="","",CHAR(10)&amp;"asst: "&amp;PROPER(INDEX('Reguler Class Availability'!$J:$J,M97)&amp;""))))</f>
        <v>Kids  4/0
Nuky</v>
      </c>
      <c r="F97" s="40" t="str">
        <f aca="false">IF(N97="","",IF(V97="Tidak dibuka","–",IF(INDEX('Reguler Class Availability'!$B:$B,N97)&amp;""="","Kosong",PROPER(INDEX('Reguler Class Availability'!$B:$B,N97)&amp;""))&amp;"  "&amp;IFERROR(--(INDEX('Reguler Class Availability'!$G:$G,N97)&amp;""),0)&amp;"/"&amp;IFERROR(--(INDEX('Reguler Class Availability'!$F:$F,N97)&amp;""),0)&amp;IF(IFERROR(--(INDEX('Reguler Class Availability'!$F:$F,N97)&amp;""),0)&gt;0,"  ("&amp;TEXT(IFERROR(--(INDEX('Reguler Class Availability'!$G:$G,N97)&amp;""),0)/IFERROR(--(INDEX('Reguler Class Availability'!$F:$F,N97)&amp;""),0),"0%")&amp;")","")&amp;CHAR(10)&amp;IF(INDEX('Reguler Class Availability'!$I:$I,N97)&amp;""="","coach: –",PROPER(INDEX('Reguler Class Availability'!$I:$I,N97)&amp;""))&amp;IF(INDEX('Reguler Class Availability'!$J:$J,N97)&amp;""="","",CHAR(10)&amp;"asst: "&amp;PROPER(INDEX('Reguler Class Availability'!$J:$J,N97)&amp;""))))</f>
        <v>Kids  4/4  (100%)
Rischa</v>
      </c>
      <c r="G97" s="40" t="str">
        <f aca="false">IF(O97="","",IF(W97="Tidak dibuka","–",IF(INDEX('Reguler Class Availability'!$B:$B,O97)&amp;""="","Kosong",PROPER(INDEX('Reguler Class Availability'!$B:$B,O97)&amp;""))&amp;"  "&amp;IFERROR(--(INDEX('Reguler Class Availability'!$G:$G,O97)&amp;""),0)&amp;"/"&amp;IFERROR(--(INDEX('Reguler Class Availability'!$F:$F,O97)&amp;""),0)&amp;IF(IFERROR(--(INDEX('Reguler Class Availability'!$F:$F,O97)&amp;""),0)&gt;0,"  ("&amp;TEXT(IFERROR(--(INDEX('Reguler Class Availability'!$G:$G,O97)&amp;""),0)/IFERROR(--(INDEX('Reguler Class Availability'!$F:$F,O97)&amp;""),0),"0%")&amp;")","")&amp;CHAR(10)&amp;IF(INDEX('Reguler Class Availability'!$I:$I,O97)&amp;""="","coach: –",PROPER(INDEX('Reguler Class Availability'!$I:$I,O97)&amp;""))&amp;IF(INDEX('Reguler Class Availability'!$J:$J,O97)&amp;""="","",CHAR(10)&amp;"asst: "&amp;PROPER(INDEX('Reguler Class Availability'!$J:$J,O97)&amp;""))))</f>
        <v>Kids  4/4  (100%)
Danti</v>
      </c>
      <c r="H97" s="40" t="str">
        <f aca="false">IF(P97="","",IF(X97="Tidak dibuka","–",IF(INDEX('Reguler Class Availability'!$B:$B,P97)&amp;""="","Kosong",PROPER(INDEX('Reguler Class Availability'!$B:$B,P97)&amp;""))&amp;"  "&amp;IFERROR(--(INDEX('Reguler Class Availability'!$G:$G,P97)&amp;""),0)&amp;"/"&amp;IFERROR(--(INDEX('Reguler Class Availability'!$F:$F,P97)&amp;""),0)&amp;IF(IFERROR(--(INDEX('Reguler Class Availability'!$F:$F,P97)&amp;""),0)&gt;0,"  ("&amp;TEXT(IFERROR(--(INDEX('Reguler Class Availability'!$G:$G,P97)&amp;""),0)/IFERROR(--(INDEX('Reguler Class Availability'!$F:$F,P97)&amp;""),0),"0%")&amp;")","")&amp;CHAR(10)&amp;IF(INDEX('Reguler Class Availability'!$I:$I,P97)&amp;""="","coach: –",PROPER(INDEX('Reguler Class Availability'!$I:$I,P97)&amp;""))&amp;IF(INDEX('Reguler Class Availability'!$J:$J,P97)&amp;""="","",CHAR(10)&amp;"asst: "&amp;PROPER(INDEX('Reguler Class Availability'!$J:$J,P97)&amp;""))))</f>
        <v>Kids  4/4  (100%)
Eka</v>
      </c>
      <c r="J97" s="4" t="n">
        <f aca="false">IF($A97="","",IFERROR(MATCH($B$4&amp;"|- Lane 5 - "&amp;B$87&amp;"|"&amp;$A97,'Reguler Class Availability'!$L:$L,0),""))</f>
        <v>361</v>
      </c>
      <c r="K97" s="4" t="n">
        <f aca="false">IF($A97="","",IFERROR(MATCH($B$4&amp;"|- Lane 5 - "&amp;C$87&amp;"|"&amp;$A97,'Reguler Class Availability'!$L:$L,0),""))</f>
        <v>373</v>
      </c>
      <c r="L97" s="4" t="n">
        <f aca="false">IF($A97="","",IFERROR(MATCH($B$4&amp;"|- Lane 5 - "&amp;D$87&amp;"|"&amp;$A97,'Reguler Class Availability'!$L:$L,0),""))</f>
        <v>385</v>
      </c>
      <c r="M97" s="4" t="n">
        <f aca="false">IF($A97="","",IFERROR(MATCH($B$4&amp;"|- Lane 5 - "&amp;E$87&amp;"|"&amp;$A97,'Reguler Class Availability'!$L:$L,0),""))</f>
        <v>397</v>
      </c>
      <c r="N97" s="4" t="n">
        <f aca="false">IF($A97="","",IFERROR(MATCH($B$4&amp;"|- Lane 5 - "&amp;F$87&amp;"|"&amp;$A97,'Reguler Class Availability'!$L:$L,0),""))</f>
        <v>409</v>
      </c>
      <c r="O97" s="4" t="n">
        <f aca="false">IF($A97="","",IFERROR(MATCH($B$4&amp;"|- Lane 5 - "&amp;G$87&amp;"|"&amp;$A97,'Reguler Class Availability'!$L:$L,0),""))</f>
        <v>421</v>
      </c>
      <c r="P97" s="4" t="n">
        <f aca="false">IF($A97="","",IFERROR(MATCH($B$4&amp;"|- Lane 5 - "&amp;H$87&amp;"|"&amp;$A97,'Reguler Class Availability'!$L:$L,0),""))</f>
        <v>433</v>
      </c>
      <c r="R97" s="0" t="str">
        <f aca="false">IF(J97="","",IF(AND(IFERROR(--(INDEX('Reguler Class Availability'!$F:$F,J97)&amp;""),0)=0,IFERROR(--(INDEX('Reguler Class Availability'!$G:$G,J97)&amp;""),0)=0),IF(OR(INDEX('Reguler Class Availability'!$B:$B,J97)&amp;""&lt;&gt;"",INDEX('Reguler Class Availability'!$I:$I,J97)&amp;""&lt;&gt;""),"Tutup","Tidak dibuka"),IF(IFERROR(--(INDEX('Reguler Class Availability'!$G:$G,J97)&amp;""),0)&gt;IFERROR(--(INDEX('Reguler Class Availability'!$F:$F,J97)&amp;""),0),"Lebih",IF(IFERROR(--(INDEX('Reguler Class Availability'!$G:$G,J97)&amp;""),0)=IFERROR(--(INDEX('Reguler Class Availability'!$F:$F,J97)&amp;""),0),"Penuh",IF(IFERROR(--(INDEX('Reguler Class Availability'!$G:$G,J97)&amp;""),0)=0,IF(INDEX('Reguler Class Availability'!$B:$B,J97)&amp;""="","Kosong","Belum terisi"),IF(IFERROR(--(INDEX('Reguler Class Availability'!$G:$G,J97)&amp;""),0)/IFERROR(--(INDEX('Reguler Class Availability'!$F:$F,J97)&amp;""),0)&gt;=0.6,"Tinggi","Sebagian"))))))</f>
        <v>Penuh</v>
      </c>
      <c r="S97" s="0" t="str">
        <f aca="false">IF(K97="","",IF(AND(IFERROR(--(INDEX('Reguler Class Availability'!$F:$F,K97)&amp;""),0)=0,IFERROR(--(INDEX('Reguler Class Availability'!$G:$G,K97)&amp;""),0)=0),IF(OR(INDEX('Reguler Class Availability'!$B:$B,K97)&amp;""&lt;&gt;"",INDEX('Reguler Class Availability'!$I:$I,K97)&amp;""&lt;&gt;""),"Tutup","Tidak dibuka"),IF(IFERROR(--(INDEX('Reguler Class Availability'!$G:$G,K97)&amp;""),0)&gt;IFERROR(--(INDEX('Reguler Class Availability'!$F:$F,K97)&amp;""),0),"Lebih",IF(IFERROR(--(INDEX('Reguler Class Availability'!$G:$G,K97)&amp;""),0)=IFERROR(--(INDEX('Reguler Class Availability'!$F:$F,K97)&amp;""),0),"Penuh",IF(IFERROR(--(INDEX('Reguler Class Availability'!$G:$G,K97)&amp;""),0)=0,IF(INDEX('Reguler Class Availability'!$B:$B,K97)&amp;""="","Kosong","Belum terisi"),IF(IFERROR(--(INDEX('Reguler Class Availability'!$G:$G,K97)&amp;""),0)/IFERROR(--(INDEX('Reguler Class Availability'!$F:$F,K97)&amp;""),0)&gt;=0.6,"Tinggi","Sebagian"))))))</f>
        <v>Sebagian</v>
      </c>
      <c r="T97" s="0" t="str">
        <f aca="false">IF(L97="","",IF(AND(IFERROR(--(INDEX('Reguler Class Availability'!$F:$F,L97)&amp;""),0)=0,IFERROR(--(INDEX('Reguler Class Availability'!$G:$G,L97)&amp;""),0)=0),IF(OR(INDEX('Reguler Class Availability'!$B:$B,L97)&amp;""&lt;&gt;"",INDEX('Reguler Class Availability'!$I:$I,L97)&amp;""&lt;&gt;""),"Tutup","Tidak dibuka"),IF(IFERROR(--(INDEX('Reguler Class Availability'!$G:$G,L97)&amp;""),0)&gt;IFERROR(--(INDEX('Reguler Class Availability'!$F:$F,L97)&amp;""),0),"Lebih",IF(IFERROR(--(INDEX('Reguler Class Availability'!$G:$G,L97)&amp;""),0)=IFERROR(--(INDEX('Reguler Class Availability'!$F:$F,L97)&amp;""),0),"Penuh",IF(IFERROR(--(INDEX('Reguler Class Availability'!$G:$G,L97)&amp;""),0)=0,IF(INDEX('Reguler Class Availability'!$B:$B,L97)&amp;""="","Kosong","Belum terisi"),IF(IFERROR(--(INDEX('Reguler Class Availability'!$G:$G,L97)&amp;""),0)/IFERROR(--(INDEX('Reguler Class Availability'!$F:$F,L97)&amp;""),0)&gt;=0.6,"Tinggi","Sebagian"))))))</f>
        <v>Penuh</v>
      </c>
      <c r="U97" s="0" t="str">
        <f aca="false">IF(M97="","",IF(AND(IFERROR(--(INDEX('Reguler Class Availability'!$F:$F,M97)&amp;""),0)=0,IFERROR(--(INDEX('Reguler Class Availability'!$G:$G,M97)&amp;""),0)=0),IF(OR(INDEX('Reguler Class Availability'!$B:$B,M97)&amp;""&lt;&gt;"",INDEX('Reguler Class Availability'!$I:$I,M97)&amp;""&lt;&gt;""),"Tutup","Tidak dibuka"),IF(IFERROR(--(INDEX('Reguler Class Availability'!$G:$G,M97)&amp;""),0)&gt;IFERROR(--(INDEX('Reguler Class Availability'!$F:$F,M97)&amp;""),0),"Lebih",IF(IFERROR(--(INDEX('Reguler Class Availability'!$G:$G,M97)&amp;""),0)=IFERROR(--(INDEX('Reguler Class Availability'!$F:$F,M97)&amp;""),0),"Penuh",IF(IFERROR(--(INDEX('Reguler Class Availability'!$G:$G,M97)&amp;""),0)=0,IF(INDEX('Reguler Class Availability'!$B:$B,M97)&amp;""="","Kosong","Belum terisi"),IF(IFERROR(--(INDEX('Reguler Class Availability'!$G:$G,M97)&amp;""),0)/IFERROR(--(INDEX('Reguler Class Availability'!$F:$F,M97)&amp;""),0)&gt;=0.6,"Tinggi","Sebagian"))))))</f>
        <v>Lebih</v>
      </c>
      <c r="V97" s="0" t="str">
        <f aca="false">IF(N97="","",IF(AND(IFERROR(--(INDEX('Reguler Class Availability'!$F:$F,N97)&amp;""),0)=0,IFERROR(--(INDEX('Reguler Class Availability'!$G:$G,N97)&amp;""),0)=0),IF(OR(INDEX('Reguler Class Availability'!$B:$B,N97)&amp;""&lt;&gt;"",INDEX('Reguler Class Availability'!$I:$I,N97)&amp;""&lt;&gt;""),"Tutup","Tidak dibuka"),IF(IFERROR(--(INDEX('Reguler Class Availability'!$G:$G,N97)&amp;""),0)&gt;IFERROR(--(INDEX('Reguler Class Availability'!$F:$F,N97)&amp;""),0),"Lebih",IF(IFERROR(--(INDEX('Reguler Class Availability'!$G:$G,N97)&amp;""),0)=IFERROR(--(INDEX('Reguler Class Availability'!$F:$F,N97)&amp;""),0),"Penuh",IF(IFERROR(--(INDEX('Reguler Class Availability'!$G:$G,N97)&amp;""),0)=0,IF(INDEX('Reguler Class Availability'!$B:$B,N97)&amp;""="","Kosong","Belum terisi"),IF(IFERROR(--(INDEX('Reguler Class Availability'!$G:$G,N97)&amp;""),0)/IFERROR(--(INDEX('Reguler Class Availability'!$F:$F,N97)&amp;""),0)&gt;=0.6,"Tinggi","Sebagian"))))))</f>
        <v>Penuh</v>
      </c>
      <c r="W97" s="0" t="str">
        <f aca="false">IF(O97="","",IF(AND(IFERROR(--(INDEX('Reguler Class Availability'!$F:$F,O97)&amp;""),0)=0,IFERROR(--(INDEX('Reguler Class Availability'!$G:$G,O97)&amp;""),0)=0),IF(OR(INDEX('Reguler Class Availability'!$B:$B,O97)&amp;""&lt;&gt;"",INDEX('Reguler Class Availability'!$I:$I,O97)&amp;""&lt;&gt;""),"Tutup","Tidak dibuka"),IF(IFERROR(--(INDEX('Reguler Class Availability'!$G:$G,O97)&amp;""),0)&gt;IFERROR(--(INDEX('Reguler Class Availability'!$F:$F,O97)&amp;""),0),"Lebih",IF(IFERROR(--(INDEX('Reguler Class Availability'!$G:$G,O97)&amp;""),0)=IFERROR(--(INDEX('Reguler Class Availability'!$F:$F,O97)&amp;""),0),"Penuh",IF(IFERROR(--(INDEX('Reguler Class Availability'!$G:$G,O97)&amp;""),0)=0,IF(INDEX('Reguler Class Availability'!$B:$B,O97)&amp;""="","Kosong","Belum terisi"),IF(IFERROR(--(INDEX('Reguler Class Availability'!$G:$G,O97)&amp;""),0)/IFERROR(--(INDEX('Reguler Class Availability'!$F:$F,O97)&amp;""),0)&gt;=0.6,"Tinggi","Sebagian"))))))</f>
        <v>Penuh</v>
      </c>
      <c r="X97" s="0" t="str">
        <f aca="false">IF(P97="","",IF(AND(IFERROR(--(INDEX('Reguler Class Availability'!$F:$F,P97)&amp;""),0)=0,IFERROR(--(INDEX('Reguler Class Availability'!$G:$G,P97)&amp;""),0)=0),IF(OR(INDEX('Reguler Class Availability'!$B:$B,P97)&amp;""&lt;&gt;"",INDEX('Reguler Class Availability'!$I:$I,P97)&amp;""&lt;&gt;""),"Tutup","Tidak dibuka"),IF(IFERROR(--(INDEX('Reguler Class Availability'!$G:$G,P97)&amp;""),0)&gt;IFERROR(--(INDEX('Reguler Class Availability'!$F:$F,P97)&amp;""),0),"Lebih",IF(IFERROR(--(INDEX('Reguler Class Availability'!$G:$G,P97)&amp;""),0)=IFERROR(--(INDEX('Reguler Class Availability'!$F:$F,P97)&amp;""),0),"Penuh",IF(IFERROR(--(INDEX('Reguler Class Availability'!$G:$G,P97)&amp;""),0)=0,IF(INDEX('Reguler Class Availability'!$B:$B,P97)&amp;""="","Kosong","Belum terisi"),IF(IFERROR(--(INDEX('Reguler Class Availability'!$G:$G,P97)&amp;""),0)/IFERROR(--(INDEX('Reguler Class Availability'!$F:$F,P97)&amp;""),0)&gt;=0.6,"Tinggi","Sebagian"))))))</f>
        <v>Penuh</v>
      </c>
      <c r="Z97" s="4" t="s">
        <v>72</v>
      </c>
      <c r="AA97" s="4" t="n">
        <f aca="false">IF(COUNTIFS('Reguler Class Availability'!$L:$L,$B$4&amp;"|- Lane 2 - *|"&amp;Z97)&gt;0,1,0)</f>
        <v>0</v>
      </c>
      <c r="AB97" s="4" t="n">
        <f aca="false">AA97+AB96</f>
        <v>8</v>
      </c>
    </row>
    <row r="98" customFormat="false" ht="39.75" hidden="false" customHeight="true" outlineLevel="0" collapsed="false">
      <c r="A98" s="39" t="str">
        <f aca="false">IFERROR(INDEX($Z$242:$Z$301,MATCH(11,$AB$242:$AB$301,0)),"")</f>
        <v>16:15</v>
      </c>
      <c r="B98" s="40" t="str">
        <f aca="false">IF(J98="","",IF(R98="Tidak dibuka","–",IF(INDEX('Reguler Class Availability'!$B:$B,J98)&amp;""="","Kosong",PROPER(INDEX('Reguler Class Availability'!$B:$B,J98)&amp;""))&amp;"  "&amp;IFERROR(--(INDEX('Reguler Class Availability'!$G:$G,J98)&amp;""),0)&amp;"/"&amp;IFERROR(--(INDEX('Reguler Class Availability'!$F:$F,J98)&amp;""),0)&amp;IF(IFERROR(--(INDEX('Reguler Class Availability'!$F:$F,J98)&amp;""),0)&gt;0,"  ("&amp;TEXT(IFERROR(--(INDEX('Reguler Class Availability'!$G:$G,J98)&amp;""),0)/IFERROR(--(INDEX('Reguler Class Availability'!$F:$F,J98)&amp;""),0),"0%")&amp;")","")&amp;CHAR(10)&amp;IF(INDEX('Reguler Class Availability'!$I:$I,J98)&amp;""="","coach: –",PROPER(INDEX('Reguler Class Availability'!$I:$I,J98)&amp;""))&amp;IF(INDEX('Reguler Class Availability'!$J:$J,J98)&amp;""="","",CHAR(10)&amp;"asst: "&amp;PROPER(INDEX('Reguler Class Availability'!$J:$J,J98)&amp;""))))</f>
        <v>Kids  2/4  (50%)
Daffa</v>
      </c>
      <c r="C98" s="40" t="str">
        <f aca="false">IF(K98="","",IF(S98="Tidak dibuka","–",IF(INDEX('Reguler Class Availability'!$B:$B,K98)&amp;""="","Kosong",PROPER(INDEX('Reguler Class Availability'!$B:$B,K98)&amp;""))&amp;"  "&amp;IFERROR(--(INDEX('Reguler Class Availability'!$G:$G,K98)&amp;""),0)&amp;"/"&amp;IFERROR(--(INDEX('Reguler Class Availability'!$F:$F,K98)&amp;""),0)&amp;IF(IFERROR(--(INDEX('Reguler Class Availability'!$F:$F,K98)&amp;""),0)&gt;0,"  ("&amp;TEXT(IFERROR(--(INDEX('Reguler Class Availability'!$G:$G,K98)&amp;""),0)/IFERROR(--(INDEX('Reguler Class Availability'!$F:$F,K98)&amp;""),0),"0%")&amp;")","")&amp;CHAR(10)&amp;IF(INDEX('Reguler Class Availability'!$I:$I,K98)&amp;""="","coach: –",PROPER(INDEX('Reguler Class Availability'!$I:$I,K98)&amp;""))&amp;IF(INDEX('Reguler Class Availability'!$J:$J,K98)&amp;""="","",CHAR(10)&amp;"asst: "&amp;PROPER(INDEX('Reguler Class Availability'!$J:$J,K98)&amp;""))))</f>
        <v>Kids  4/4  (100%)
Tessa</v>
      </c>
      <c r="D98" s="40" t="str">
        <f aca="false">IF(L98="","",IF(T98="Tidak dibuka","–",IF(INDEX('Reguler Class Availability'!$B:$B,L98)&amp;""="","Kosong",PROPER(INDEX('Reguler Class Availability'!$B:$B,L98)&amp;""))&amp;"  "&amp;IFERROR(--(INDEX('Reguler Class Availability'!$G:$G,L98)&amp;""),0)&amp;"/"&amp;IFERROR(--(INDEX('Reguler Class Availability'!$F:$F,L98)&amp;""),0)&amp;IF(IFERROR(--(INDEX('Reguler Class Availability'!$F:$F,L98)&amp;""),0)&gt;0,"  ("&amp;TEXT(IFERROR(--(INDEX('Reguler Class Availability'!$G:$G,L98)&amp;""),0)/IFERROR(--(INDEX('Reguler Class Availability'!$F:$F,L98)&amp;""),0),"0%")&amp;")","")&amp;CHAR(10)&amp;IF(INDEX('Reguler Class Availability'!$I:$I,L98)&amp;""="","coach: –",PROPER(INDEX('Reguler Class Availability'!$I:$I,L98)&amp;""))&amp;IF(INDEX('Reguler Class Availability'!$J:$J,L98)&amp;""="","",CHAR(10)&amp;"asst: "&amp;PROPER(INDEX('Reguler Class Availability'!$J:$J,L98)&amp;""))))</f>
        <v>Kids  4/4  (100%)
Danti</v>
      </c>
      <c r="E98" s="40" t="str">
        <f aca="false">IF(M98="","",IF(U98="Tidak dibuka","–",IF(INDEX('Reguler Class Availability'!$B:$B,M98)&amp;""="","Kosong",PROPER(INDEX('Reguler Class Availability'!$B:$B,M98)&amp;""))&amp;"  "&amp;IFERROR(--(INDEX('Reguler Class Availability'!$G:$G,M98)&amp;""),0)&amp;"/"&amp;IFERROR(--(INDEX('Reguler Class Availability'!$F:$F,M98)&amp;""),0)&amp;IF(IFERROR(--(INDEX('Reguler Class Availability'!$F:$F,M98)&amp;""),0)&gt;0,"  ("&amp;TEXT(IFERROR(--(INDEX('Reguler Class Availability'!$G:$G,M98)&amp;""),0)/IFERROR(--(INDEX('Reguler Class Availability'!$F:$F,M98)&amp;""),0),"0%")&amp;")","")&amp;CHAR(10)&amp;IF(INDEX('Reguler Class Availability'!$I:$I,M98)&amp;""="","coach: –",PROPER(INDEX('Reguler Class Availability'!$I:$I,M98)&amp;""))&amp;IF(INDEX('Reguler Class Availability'!$J:$J,M98)&amp;""="","",CHAR(10)&amp;"asst: "&amp;PROPER(INDEX('Reguler Class Availability'!$J:$J,M98)&amp;""))))</f>
        <v>Kids  4/0
Nuky</v>
      </c>
      <c r="F98" s="40" t="str">
        <f aca="false">IF(N98="","",IF(V98="Tidak dibuka","–",IF(INDEX('Reguler Class Availability'!$B:$B,N98)&amp;""="","Kosong",PROPER(INDEX('Reguler Class Availability'!$B:$B,N98)&amp;""))&amp;"  "&amp;IFERROR(--(INDEX('Reguler Class Availability'!$G:$G,N98)&amp;""),0)&amp;"/"&amp;IFERROR(--(INDEX('Reguler Class Availability'!$F:$F,N98)&amp;""),0)&amp;IF(IFERROR(--(INDEX('Reguler Class Availability'!$F:$F,N98)&amp;""),0)&gt;0,"  ("&amp;TEXT(IFERROR(--(INDEX('Reguler Class Availability'!$G:$G,N98)&amp;""),0)/IFERROR(--(INDEX('Reguler Class Availability'!$F:$F,N98)&amp;""),0),"0%")&amp;")","")&amp;CHAR(10)&amp;IF(INDEX('Reguler Class Availability'!$I:$I,N98)&amp;""="","coach: –",PROPER(INDEX('Reguler Class Availability'!$I:$I,N98)&amp;""))&amp;IF(INDEX('Reguler Class Availability'!$J:$J,N98)&amp;""="","",CHAR(10)&amp;"asst: "&amp;PROPER(INDEX('Reguler Class Availability'!$J:$J,N98)&amp;""))))</f>
        <v>Kids  4/4  (100%)
Nuky</v>
      </c>
      <c r="G98" s="40" t="str">
        <f aca="false">IF(O98="","",IF(W98="Tidak dibuka","–",IF(INDEX('Reguler Class Availability'!$B:$B,O98)&amp;""="","Kosong",PROPER(INDEX('Reguler Class Availability'!$B:$B,O98)&amp;""))&amp;"  "&amp;IFERROR(--(INDEX('Reguler Class Availability'!$G:$G,O98)&amp;""),0)&amp;"/"&amp;IFERROR(--(INDEX('Reguler Class Availability'!$F:$F,O98)&amp;""),0)&amp;IF(IFERROR(--(INDEX('Reguler Class Availability'!$F:$F,O98)&amp;""),0)&gt;0,"  ("&amp;TEXT(IFERROR(--(INDEX('Reguler Class Availability'!$G:$G,O98)&amp;""),0)/IFERROR(--(INDEX('Reguler Class Availability'!$F:$F,O98)&amp;""),0),"0%")&amp;")","")&amp;CHAR(10)&amp;IF(INDEX('Reguler Class Availability'!$I:$I,O98)&amp;""="","coach: –",PROPER(INDEX('Reguler Class Availability'!$I:$I,O98)&amp;""))&amp;IF(INDEX('Reguler Class Availability'!$J:$J,O98)&amp;""="","",CHAR(10)&amp;"asst: "&amp;PROPER(INDEX('Reguler Class Availability'!$J:$J,O98)&amp;""))))</f>
        <v>Kids  4/4  (100%)
Eka</v>
      </c>
      <c r="H98" s="40" t="str">
        <f aca="false">IF(P98="","",IF(X98="Tidak dibuka","–",IF(INDEX('Reguler Class Availability'!$B:$B,P98)&amp;""="","Kosong",PROPER(INDEX('Reguler Class Availability'!$B:$B,P98)&amp;""))&amp;"  "&amp;IFERROR(--(INDEX('Reguler Class Availability'!$G:$G,P98)&amp;""),0)&amp;"/"&amp;IFERROR(--(INDEX('Reguler Class Availability'!$F:$F,P98)&amp;""),0)&amp;IF(IFERROR(--(INDEX('Reguler Class Availability'!$F:$F,P98)&amp;""),0)&gt;0,"  ("&amp;TEXT(IFERROR(--(INDEX('Reguler Class Availability'!$G:$G,P98)&amp;""),0)/IFERROR(--(INDEX('Reguler Class Availability'!$F:$F,P98)&amp;""),0),"0%")&amp;")","")&amp;CHAR(10)&amp;IF(INDEX('Reguler Class Availability'!$I:$I,P98)&amp;""="","coach: –",PROPER(INDEX('Reguler Class Availability'!$I:$I,P98)&amp;""))&amp;IF(INDEX('Reguler Class Availability'!$J:$J,P98)&amp;""="","",CHAR(10)&amp;"asst: "&amp;PROPER(INDEX('Reguler Class Availability'!$J:$J,P98)&amp;""))))</f>
        <v>Kids  4/4  (100%)
Surya</v>
      </c>
      <c r="J98" s="4" t="n">
        <f aca="false">IF($A98="","",IFERROR(MATCH($B$4&amp;"|- Lane 5 - "&amp;B$87&amp;"|"&amp;$A98,'Reguler Class Availability'!$L:$L,0),""))</f>
        <v>362</v>
      </c>
      <c r="K98" s="4" t="n">
        <f aca="false">IF($A98="","",IFERROR(MATCH($B$4&amp;"|- Lane 5 - "&amp;C$87&amp;"|"&amp;$A98,'Reguler Class Availability'!$L:$L,0),""))</f>
        <v>374</v>
      </c>
      <c r="L98" s="4" t="n">
        <f aca="false">IF($A98="","",IFERROR(MATCH($B$4&amp;"|- Lane 5 - "&amp;D$87&amp;"|"&amp;$A98,'Reguler Class Availability'!$L:$L,0),""))</f>
        <v>386</v>
      </c>
      <c r="M98" s="4" t="n">
        <f aca="false">IF($A98="","",IFERROR(MATCH($B$4&amp;"|- Lane 5 - "&amp;E$87&amp;"|"&amp;$A98,'Reguler Class Availability'!$L:$L,0),""))</f>
        <v>398</v>
      </c>
      <c r="N98" s="4" t="n">
        <f aca="false">IF($A98="","",IFERROR(MATCH($B$4&amp;"|- Lane 5 - "&amp;F$87&amp;"|"&amp;$A98,'Reguler Class Availability'!$L:$L,0),""))</f>
        <v>410</v>
      </c>
      <c r="O98" s="4" t="n">
        <f aca="false">IF($A98="","",IFERROR(MATCH($B$4&amp;"|- Lane 5 - "&amp;G$87&amp;"|"&amp;$A98,'Reguler Class Availability'!$L:$L,0),""))</f>
        <v>422</v>
      </c>
      <c r="P98" s="4" t="n">
        <f aca="false">IF($A98="","",IFERROR(MATCH($B$4&amp;"|- Lane 5 - "&amp;H$87&amp;"|"&amp;$A98,'Reguler Class Availability'!$L:$L,0),""))</f>
        <v>434</v>
      </c>
      <c r="R98" s="0" t="str">
        <f aca="false">IF(J98="","",IF(AND(IFERROR(--(INDEX('Reguler Class Availability'!$F:$F,J98)&amp;""),0)=0,IFERROR(--(INDEX('Reguler Class Availability'!$G:$G,J98)&amp;""),0)=0),IF(OR(INDEX('Reguler Class Availability'!$B:$B,J98)&amp;""&lt;&gt;"",INDEX('Reguler Class Availability'!$I:$I,J98)&amp;""&lt;&gt;""),"Tutup","Tidak dibuka"),IF(IFERROR(--(INDEX('Reguler Class Availability'!$G:$G,J98)&amp;""),0)&gt;IFERROR(--(INDEX('Reguler Class Availability'!$F:$F,J98)&amp;""),0),"Lebih",IF(IFERROR(--(INDEX('Reguler Class Availability'!$G:$G,J98)&amp;""),0)=IFERROR(--(INDEX('Reguler Class Availability'!$F:$F,J98)&amp;""),0),"Penuh",IF(IFERROR(--(INDEX('Reguler Class Availability'!$G:$G,J98)&amp;""),0)=0,IF(INDEX('Reguler Class Availability'!$B:$B,J98)&amp;""="","Kosong","Belum terisi"),IF(IFERROR(--(INDEX('Reguler Class Availability'!$G:$G,J98)&amp;""),0)/IFERROR(--(INDEX('Reguler Class Availability'!$F:$F,J98)&amp;""),0)&gt;=0.6,"Tinggi","Sebagian"))))))</f>
        <v>Sebagian</v>
      </c>
      <c r="S98" s="0" t="str">
        <f aca="false">IF(K98="","",IF(AND(IFERROR(--(INDEX('Reguler Class Availability'!$F:$F,K98)&amp;""),0)=0,IFERROR(--(INDEX('Reguler Class Availability'!$G:$G,K98)&amp;""),0)=0),IF(OR(INDEX('Reguler Class Availability'!$B:$B,K98)&amp;""&lt;&gt;"",INDEX('Reguler Class Availability'!$I:$I,K98)&amp;""&lt;&gt;""),"Tutup","Tidak dibuka"),IF(IFERROR(--(INDEX('Reguler Class Availability'!$G:$G,K98)&amp;""),0)&gt;IFERROR(--(INDEX('Reguler Class Availability'!$F:$F,K98)&amp;""),0),"Lebih",IF(IFERROR(--(INDEX('Reguler Class Availability'!$G:$G,K98)&amp;""),0)=IFERROR(--(INDEX('Reguler Class Availability'!$F:$F,K98)&amp;""),0),"Penuh",IF(IFERROR(--(INDEX('Reguler Class Availability'!$G:$G,K98)&amp;""),0)=0,IF(INDEX('Reguler Class Availability'!$B:$B,K98)&amp;""="","Kosong","Belum terisi"),IF(IFERROR(--(INDEX('Reguler Class Availability'!$G:$G,K98)&amp;""),0)/IFERROR(--(INDEX('Reguler Class Availability'!$F:$F,K98)&amp;""),0)&gt;=0.6,"Tinggi","Sebagian"))))))</f>
        <v>Penuh</v>
      </c>
      <c r="T98" s="0" t="str">
        <f aca="false">IF(L98="","",IF(AND(IFERROR(--(INDEX('Reguler Class Availability'!$F:$F,L98)&amp;""),0)=0,IFERROR(--(INDEX('Reguler Class Availability'!$G:$G,L98)&amp;""),0)=0),IF(OR(INDEX('Reguler Class Availability'!$B:$B,L98)&amp;""&lt;&gt;"",INDEX('Reguler Class Availability'!$I:$I,L98)&amp;""&lt;&gt;""),"Tutup","Tidak dibuka"),IF(IFERROR(--(INDEX('Reguler Class Availability'!$G:$G,L98)&amp;""),0)&gt;IFERROR(--(INDEX('Reguler Class Availability'!$F:$F,L98)&amp;""),0),"Lebih",IF(IFERROR(--(INDEX('Reguler Class Availability'!$G:$G,L98)&amp;""),0)=IFERROR(--(INDEX('Reguler Class Availability'!$F:$F,L98)&amp;""),0),"Penuh",IF(IFERROR(--(INDEX('Reguler Class Availability'!$G:$G,L98)&amp;""),0)=0,IF(INDEX('Reguler Class Availability'!$B:$B,L98)&amp;""="","Kosong","Belum terisi"),IF(IFERROR(--(INDEX('Reguler Class Availability'!$G:$G,L98)&amp;""),0)/IFERROR(--(INDEX('Reguler Class Availability'!$F:$F,L98)&amp;""),0)&gt;=0.6,"Tinggi","Sebagian"))))))</f>
        <v>Penuh</v>
      </c>
      <c r="U98" s="0" t="str">
        <f aca="false">IF(M98="","",IF(AND(IFERROR(--(INDEX('Reguler Class Availability'!$F:$F,M98)&amp;""),0)=0,IFERROR(--(INDEX('Reguler Class Availability'!$G:$G,M98)&amp;""),0)=0),IF(OR(INDEX('Reguler Class Availability'!$B:$B,M98)&amp;""&lt;&gt;"",INDEX('Reguler Class Availability'!$I:$I,M98)&amp;""&lt;&gt;""),"Tutup","Tidak dibuka"),IF(IFERROR(--(INDEX('Reguler Class Availability'!$G:$G,M98)&amp;""),0)&gt;IFERROR(--(INDEX('Reguler Class Availability'!$F:$F,M98)&amp;""),0),"Lebih",IF(IFERROR(--(INDEX('Reguler Class Availability'!$G:$G,M98)&amp;""),0)=IFERROR(--(INDEX('Reguler Class Availability'!$F:$F,M98)&amp;""),0),"Penuh",IF(IFERROR(--(INDEX('Reguler Class Availability'!$G:$G,M98)&amp;""),0)=0,IF(INDEX('Reguler Class Availability'!$B:$B,M98)&amp;""="","Kosong","Belum terisi"),IF(IFERROR(--(INDEX('Reguler Class Availability'!$G:$G,M98)&amp;""),0)/IFERROR(--(INDEX('Reguler Class Availability'!$F:$F,M98)&amp;""),0)&gt;=0.6,"Tinggi","Sebagian"))))))</f>
        <v>Lebih</v>
      </c>
      <c r="V98" s="0" t="str">
        <f aca="false">IF(N98="","",IF(AND(IFERROR(--(INDEX('Reguler Class Availability'!$F:$F,N98)&amp;""),0)=0,IFERROR(--(INDEX('Reguler Class Availability'!$G:$G,N98)&amp;""),0)=0),IF(OR(INDEX('Reguler Class Availability'!$B:$B,N98)&amp;""&lt;&gt;"",INDEX('Reguler Class Availability'!$I:$I,N98)&amp;""&lt;&gt;""),"Tutup","Tidak dibuka"),IF(IFERROR(--(INDEX('Reguler Class Availability'!$G:$G,N98)&amp;""),0)&gt;IFERROR(--(INDEX('Reguler Class Availability'!$F:$F,N98)&amp;""),0),"Lebih",IF(IFERROR(--(INDEX('Reguler Class Availability'!$G:$G,N98)&amp;""),0)=IFERROR(--(INDEX('Reguler Class Availability'!$F:$F,N98)&amp;""),0),"Penuh",IF(IFERROR(--(INDEX('Reguler Class Availability'!$G:$G,N98)&amp;""),0)=0,IF(INDEX('Reguler Class Availability'!$B:$B,N98)&amp;""="","Kosong","Belum terisi"),IF(IFERROR(--(INDEX('Reguler Class Availability'!$G:$G,N98)&amp;""),0)/IFERROR(--(INDEX('Reguler Class Availability'!$F:$F,N98)&amp;""),0)&gt;=0.6,"Tinggi","Sebagian"))))))</f>
        <v>Penuh</v>
      </c>
      <c r="W98" s="0" t="str">
        <f aca="false">IF(O98="","",IF(AND(IFERROR(--(INDEX('Reguler Class Availability'!$F:$F,O98)&amp;""),0)=0,IFERROR(--(INDEX('Reguler Class Availability'!$G:$G,O98)&amp;""),0)=0),IF(OR(INDEX('Reguler Class Availability'!$B:$B,O98)&amp;""&lt;&gt;"",INDEX('Reguler Class Availability'!$I:$I,O98)&amp;""&lt;&gt;""),"Tutup","Tidak dibuka"),IF(IFERROR(--(INDEX('Reguler Class Availability'!$G:$G,O98)&amp;""),0)&gt;IFERROR(--(INDEX('Reguler Class Availability'!$F:$F,O98)&amp;""),0),"Lebih",IF(IFERROR(--(INDEX('Reguler Class Availability'!$G:$G,O98)&amp;""),0)=IFERROR(--(INDEX('Reguler Class Availability'!$F:$F,O98)&amp;""),0),"Penuh",IF(IFERROR(--(INDEX('Reguler Class Availability'!$G:$G,O98)&amp;""),0)=0,IF(INDEX('Reguler Class Availability'!$B:$B,O98)&amp;""="","Kosong","Belum terisi"),IF(IFERROR(--(INDEX('Reguler Class Availability'!$G:$G,O98)&amp;""),0)/IFERROR(--(INDEX('Reguler Class Availability'!$F:$F,O98)&amp;""),0)&gt;=0.6,"Tinggi","Sebagian"))))))</f>
        <v>Penuh</v>
      </c>
      <c r="X98" s="0" t="str">
        <f aca="false">IF(P98="","",IF(AND(IFERROR(--(INDEX('Reguler Class Availability'!$F:$F,P98)&amp;""),0)=0,IFERROR(--(INDEX('Reguler Class Availability'!$G:$G,P98)&amp;""),0)=0),IF(OR(INDEX('Reguler Class Availability'!$B:$B,P98)&amp;""&lt;&gt;"",INDEX('Reguler Class Availability'!$I:$I,P98)&amp;""&lt;&gt;""),"Tutup","Tidak dibuka"),IF(IFERROR(--(INDEX('Reguler Class Availability'!$G:$G,P98)&amp;""),0)&gt;IFERROR(--(INDEX('Reguler Class Availability'!$F:$F,P98)&amp;""),0),"Lebih",IF(IFERROR(--(INDEX('Reguler Class Availability'!$G:$G,P98)&amp;""),0)=IFERROR(--(INDEX('Reguler Class Availability'!$F:$F,P98)&amp;""),0),"Penuh",IF(IFERROR(--(INDEX('Reguler Class Availability'!$G:$G,P98)&amp;""),0)=0,IF(INDEX('Reguler Class Availability'!$B:$B,P98)&amp;""="","Kosong","Belum terisi"),IF(IFERROR(--(INDEX('Reguler Class Availability'!$G:$G,P98)&amp;""),0)/IFERROR(--(INDEX('Reguler Class Availability'!$F:$F,P98)&amp;""),0)&gt;=0.6,"Tinggi","Sebagian"))))))</f>
        <v>Penuh</v>
      </c>
      <c r="Z98" s="4" t="s">
        <v>73</v>
      </c>
      <c r="AA98" s="4" t="n">
        <f aca="false">IF(COUNTIFS('Reguler Class Availability'!$L:$L,$B$4&amp;"|- Lane 2 - *|"&amp;Z98)&gt;0,1,0)</f>
        <v>1</v>
      </c>
      <c r="AB98" s="4" t="n">
        <f aca="false">AA98+AB97</f>
        <v>9</v>
      </c>
    </row>
    <row r="99" customFormat="false" ht="39.75" hidden="false" customHeight="true" outlineLevel="0" collapsed="false">
      <c r="A99" s="39" t="str">
        <f aca="false">IFERROR(INDEX($Z$242:$Z$301,MATCH(12,$AB$242:$AB$301,0)),"")</f>
        <v>17:00</v>
      </c>
      <c r="B99" s="40" t="str">
        <f aca="false">IF(J99="","",IF(R99="Tidak dibuka","–",IF(INDEX('Reguler Class Availability'!$B:$B,J99)&amp;""="","Kosong",PROPER(INDEX('Reguler Class Availability'!$B:$B,J99)&amp;""))&amp;"  "&amp;IFERROR(--(INDEX('Reguler Class Availability'!$G:$G,J99)&amp;""),0)&amp;"/"&amp;IFERROR(--(INDEX('Reguler Class Availability'!$F:$F,J99)&amp;""),0)&amp;IF(IFERROR(--(INDEX('Reguler Class Availability'!$F:$F,J99)&amp;""),0)&gt;0,"  ("&amp;TEXT(IFERROR(--(INDEX('Reguler Class Availability'!$G:$G,J99)&amp;""),0)/IFERROR(--(INDEX('Reguler Class Availability'!$F:$F,J99)&amp;""),0),"0%")&amp;")","")&amp;CHAR(10)&amp;IF(INDEX('Reguler Class Availability'!$I:$I,J99)&amp;""="","coach: –",PROPER(INDEX('Reguler Class Availability'!$I:$I,J99)&amp;""))&amp;IF(INDEX('Reguler Class Availability'!$J:$J,J99)&amp;""="","",CHAR(10)&amp;"asst: "&amp;PROPER(INDEX('Reguler Class Availability'!$J:$J,J99)&amp;""))))</f>
        <v>Kids  4/4  (100%)
Danti</v>
      </c>
      <c r="C99" s="40" t="str">
        <f aca="false">IF(K99="","",IF(S99="Tidak dibuka","–",IF(INDEX('Reguler Class Availability'!$B:$B,K99)&amp;""="","Kosong",PROPER(INDEX('Reguler Class Availability'!$B:$B,K99)&amp;""))&amp;"  "&amp;IFERROR(--(INDEX('Reguler Class Availability'!$G:$G,K99)&amp;""),0)&amp;"/"&amp;IFERROR(--(INDEX('Reguler Class Availability'!$F:$F,K99)&amp;""),0)&amp;IF(IFERROR(--(INDEX('Reguler Class Availability'!$F:$F,K99)&amp;""),0)&gt;0,"  ("&amp;TEXT(IFERROR(--(INDEX('Reguler Class Availability'!$G:$G,K99)&amp;""),0)/IFERROR(--(INDEX('Reguler Class Availability'!$F:$F,K99)&amp;""),0),"0%")&amp;")","")&amp;CHAR(10)&amp;IF(INDEX('Reguler Class Availability'!$I:$I,K99)&amp;""="","coach: –",PROPER(INDEX('Reguler Class Availability'!$I:$I,K99)&amp;""))&amp;IF(INDEX('Reguler Class Availability'!$J:$J,K99)&amp;""="","",CHAR(10)&amp;"asst: "&amp;PROPER(INDEX('Reguler Class Availability'!$J:$J,K99)&amp;""))))</f>
        <v>Little  4/4  (100%)
Dian</v>
      </c>
      <c r="D99" s="40" t="str">
        <f aca="false">IF(L99="","",IF(T99="Tidak dibuka","–",IF(INDEX('Reguler Class Availability'!$B:$B,L99)&amp;""="","Kosong",PROPER(INDEX('Reguler Class Availability'!$B:$B,L99)&amp;""))&amp;"  "&amp;IFERROR(--(INDEX('Reguler Class Availability'!$G:$G,L99)&amp;""),0)&amp;"/"&amp;IFERROR(--(INDEX('Reguler Class Availability'!$F:$F,L99)&amp;""),0)&amp;IF(IFERROR(--(INDEX('Reguler Class Availability'!$F:$F,L99)&amp;""),0)&gt;0,"  ("&amp;TEXT(IFERROR(--(INDEX('Reguler Class Availability'!$G:$G,L99)&amp;""),0)/IFERROR(--(INDEX('Reguler Class Availability'!$F:$F,L99)&amp;""),0),"0%")&amp;")","")&amp;CHAR(10)&amp;IF(INDEX('Reguler Class Availability'!$I:$I,L99)&amp;""="","coach: –",PROPER(INDEX('Reguler Class Availability'!$I:$I,L99)&amp;""))&amp;IF(INDEX('Reguler Class Availability'!$J:$J,L99)&amp;""="","",CHAR(10)&amp;"asst: "&amp;PROPER(INDEX('Reguler Class Availability'!$J:$J,L99)&amp;""))))</f>
        <v>Kids  4/4  (100%)
Nuky</v>
      </c>
      <c r="E99" s="40" t="str">
        <f aca="false">IF(M99="","",IF(U99="Tidak dibuka","–",IF(INDEX('Reguler Class Availability'!$B:$B,M99)&amp;""="","Kosong",PROPER(INDEX('Reguler Class Availability'!$B:$B,M99)&amp;""))&amp;"  "&amp;IFERROR(--(INDEX('Reguler Class Availability'!$G:$G,M99)&amp;""),0)&amp;"/"&amp;IFERROR(--(INDEX('Reguler Class Availability'!$F:$F,M99)&amp;""),0)&amp;IF(IFERROR(--(INDEX('Reguler Class Availability'!$F:$F,M99)&amp;""),0)&gt;0,"  ("&amp;TEXT(IFERROR(--(INDEX('Reguler Class Availability'!$G:$G,M99)&amp;""),0)/IFERROR(--(INDEX('Reguler Class Availability'!$F:$F,M99)&amp;""),0),"0%")&amp;")","")&amp;CHAR(10)&amp;IF(INDEX('Reguler Class Availability'!$I:$I,M99)&amp;""="","coach: –",PROPER(INDEX('Reguler Class Availability'!$I:$I,M99)&amp;""))&amp;IF(INDEX('Reguler Class Availability'!$J:$J,M99)&amp;""="","",CHAR(10)&amp;"asst: "&amp;PROPER(INDEX('Reguler Class Availability'!$J:$J,M99)&amp;""))))</f>
        <v>Kids  4/0
Eka</v>
      </c>
      <c r="F99" s="40" t="str">
        <f aca="false">IF(N99="","",IF(V99="Tidak dibuka","–",IF(INDEX('Reguler Class Availability'!$B:$B,N99)&amp;""="","Kosong",PROPER(INDEX('Reguler Class Availability'!$B:$B,N99)&amp;""))&amp;"  "&amp;IFERROR(--(INDEX('Reguler Class Availability'!$G:$G,N99)&amp;""),0)&amp;"/"&amp;IFERROR(--(INDEX('Reguler Class Availability'!$F:$F,N99)&amp;""),0)&amp;IF(IFERROR(--(INDEX('Reguler Class Availability'!$F:$F,N99)&amp;""),0)&gt;0,"  ("&amp;TEXT(IFERROR(--(INDEX('Reguler Class Availability'!$G:$G,N99)&amp;""),0)/IFERROR(--(INDEX('Reguler Class Availability'!$F:$F,N99)&amp;""),0),"0%")&amp;")","")&amp;CHAR(10)&amp;IF(INDEX('Reguler Class Availability'!$I:$I,N99)&amp;""="","coach: –",PROPER(INDEX('Reguler Class Availability'!$I:$I,N99)&amp;""))&amp;IF(INDEX('Reguler Class Availability'!$J:$J,N99)&amp;""="","",CHAR(10)&amp;"asst: "&amp;PROPER(INDEX('Reguler Class Availability'!$J:$J,N99)&amp;""))))</f>
        <v>Little  4/4  (100%)
Daffa</v>
      </c>
      <c r="G99" s="40" t="str">
        <f aca="false">IF(O99="","",IF(W99="Tidak dibuka","–",IF(INDEX('Reguler Class Availability'!$B:$B,O99)&amp;""="","Kosong",PROPER(INDEX('Reguler Class Availability'!$B:$B,O99)&amp;""))&amp;"  "&amp;IFERROR(--(INDEX('Reguler Class Availability'!$G:$G,O99)&amp;""),0)&amp;"/"&amp;IFERROR(--(INDEX('Reguler Class Availability'!$F:$F,O99)&amp;""),0)&amp;IF(IFERROR(--(INDEX('Reguler Class Availability'!$F:$F,O99)&amp;""),0)&gt;0,"  ("&amp;TEXT(IFERROR(--(INDEX('Reguler Class Availability'!$G:$G,O99)&amp;""),0)/IFERROR(--(INDEX('Reguler Class Availability'!$F:$F,O99)&amp;""),0),"0%")&amp;")","")&amp;CHAR(10)&amp;IF(INDEX('Reguler Class Availability'!$I:$I,O99)&amp;""="","coach: –",PROPER(INDEX('Reguler Class Availability'!$I:$I,O99)&amp;""))&amp;IF(INDEX('Reguler Class Availability'!$J:$J,O99)&amp;""="","",CHAR(10)&amp;"asst: "&amp;PROPER(INDEX('Reguler Class Availability'!$J:$J,O99)&amp;""))))</f>
        <v>Little  3/4  (75%)
Surya</v>
      </c>
      <c r="H99" s="40" t="str">
        <f aca="false">IF(P99="","",IF(X99="Tidak dibuka","–",IF(INDEX('Reguler Class Availability'!$B:$B,P99)&amp;""="","Kosong",PROPER(INDEX('Reguler Class Availability'!$B:$B,P99)&amp;""))&amp;"  "&amp;IFERROR(--(INDEX('Reguler Class Availability'!$G:$G,P99)&amp;""),0)&amp;"/"&amp;IFERROR(--(INDEX('Reguler Class Availability'!$F:$F,P99)&amp;""),0)&amp;IF(IFERROR(--(INDEX('Reguler Class Availability'!$F:$F,P99)&amp;""),0)&gt;0,"  ("&amp;TEXT(IFERROR(--(INDEX('Reguler Class Availability'!$G:$G,P99)&amp;""),0)/IFERROR(--(INDEX('Reguler Class Availability'!$F:$F,P99)&amp;""),0),"0%")&amp;")","")&amp;CHAR(10)&amp;IF(INDEX('Reguler Class Availability'!$I:$I,P99)&amp;""="","coach: –",PROPER(INDEX('Reguler Class Availability'!$I:$I,P99)&amp;""))&amp;IF(INDEX('Reguler Class Availability'!$J:$J,P99)&amp;""="","",CHAR(10)&amp;"asst: "&amp;PROPER(INDEX('Reguler Class Availability'!$J:$J,P99)&amp;""))))</f>
        <v>Kosong  0/4  (0%)
coach: –</v>
      </c>
      <c r="J99" s="4" t="n">
        <f aca="false">IF($A99="","",IFERROR(MATCH($B$4&amp;"|- Lane 5 - "&amp;B$87&amp;"|"&amp;$A99,'Reguler Class Availability'!$L:$L,0),""))</f>
        <v>363</v>
      </c>
      <c r="K99" s="4" t="n">
        <f aca="false">IF($A99="","",IFERROR(MATCH($B$4&amp;"|- Lane 5 - "&amp;C$87&amp;"|"&amp;$A99,'Reguler Class Availability'!$L:$L,0),""))</f>
        <v>375</v>
      </c>
      <c r="L99" s="4" t="n">
        <f aca="false">IF($A99="","",IFERROR(MATCH($B$4&amp;"|- Lane 5 - "&amp;D$87&amp;"|"&amp;$A99,'Reguler Class Availability'!$L:$L,0),""))</f>
        <v>387</v>
      </c>
      <c r="M99" s="4" t="n">
        <f aca="false">IF($A99="","",IFERROR(MATCH($B$4&amp;"|- Lane 5 - "&amp;E$87&amp;"|"&amp;$A99,'Reguler Class Availability'!$L:$L,0),""))</f>
        <v>399</v>
      </c>
      <c r="N99" s="4" t="n">
        <f aca="false">IF($A99="","",IFERROR(MATCH($B$4&amp;"|- Lane 5 - "&amp;F$87&amp;"|"&amp;$A99,'Reguler Class Availability'!$L:$L,0),""))</f>
        <v>411</v>
      </c>
      <c r="O99" s="4" t="n">
        <f aca="false">IF($A99="","",IFERROR(MATCH($B$4&amp;"|- Lane 5 - "&amp;G$87&amp;"|"&amp;$A99,'Reguler Class Availability'!$L:$L,0),""))</f>
        <v>423</v>
      </c>
      <c r="P99" s="4" t="n">
        <f aca="false">IF($A99="","",IFERROR(MATCH($B$4&amp;"|- Lane 5 - "&amp;H$87&amp;"|"&amp;$A99,'Reguler Class Availability'!$L:$L,0),""))</f>
        <v>435</v>
      </c>
      <c r="R99" s="0" t="str">
        <f aca="false">IF(J99="","",IF(AND(IFERROR(--(INDEX('Reguler Class Availability'!$F:$F,J99)&amp;""),0)=0,IFERROR(--(INDEX('Reguler Class Availability'!$G:$G,J99)&amp;""),0)=0),IF(OR(INDEX('Reguler Class Availability'!$B:$B,J99)&amp;""&lt;&gt;"",INDEX('Reguler Class Availability'!$I:$I,J99)&amp;""&lt;&gt;""),"Tutup","Tidak dibuka"),IF(IFERROR(--(INDEX('Reguler Class Availability'!$G:$G,J99)&amp;""),0)&gt;IFERROR(--(INDEX('Reguler Class Availability'!$F:$F,J99)&amp;""),0),"Lebih",IF(IFERROR(--(INDEX('Reguler Class Availability'!$G:$G,J99)&amp;""),0)=IFERROR(--(INDEX('Reguler Class Availability'!$F:$F,J99)&amp;""),0),"Penuh",IF(IFERROR(--(INDEX('Reguler Class Availability'!$G:$G,J99)&amp;""),0)=0,IF(INDEX('Reguler Class Availability'!$B:$B,J99)&amp;""="","Kosong","Belum terisi"),IF(IFERROR(--(INDEX('Reguler Class Availability'!$G:$G,J99)&amp;""),0)/IFERROR(--(INDEX('Reguler Class Availability'!$F:$F,J99)&amp;""),0)&gt;=0.6,"Tinggi","Sebagian"))))))</f>
        <v>Penuh</v>
      </c>
      <c r="S99" s="0" t="str">
        <f aca="false">IF(K99="","",IF(AND(IFERROR(--(INDEX('Reguler Class Availability'!$F:$F,K99)&amp;""),0)=0,IFERROR(--(INDEX('Reguler Class Availability'!$G:$G,K99)&amp;""),0)=0),IF(OR(INDEX('Reguler Class Availability'!$B:$B,K99)&amp;""&lt;&gt;"",INDEX('Reguler Class Availability'!$I:$I,K99)&amp;""&lt;&gt;""),"Tutup","Tidak dibuka"),IF(IFERROR(--(INDEX('Reguler Class Availability'!$G:$G,K99)&amp;""),0)&gt;IFERROR(--(INDEX('Reguler Class Availability'!$F:$F,K99)&amp;""),0),"Lebih",IF(IFERROR(--(INDEX('Reguler Class Availability'!$G:$G,K99)&amp;""),0)=IFERROR(--(INDEX('Reguler Class Availability'!$F:$F,K99)&amp;""),0),"Penuh",IF(IFERROR(--(INDEX('Reguler Class Availability'!$G:$G,K99)&amp;""),0)=0,IF(INDEX('Reguler Class Availability'!$B:$B,K99)&amp;""="","Kosong","Belum terisi"),IF(IFERROR(--(INDEX('Reguler Class Availability'!$G:$G,K99)&amp;""),0)/IFERROR(--(INDEX('Reguler Class Availability'!$F:$F,K99)&amp;""),0)&gt;=0.6,"Tinggi","Sebagian"))))))</f>
        <v>Penuh</v>
      </c>
      <c r="T99" s="0" t="str">
        <f aca="false">IF(L99="","",IF(AND(IFERROR(--(INDEX('Reguler Class Availability'!$F:$F,L99)&amp;""),0)=0,IFERROR(--(INDEX('Reguler Class Availability'!$G:$G,L99)&amp;""),0)=0),IF(OR(INDEX('Reguler Class Availability'!$B:$B,L99)&amp;""&lt;&gt;"",INDEX('Reguler Class Availability'!$I:$I,L99)&amp;""&lt;&gt;""),"Tutup","Tidak dibuka"),IF(IFERROR(--(INDEX('Reguler Class Availability'!$G:$G,L99)&amp;""),0)&gt;IFERROR(--(INDEX('Reguler Class Availability'!$F:$F,L99)&amp;""),0),"Lebih",IF(IFERROR(--(INDEX('Reguler Class Availability'!$G:$G,L99)&amp;""),0)=IFERROR(--(INDEX('Reguler Class Availability'!$F:$F,L99)&amp;""),0),"Penuh",IF(IFERROR(--(INDEX('Reguler Class Availability'!$G:$G,L99)&amp;""),0)=0,IF(INDEX('Reguler Class Availability'!$B:$B,L99)&amp;""="","Kosong","Belum terisi"),IF(IFERROR(--(INDEX('Reguler Class Availability'!$G:$G,L99)&amp;""),0)/IFERROR(--(INDEX('Reguler Class Availability'!$F:$F,L99)&amp;""),0)&gt;=0.6,"Tinggi","Sebagian"))))))</f>
        <v>Penuh</v>
      </c>
      <c r="U99" s="0" t="str">
        <f aca="false">IF(M99="","",IF(AND(IFERROR(--(INDEX('Reguler Class Availability'!$F:$F,M99)&amp;""),0)=0,IFERROR(--(INDEX('Reguler Class Availability'!$G:$G,M99)&amp;""),0)=0),IF(OR(INDEX('Reguler Class Availability'!$B:$B,M99)&amp;""&lt;&gt;"",INDEX('Reguler Class Availability'!$I:$I,M99)&amp;""&lt;&gt;""),"Tutup","Tidak dibuka"),IF(IFERROR(--(INDEX('Reguler Class Availability'!$G:$G,M99)&amp;""),0)&gt;IFERROR(--(INDEX('Reguler Class Availability'!$F:$F,M99)&amp;""),0),"Lebih",IF(IFERROR(--(INDEX('Reguler Class Availability'!$G:$G,M99)&amp;""),0)=IFERROR(--(INDEX('Reguler Class Availability'!$F:$F,M99)&amp;""),0),"Penuh",IF(IFERROR(--(INDEX('Reguler Class Availability'!$G:$G,M99)&amp;""),0)=0,IF(INDEX('Reguler Class Availability'!$B:$B,M99)&amp;""="","Kosong","Belum terisi"),IF(IFERROR(--(INDEX('Reguler Class Availability'!$G:$G,M99)&amp;""),0)/IFERROR(--(INDEX('Reguler Class Availability'!$F:$F,M99)&amp;""),0)&gt;=0.6,"Tinggi","Sebagian"))))))</f>
        <v>Lebih</v>
      </c>
      <c r="V99" s="0" t="str">
        <f aca="false">IF(N99="","",IF(AND(IFERROR(--(INDEX('Reguler Class Availability'!$F:$F,N99)&amp;""),0)=0,IFERROR(--(INDEX('Reguler Class Availability'!$G:$G,N99)&amp;""),0)=0),IF(OR(INDEX('Reguler Class Availability'!$B:$B,N99)&amp;""&lt;&gt;"",INDEX('Reguler Class Availability'!$I:$I,N99)&amp;""&lt;&gt;""),"Tutup","Tidak dibuka"),IF(IFERROR(--(INDEX('Reguler Class Availability'!$G:$G,N99)&amp;""),0)&gt;IFERROR(--(INDEX('Reguler Class Availability'!$F:$F,N99)&amp;""),0),"Lebih",IF(IFERROR(--(INDEX('Reguler Class Availability'!$G:$G,N99)&amp;""),0)=IFERROR(--(INDEX('Reguler Class Availability'!$F:$F,N99)&amp;""),0),"Penuh",IF(IFERROR(--(INDEX('Reguler Class Availability'!$G:$G,N99)&amp;""),0)=0,IF(INDEX('Reguler Class Availability'!$B:$B,N99)&amp;""="","Kosong","Belum terisi"),IF(IFERROR(--(INDEX('Reguler Class Availability'!$G:$G,N99)&amp;""),0)/IFERROR(--(INDEX('Reguler Class Availability'!$F:$F,N99)&amp;""),0)&gt;=0.6,"Tinggi","Sebagian"))))))</f>
        <v>Penuh</v>
      </c>
      <c r="W99" s="0" t="str">
        <f aca="false">IF(O99="","",IF(AND(IFERROR(--(INDEX('Reguler Class Availability'!$F:$F,O99)&amp;""),0)=0,IFERROR(--(INDEX('Reguler Class Availability'!$G:$G,O99)&amp;""),0)=0),IF(OR(INDEX('Reguler Class Availability'!$B:$B,O99)&amp;""&lt;&gt;"",INDEX('Reguler Class Availability'!$I:$I,O99)&amp;""&lt;&gt;""),"Tutup","Tidak dibuka"),IF(IFERROR(--(INDEX('Reguler Class Availability'!$G:$G,O99)&amp;""),0)&gt;IFERROR(--(INDEX('Reguler Class Availability'!$F:$F,O99)&amp;""),0),"Lebih",IF(IFERROR(--(INDEX('Reguler Class Availability'!$G:$G,O99)&amp;""),0)=IFERROR(--(INDEX('Reguler Class Availability'!$F:$F,O99)&amp;""),0),"Penuh",IF(IFERROR(--(INDEX('Reguler Class Availability'!$G:$G,O99)&amp;""),0)=0,IF(INDEX('Reguler Class Availability'!$B:$B,O99)&amp;""="","Kosong","Belum terisi"),IF(IFERROR(--(INDEX('Reguler Class Availability'!$G:$G,O99)&amp;""),0)/IFERROR(--(INDEX('Reguler Class Availability'!$F:$F,O99)&amp;""),0)&gt;=0.6,"Tinggi","Sebagian"))))))</f>
        <v>Tinggi</v>
      </c>
      <c r="X99" s="0" t="str">
        <f aca="false">IF(P99="","",IF(AND(IFERROR(--(INDEX('Reguler Class Availability'!$F:$F,P99)&amp;""),0)=0,IFERROR(--(INDEX('Reguler Class Availability'!$G:$G,P99)&amp;""),0)=0),IF(OR(INDEX('Reguler Class Availability'!$B:$B,P99)&amp;""&lt;&gt;"",INDEX('Reguler Class Availability'!$I:$I,P99)&amp;""&lt;&gt;""),"Tutup","Tidak dibuka"),IF(IFERROR(--(INDEX('Reguler Class Availability'!$G:$G,P99)&amp;""),0)&gt;IFERROR(--(INDEX('Reguler Class Availability'!$F:$F,P99)&amp;""),0),"Lebih",IF(IFERROR(--(INDEX('Reguler Class Availability'!$G:$G,P99)&amp;""),0)=IFERROR(--(INDEX('Reguler Class Availability'!$F:$F,P99)&amp;""),0),"Penuh",IF(IFERROR(--(INDEX('Reguler Class Availability'!$G:$G,P99)&amp;""),0)=0,IF(INDEX('Reguler Class Availability'!$B:$B,P99)&amp;""="","Kosong","Belum terisi"),IF(IFERROR(--(INDEX('Reguler Class Availability'!$G:$G,P99)&amp;""),0)/IFERROR(--(INDEX('Reguler Class Availability'!$F:$F,P99)&amp;""),0)&gt;=0.6,"Tinggi","Sebagian"))))))</f>
        <v>Kosong</v>
      </c>
      <c r="Z99" s="4" t="s">
        <v>74</v>
      </c>
      <c r="AA99" s="4" t="n">
        <f aca="false">IF(COUNTIFS('Reguler Class Availability'!$L:$L,$B$4&amp;"|- Lane 2 - *|"&amp;Z99)&gt;0,1,0)</f>
        <v>0</v>
      </c>
      <c r="AB99" s="4" t="n">
        <f aca="false">AA99+AB98</f>
        <v>9</v>
      </c>
    </row>
    <row r="100" customFormat="false" ht="39.75" hidden="false" customHeight="true" outlineLevel="0" collapsed="false">
      <c r="A100" s="39" t="str">
        <f aca="false">IFERROR(INDEX($Z$242:$Z$301,MATCH(13,$AB$242:$AB$301,0)),"")</f>
        <v/>
      </c>
      <c r="B100" s="40" t="str">
        <f aca="false">IF(J100="","",IF(R100="Tidak dibuka","–",IF(INDEX('Reguler Class Availability'!$B:$B,J100)&amp;""="","Kosong",PROPER(INDEX('Reguler Class Availability'!$B:$B,J100)&amp;""))&amp;"  "&amp;IFERROR(--(INDEX('Reguler Class Availability'!$G:$G,J100)&amp;""),0)&amp;"/"&amp;IFERROR(--(INDEX('Reguler Class Availability'!$F:$F,J100)&amp;""),0)&amp;IF(IFERROR(--(INDEX('Reguler Class Availability'!$F:$F,J100)&amp;""),0)&gt;0,"  ("&amp;TEXT(IFERROR(--(INDEX('Reguler Class Availability'!$G:$G,J100)&amp;""),0)/IFERROR(--(INDEX('Reguler Class Availability'!$F:$F,J100)&amp;""),0),"0%")&amp;")","")&amp;CHAR(10)&amp;IF(INDEX('Reguler Class Availability'!$I:$I,J100)&amp;""="","coach: –",PROPER(INDEX('Reguler Class Availability'!$I:$I,J100)&amp;""))&amp;IF(INDEX('Reguler Class Availability'!$J:$J,J100)&amp;""="","",CHAR(10)&amp;"asst: "&amp;PROPER(INDEX('Reguler Class Availability'!$J:$J,J100)&amp;""))))</f>
        <v/>
      </c>
      <c r="C100" s="40" t="str">
        <f aca="false">IF(K100="","",IF(S100="Tidak dibuka","–",IF(INDEX('Reguler Class Availability'!$B:$B,K100)&amp;""="","Kosong",PROPER(INDEX('Reguler Class Availability'!$B:$B,K100)&amp;""))&amp;"  "&amp;IFERROR(--(INDEX('Reguler Class Availability'!$G:$G,K100)&amp;""),0)&amp;"/"&amp;IFERROR(--(INDEX('Reguler Class Availability'!$F:$F,K100)&amp;""),0)&amp;IF(IFERROR(--(INDEX('Reguler Class Availability'!$F:$F,K100)&amp;""),0)&gt;0,"  ("&amp;TEXT(IFERROR(--(INDEX('Reguler Class Availability'!$G:$G,K100)&amp;""),0)/IFERROR(--(INDEX('Reguler Class Availability'!$F:$F,K100)&amp;""),0),"0%")&amp;")","")&amp;CHAR(10)&amp;IF(INDEX('Reguler Class Availability'!$I:$I,K100)&amp;""="","coach: –",PROPER(INDEX('Reguler Class Availability'!$I:$I,K100)&amp;""))&amp;IF(INDEX('Reguler Class Availability'!$J:$J,K100)&amp;""="","",CHAR(10)&amp;"asst: "&amp;PROPER(INDEX('Reguler Class Availability'!$J:$J,K100)&amp;""))))</f>
        <v/>
      </c>
      <c r="D100" s="40" t="str">
        <f aca="false">IF(L100="","",IF(T100="Tidak dibuka","–",IF(INDEX('Reguler Class Availability'!$B:$B,L100)&amp;""="","Kosong",PROPER(INDEX('Reguler Class Availability'!$B:$B,L100)&amp;""))&amp;"  "&amp;IFERROR(--(INDEX('Reguler Class Availability'!$G:$G,L100)&amp;""),0)&amp;"/"&amp;IFERROR(--(INDEX('Reguler Class Availability'!$F:$F,L100)&amp;""),0)&amp;IF(IFERROR(--(INDEX('Reguler Class Availability'!$F:$F,L100)&amp;""),0)&gt;0,"  ("&amp;TEXT(IFERROR(--(INDEX('Reguler Class Availability'!$G:$G,L100)&amp;""),0)/IFERROR(--(INDEX('Reguler Class Availability'!$F:$F,L100)&amp;""),0),"0%")&amp;")","")&amp;CHAR(10)&amp;IF(INDEX('Reguler Class Availability'!$I:$I,L100)&amp;""="","coach: –",PROPER(INDEX('Reguler Class Availability'!$I:$I,L100)&amp;""))&amp;IF(INDEX('Reguler Class Availability'!$J:$J,L100)&amp;""="","",CHAR(10)&amp;"asst: "&amp;PROPER(INDEX('Reguler Class Availability'!$J:$J,L100)&amp;""))))</f>
        <v/>
      </c>
      <c r="E100" s="40" t="str">
        <f aca="false">IF(M100="","",IF(U100="Tidak dibuka","–",IF(INDEX('Reguler Class Availability'!$B:$B,M100)&amp;""="","Kosong",PROPER(INDEX('Reguler Class Availability'!$B:$B,M100)&amp;""))&amp;"  "&amp;IFERROR(--(INDEX('Reguler Class Availability'!$G:$G,M100)&amp;""),0)&amp;"/"&amp;IFERROR(--(INDEX('Reguler Class Availability'!$F:$F,M100)&amp;""),0)&amp;IF(IFERROR(--(INDEX('Reguler Class Availability'!$F:$F,M100)&amp;""),0)&gt;0,"  ("&amp;TEXT(IFERROR(--(INDEX('Reguler Class Availability'!$G:$G,M100)&amp;""),0)/IFERROR(--(INDEX('Reguler Class Availability'!$F:$F,M100)&amp;""),0),"0%")&amp;")","")&amp;CHAR(10)&amp;IF(INDEX('Reguler Class Availability'!$I:$I,M100)&amp;""="","coach: –",PROPER(INDEX('Reguler Class Availability'!$I:$I,M100)&amp;""))&amp;IF(INDEX('Reguler Class Availability'!$J:$J,M100)&amp;""="","",CHAR(10)&amp;"asst: "&amp;PROPER(INDEX('Reguler Class Availability'!$J:$J,M100)&amp;""))))</f>
        <v/>
      </c>
      <c r="F100" s="40" t="str">
        <f aca="false">IF(N100="","",IF(V100="Tidak dibuka","–",IF(INDEX('Reguler Class Availability'!$B:$B,N100)&amp;""="","Kosong",PROPER(INDEX('Reguler Class Availability'!$B:$B,N100)&amp;""))&amp;"  "&amp;IFERROR(--(INDEX('Reguler Class Availability'!$G:$G,N100)&amp;""),0)&amp;"/"&amp;IFERROR(--(INDEX('Reguler Class Availability'!$F:$F,N100)&amp;""),0)&amp;IF(IFERROR(--(INDEX('Reguler Class Availability'!$F:$F,N100)&amp;""),0)&gt;0,"  ("&amp;TEXT(IFERROR(--(INDEX('Reguler Class Availability'!$G:$G,N100)&amp;""),0)/IFERROR(--(INDEX('Reguler Class Availability'!$F:$F,N100)&amp;""),0),"0%")&amp;")","")&amp;CHAR(10)&amp;IF(INDEX('Reguler Class Availability'!$I:$I,N100)&amp;""="","coach: –",PROPER(INDEX('Reguler Class Availability'!$I:$I,N100)&amp;""))&amp;IF(INDEX('Reguler Class Availability'!$J:$J,N100)&amp;""="","",CHAR(10)&amp;"asst: "&amp;PROPER(INDEX('Reguler Class Availability'!$J:$J,N100)&amp;""))))</f>
        <v/>
      </c>
      <c r="G100" s="40" t="str">
        <f aca="false">IF(O100="","",IF(W100="Tidak dibuka","–",IF(INDEX('Reguler Class Availability'!$B:$B,O100)&amp;""="","Kosong",PROPER(INDEX('Reguler Class Availability'!$B:$B,O100)&amp;""))&amp;"  "&amp;IFERROR(--(INDEX('Reguler Class Availability'!$G:$G,O100)&amp;""),0)&amp;"/"&amp;IFERROR(--(INDEX('Reguler Class Availability'!$F:$F,O100)&amp;""),0)&amp;IF(IFERROR(--(INDEX('Reguler Class Availability'!$F:$F,O100)&amp;""),0)&gt;0,"  ("&amp;TEXT(IFERROR(--(INDEX('Reguler Class Availability'!$G:$G,O100)&amp;""),0)/IFERROR(--(INDEX('Reguler Class Availability'!$F:$F,O100)&amp;""),0),"0%")&amp;")","")&amp;CHAR(10)&amp;IF(INDEX('Reguler Class Availability'!$I:$I,O100)&amp;""="","coach: –",PROPER(INDEX('Reguler Class Availability'!$I:$I,O100)&amp;""))&amp;IF(INDEX('Reguler Class Availability'!$J:$J,O100)&amp;""="","",CHAR(10)&amp;"asst: "&amp;PROPER(INDEX('Reguler Class Availability'!$J:$J,O100)&amp;""))))</f>
        <v/>
      </c>
      <c r="H100" s="40" t="str">
        <f aca="false">IF(P100="","",IF(X100="Tidak dibuka","–",IF(INDEX('Reguler Class Availability'!$B:$B,P100)&amp;""="","Kosong",PROPER(INDEX('Reguler Class Availability'!$B:$B,P100)&amp;""))&amp;"  "&amp;IFERROR(--(INDEX('Reguler Class Availability'!$G:$G,P100)&amp;""),0)&amp;"/"&amp;IFERROR(--(INDEX('Reguler Class Availability'!$F:$F,P100)&amp;""),0)&amp;IF(IFERROR(--(INDEX('Reguler Class Availability'!$F:$F,P100)&amp;""),0)&gt;0,"  ("&amp;TEXT(IFERROR(--(INDEX('Reguler Class Availability'!$G:$G,P100)&amp;""),0)/IFERROR(--(INDEX('Reguler Class Availability'!$F:$F,P100)&amp;""),0),"0%")&amp;")","")&amp;CHAR(10)&amp;IF(INDEX('Reguler Class Availability'!$I:$I,P100)&amp;""="","coach: –",PROPER(INDEX('Reguler Class Availability'!$I:$I,P100)&amp;""))&amp;IF(INDEX('Reguler Class Availability'!$J:$J,P100)&amp;""="","",CHAR(10)&amp;"asst: "&amp;PROPER(INDEX('Reguler Class Availability'!$J:$J,P100)&amp;""))))</f>
        <v/>
      </c>
      <c r="J100" s="0" t="str">
        <f aca="false">IF($A100="","",IFERROR(MATCH($B$4&amp;"|- Lane 5 - "&amp;B$87&amp;"|"&amp;$A100,'Reguler Class Availability'!$L:$L,0),""))</f>
        <v/>
      </c>
      <c r="K100" s="0" t="str">
        <f aca="false">IF($A100="","",IFERROR(MATCH($B$4&amp;"|- Lane 5 - "&amp;C$87&amp;"|"&amp;$A100,'Reguler Class Availability'!$L:$L,0),""))</f>
        <v/>
      </c>
      <c r="L100" s="0" t="str">
        <f aca="false">IF($A100="","",IFERROR(MATCH($B$4&amp;"|- Lane 5 - "&amp;D$87&amp;"|"&amp;$A100,'Reguler Class Availability'!$L:$L,0),""))</f>
        <v/>
      </c>
      <c r="M100" s="0" t="str">
        <f aca="false">IF($A100="","",IFERROR(MATCH($B$4&amp;"|- Lane 5 - "&amp;E$87&amp;"|"&amp;$A100,'Reguler Class Availability'!$L:$L,0),""))</f>
        <v/>
      </c>
      <c r="N100" s="0" t="str">
        <f aca="false">IF($A100="","",IFERROR(MATCH($B$4&amp;"|- Lane 5 - "&amp;F$87&amp;"|"&amp;$A100,'Reguler Class Availability'!$L:$L,0),""))</f>
        <v/>
      </c>
      <c r="O100" s="0" t="str">
        <f aca="false">IF($A100="","",IFERROR(MATCH($B$4&amp;"|- Lane 5 - "&amp;G$87&amp;"|"&amp;$A100,'Reguler Class Availability'!$L:$L,0),""))</f>
        <v/>
      </c>
      <c r="P100" s="0" t="str">
        <f aca="false">IF($A100="","",IFERROR(MATCH($B$4&amp;"|- Lane 5 - "&amp;H$87&amp;"|"&amp;$A100,'Reguler Class Availability'!$L:$L,0),""))</f>
        <v/>
      </c>
      <c r="R100" s="0" t="str">
        <f aca="false">IF(J100="","",IF(AND(IFERROR(--(INDEX('Reguler Class Availability'!$F:$F,J100)&amp;""),0)=0,IFERROR(--(INDEX('Reguler Class Availability'!$G:$G,J100)&amp;""),0)=0),IF(OR(INDEX('Reguler Class Availability'!$B:$B,J100)&amp;""&lt;&gt;"",INDEX('Reguler Class Availability'!$I:$I,J100)&amp;""&lt;&gt;""),"Tutup","Tidak dibuka"),IF(IFERROR(--(INDEX('Reguler Class Availability'!$G:$G,J100)&amp;""),0)&gt;IFERROR(--(INDEX('Reguler Class Availability'!$F:$F,J100)&amp;""),0),"Lebih",IF(IFERROR(--(INDEX('Reguler Class Availability'!$G:$G,J100)&amp;""),0)=IFERROR(--(INDEX('Reguler Class Availability'!$F:$F,J100)&amp;""),0),"Penuh",IF(IFERROR(--(INDEX('Reguler Class Availability'!$G:$G,J100)&amp;""),0)=0,IF(INDEX('Reguler Class Availability'!$B:$B,J100)&amp;""="","Kosong","Belum terisi"),IF(IFERROR(--(INDEX('Reguler Class Availability'!$G:$G,J100)&amp;""),0)/IFERROR(--(INDEX('Reguler Class Availability'!$F:$F,J100)&amp;""),0)&gt;=0.6,"Tinggi","Sebagian"))))))</f>
        <v/>
      </c>
      <c r="S100" s="0" t="str">
        <f aca="false">IF(K100="","",IF(AND(IFERROR(--(INDEX('Reguler Class Availability'!$F:$F,K100)&amp;""),0)=0,IFERROR(--(INDEX('Reguler Class Availability'!$G:$G,K100)&amp;""),0)=0),IF(OR(INDEX('Reguler Class Availability'!$B:$B,K100)&amp;""&lt;&gt;"",INDEX('Reguler Class Availability'!$I:$I,K100)&amp;""&lt;&gt;""),"Tutup","Tidak dibuka"),IF(IFERROR(--(INDEX('Reguler Class Availability'!$G:$G,K100)&amp;""),0)&gt;IFERROR(--(INDEX('Reguler Class Availability'!$F:$F,K100)&amp;""),0),"Lebih",IF(IFERROR(--(INDEX('Reguler Class Availability'!$G:$G,K100)&amp;""),0)=IFERROR(--(INDEX('Reguler Class Availability'!$F:$F,K100)&amp;""),0),"Penuh",IF(IFERROR(--(INDEX('Reguler Class Availability'!$G:$G,K100)&amp;""),0)=0,IF(INDEX('Reguler Class Availability'!$B:$B,K100)&amp;""="","Kosong","Belum terisi"),IF(IFERROR(--(INDEX('Reguler Class Availability'!$G:$G,K100)&amp;""),0)/IFERROR(--(INDEX('Reguler Class Availability'!$F:$F,K100)&amp;""),0)&gt;=0.6,"Tinggi","Sebagian"))))))</f>
        <v/>
      </c>
      <c r="T100" s="0" t="str">
        <f aca="false">IF(L100="","",IF(AND(IFERROR(--(INDEX('Reguler Class Availability'!$F:$F,L100)&amp;""),0)=0,IFERROR(--(INDEX('Reguler Class Availability'!$G:$G,L100)&amp;""),0)=0),IF(OR(INDEX('Reguler Class Availability'!$B:$B,L100)&amp;""&lt;&gt;"",INDEX('Reguler Class Availability'!$I:$I,L100)&amp;""&lt;&gt;""),"Tutup","Tidak dibuka"),IF(IFERROR(--(INDEX('Reguler Class Availability'!$G:$G,L100)&amp;""),0)&gt;IFERROR(--(INDEX('Reguler Class Availability'!$F:$F,L100)&amp;""),0),"Lebih",IF(IFERROR(--(INDEX('Reguler Class Availability'!$G:$G,L100)&amp;""),0)=IFERROR(--(INDEX('Reguler Class Availability'!$F:$F,L100)&amp;""),0),"Penuh",IF(IFERROR(--(INDEX('Reguler Class Availability'!$G:$G,L100)&amp;""),0)=0,IF(INDEX('Reguler Class Availability'!$B:$B,L100)&amp;""="","Kosong","Belum terisi"),IF(IFERROR(--(INDEX('Reguler Class Availability'!$G:$G,L100)&amp;""),0)/IFERROR(--(INDEX('Reguler Class Availability'!$F:$F,L100)&amp;""),0)&gt;=0.6,"Tinggi","Sebagian"))))))</f>
        <v/>
      </c>
      <c r="U100" s="0" t="str">
        <f aca="false">IF(M100="","",IF(AND(IFERROR(--(INDEX('Reguler Class Availability'!$F:$F,M100)&amp;""),0)=0,IFERROR(--(INDEX('Reguler Class Availability'!$G:$G,M100)&amp;""),0)=0),IF(OR(INDEX('Reguler Class Availability'!$B:$B,M100)&amp;""&lt;&gt;"",INDEX('Reguler Class Availability'!$I:$I,M100)&amp;""&lt;&gt;""),"Tutup","Tidak dibuka"),IF(IFERROR(--(INDEX('Reguler Class Availability'!$G:$G,M100)&amp;""),0)&gt;IFERROR(--(INDEX('Reguler Class Availability'!$F:$F,M100)&amp;""),0),"Lebih",IF(IFERROR(--(INDEX('Reguler Class Availability'!$G:$G,M100)&amp;""),0)=IFERROR(--(INDEX('Reguler Class Availability'!$F:$F,M100)&amp;""),0),"Penuh",IF(IFERROR(--(INDEX('Reguler Class Availability'!$G:$G,M100)&amp;""),0)=0,IF(INDEX('Reguler Class Availability'!$B:$B,M100)&amp;""="","Kosong","Belum terisi"),IF(IFERROR(--(INDEX('Reguler Class Availability'!$G:$G,M100)&amp;""),0)/IFERROR(--(INDEX('Reguler Class Availability'!$F:$F,M100)&amp;""),0)&gt;=0.6,"Tinggi","Sebagian"))))))</f>
        <v/>
      </c>
      <c r="V100" s="0" t="str">
        <f aca="false">IF(N100="","",IF(AND(IFERROR(--(INDEX('Reguler Class Availability'!$F:$F,N100)&amp;""),0)=0,IFERROR(--(INDEX('Reguler Class Availability'!$G:$G,N100)&amp;""),0)=0),IF(OR(INDEX('Reguler Class Availability'!$B:$B,N100)&amp;""&lt;&gt;"",INDEX('Reguler Class Availability'!$I:$I,N100)&amp;""&lt;&gt;""),"Tutup","Tidak dibuka"),IF(IFERROR(--(INDEX('Reguler Class Availability'!$G:$G,N100)&amp;""),0)&gt;IFERROR(--(INDEX('Reguler Class Availability'!$F:$F,N100)&amp;""),0),"Lebih",IF(IFERROR(--(INDEX('Reguler Class Availability'!$G:$G,N100)&amp;""),0)=IFERROR(--(INDEX('Reguler Class Availability'!$F:$F,N100)&amp;""),0),"Penuh",IF(IFERROR(--(INDEX('Reguler Class Availability'!$G:$G,N100)&amp;""),0)=0,IF(INDEX('Reguler Class Availability'!$B:$B,N100)&amp;""="","Kosong","Belum terisi"),IF(IFERROR(--(INDEX('Reguler Class Availability'!$G:$G,N100)&amp;""),0)/IFERROR(--(INDEX('Reguler Class Availability'!$F:$F,N100)&amp;""),0)&gt;=0.6,"Tinggi","Sebagian"))))))</f>
        <v/>
      </c>
      <c r="W100" s="0" t="str">
        <f aca="false">IF(O100="","",IF(AND(IFERROR(--(INDEX('Reguler Class Availability'!$F:$F,O100)&amp;""),0)=0,IFERROR(--(INDEX('Reguler Class Availability'!$G:$G,O100)&amp;""),0)=0),IF(OR(INDEX('Reguler Class Availability'!$B:$B,O100)&amp;""&lt;&gt;"",INDEX('Reguler Class Availability'!$I:$I,O100)&amp;""&lt;&gt;""),"Tutup","Tidak dibuka"),IF(IFERROR(--(INDEX('Reguler Class Availability'!$G:$G,O100)&amp;""),0)&gt;IFERROR(--(INDEX('Reguler Class Availability'!$F:$F,O100)&amp;""),0),"Lebih",IF(IFERROR(--(INDEX('Reguler Class Availability'!$G:$G,O100)&amp;""),0)=IFERROR(--(INDEX('Reguler Class Availability'!$F:$F,O100)&amp;""),0),"Penuh",IF(IFERROR(--(INDEX('Reguler Class Availability'!$G:$G,O100)&amp;""),0)=0,IF(INDEX('Reguler Class Availability'!$B:$B,O100)&amp;""="","Kosong","Belum terisi"),IF(IFERROR(--(INDEX('Reguler Class Availability'!$G:$G,O100)&amp;""),0)/IFERROR(--(INDEX('Reguler Class Availability'!$F:$F,O100)&amp;""),0)&gt;=0.6,"Tinggi","Sebagian"))))))</f>
        <v/>
      </c>
      <c r="X100" s="0" t="str">
        <f aca="false">IF(P100="","",IF(AND(IFERROR(--(INDEX('Reguler Class Availability'!$F:$F,P100)&amp;""),0)=0,IFERROR(--(INDEX('Reguler Class Availability'!$G:$G,P100)&amp;""),0)=0),IF(OR(INDEX('Reguler Class Availability'!$B:$B,P100)&amp;""&lt;&gt;"",INDEX('Reguler Class Availability'!$I:$I,P100)&amp;""&lt;&gt;""),"Tutup","Tidak dibuka"),IF(IFERROR(--(INDEX('Reguler Class Availability'!$G:$G,P100)&amp;""),0)&gt;IFERROR(--(INDEX('Reguler Class Availability'!$F:$F,P100)&amp;""),0),"Lebih",IF(IFERROR(--(INDEX('Reguler Class Availability'!$G:$G,P100)&amp;""),0)=IFERROR(--(INDEX('Reguler Class Availability'!$F:$F,P100)&amp;""),0),"Penuh",IF(IFERROR(--(INDEX('Reguler Class Availability'!$G:$G,P100)&amp;""),0)=0,IF(INDEX('Reguler Class Availability'!$B:$B,P100)&amp;""="","Kosong","Belum terisi"),IF(IFERROR(--(INDEX('Reguler Class Availability'!$G:$G,P100)&amp;""),0)/IFERROR(--(INDEX('Reguler Class Availability'!$F:$F,P100)&amp;""),0)&gt;=0.6,"Tinggi","Sebagian"))))))</f>
        <v/>
      </c>
      <c r="Z100" s="4" t="s">
        <v>75</v>
      </c>
      <c r="AA100" s="4" t="n">
        <f aca="false">IF(COUNTIFS('Reguler Class Availability'!$L:$L,$B$4&amp;"|- Lane 2 - *|"&amp;Z100)&gt;0,1,0)</f>
        <v>0</v>
      </c>
      <c r="AB100" s="4" t="n">
        <f aca="false">AA100+AB99</f>
        <v>9</v>
      </c>
    </row>
    <row r="101" customFormat="false" ht="39.75" hidden="false" customHeight="true" outlineLevel="0" collapsed="false">
      <c r="A101" s="39" t="str">
        <f aca="false">IFERROR(INDEX($Z$242:$Z$301,MATCH(14,$AB$242:$AB$301,0)),"")</f>
        <v/>
      </c>
      <c r="B101" s="40" t="str">
        <f aca="false">IF(J101="","",IF(R101="Tidak dibuka","–",IF(INDEX('Reguler Class Availability'!$B:$B,J101)&amp;""="","Kosong",PROPER(INDEX('Reguler Class Availability'!$B:$B,J101)&amp;""))&amp;"  "&amp;IFERROR(--(INDEX('Reguler Class Availability'!$G:$G,J101)&amp;""),0)&amp;"/"&amp;IFERROR(--(INDEX('Reguler Class Availability'!$F:$F,J101)&amp;""),0)&amp;IF(IFERROR(--(INDEX('Reguler Class Availability'!$F:$F,J101)&amp;""),0)&gt;0,"  ("&amp;TEXT(IFERROR(--(INDEX('Reguler Class Availability'!$G:$G,J101)&amp;""),0)/IFERROR(--(INDEX('Reguler Class Availability'!$F:$F,J101)&amp;""),0),"0%")&amp;")","")&amp;CHAR(10)&amp;IF(INDEX('Reguler Class Availability'!$I:$I,J101)&amp;""="","coach: –",PROPER(INDEX('Reguler Class Availability'!$I:$I,J101)&amp;""))&amp;IF(INDEX('Reguler Class Availability'!$J:$J,J101)&amp;""="","",CHAR(10)&amp;"asst: "&amp;PROPER(INDEX('Reguler Class Availability'!$J:$J,J101)&amp;""))))</f>
        <v/>
      </c>
      <c r="C101" s="40" t="str">
        <f aca="false">IF(K101="","",IF(S101="Tidak dibuka","–",IF(INDEX('Reguler Class Availability'!$B:$B,K101)&amp;""="","Kosong",PROPER(INDEX('Reguler Class Availability'!$B:$B,K101)&amp;""))&amp;"  "&amp;IFERROR(--(INDEX('Reguler Class Availability'!$G:$G,K101)&amp;""),0)&amp;"/"&amp;IFERROR(--(INDEX('Reguler Class Availability'!$F:$F,K101)&amp;""),0)&amp;IF(IFERROR(--(INDEX('Reguler Class Availability'!$F:$F,K101)&amp;""),0)&gt;0,"  ("&amp;TEXT(IFERROR(--(INDEX('Reguler Class Availability'!$G:$G,K101)&amp;""),0)/IFERROR(--(INDEX('Reguler Class Availability'!$F:$F,K101)&amp;""),0),"0%")&amp;")","")&amp;CHAR(10)&amp;IF(INDEX('Reguler Class Availability'!$I:$I,K101)&amp;""="","coach: –",PROPER(INDEX('Reguler Class Availability'!$I:$I,K101)&amp;""))&amp;IF(INDEX('Reguler Class Availability'!$J:$J,K101)&amp;""="","",CHAR(10)&amp;"asst: "&amp;PROPER(INDEX('Reguler Class Availability'!$J:$J,K101)&amp;""))))</f>
        <v/>
      </c>
      <c r="D101" s="40" t="str">
        <f aca="false">IF(L101="","",IF(T101="Tidak dibuka","–",IF(INDEX('Reguler Class Availability'!$B:$B,L101)&amp;""="","Kosong",PROPER(INDEX('Reguler Class Availability'!$B:$B,L101)&amp;""))&amp;"  "&amp;IFERROR(--(INDEX('Reguler Class Availability'!$G:$G,L101)&amp;""),0)&amp;"/"&amp;IFERROR(--(INDEX('Reguler Class Availability'!$F:$F,L101)&amp;""),0)&amp;IF(IFERROR(--(INDEX('Reguler Class Availability'!$F:$F,L101)&amp;""),0)&gt;0,"  ("&amp;TEXT(IFERROR(--(INDEX('Reguler Class Availability'!$G:$G,L101)&amp;""),0)/IFERROR(--(INDEX('Reguler Class Availability'!$F:$F,L101)&amp;""),0),"0%")&amp;")","")&amp;CHAR(10)&amp;IF(INDEX('Reguler Class Availability'!$I:$I,L101)&amp;""="","coach: –",PROPER(INDEX('Reguler Class Availability'!$I:$I,L101)&amp;""))&amp;IF(INDEX('Reguler Class Availability'!$J:$J,L101)&amp;""="","",CHAR(10)&amp;"asst: "&amp;PROPER(INDEX('Reguler Class Availability'!$J:$J,L101)&amp;""))))</f>
        <v/>
      </c>
      <c r="E101" s="40" t="str">
        <f aca="false">IF(M101="","",IF(U101="Tidak dibuka","–",IF(INDEX('Reguler Class Availability'!$B:$B,M101)&amp;""="","Kosong",PROPER(INDEX('Reguler Class Availability'!$B:$B,M101)&amp;""))&amp;"  "&amp;IFERROR(--(INDEX('Reguler Class Availability'!$G:$G,M101)&amp;""),0)&amp;"/"&amp;IFERROR(--(INDEX('Reguler Class Availability'!$F:$F,M101)&amp;""),0)&amp;IF(IFERROR(--(INDEX('Reguler Class Availability'!$F:$F,M101)&amp;""),0)&gt;0,"  ("&amp;TEXT(IFERROR(--(INDEX('Reguler Class Availability'!$G:$G,M101)&amp;""),0)/IFERROR(--(INDEX('Reguler Class Availability'!$F:$F,M101)&amp;""),0),"0%")&amp;")","")&amp;CHAR(10)&amp;IF(INDEX('Reguler Class Availability'!$I:$I,M101)&amp;""="","coach: –",PROPER(INDEX('Reguler Class Availability'!$I:$I,M101)&amp;""))&amp;IF(INDEX('Reguler Class Availability'!$J:$J,M101)&amp;""="","",CHAR(10)&amp;"asst: "&amp;PROPER(INDEX('Reguler Class Availability'!$J:$J,M101)&amp;""))))</f>
        <v/>
      </c>
      <c r="F101" s="40" t="str">
        <f aca="false">IF(N101="","",IF(V101="Tidak dibuka","–",IF(INDEX('Reguler Class Availability'!$B:$B,N101)&amp;""="","Kosong",PROPER(INDEX('Reguler Class Availability'!$B:$B,N101)&amp;""))&amp;"  "&amp;IFERROR(--(INDEX('Reguler Class Availability'!$G:$G,N101)&amp;""),0)&amp;"/"&amp;IFERROR(--(INDEX('Reguler Class Availability'!$F:$F,N101)&amp;""),0)&amp;IF(IFERROR(--(INDEX('Reguler Class Availability'!$F:$F,N101)&amp;""),0)&gt;0,"  ("&amp;TEXT(IFERROR(--(INDEX('Reguler Class Availability'!$G:$G,N101)&amp;""),0)/IFERROR(--(INDEX('Reguler Class Availability'!$F:$F,N101)&amp;""),0),"0%")&amp;")","")&amp;CHAR(10)&amp;IF(INDEX('Reguler Class Availability'!$I:$I,N101)&amp;""="","coach: –",PROPER(INDEX('Reguler Class Availability'!$I:$I,N101)&amp;""))&amp;IF(INDEX('Reguler Class Availability'!$J:$J,N101)&amp;""="","",CHAR(10)&amp;"asst: "&amp;PROPER(INDEX('Reguler Class Availability'!$J:$J,N101)&amp;""))))</f>
        <v/>
      </c>
      <c r="G101" s="40" t="str">
        <f aca="false">IF(O101="","",IF(W101="Tidak dibuka","–",IF(INDEX('Reguler Class Availability'!$B:$B,O101)&amp;""="","Kosong",PROPER(INDEX('Reguler Class Availability'!$B:$B,O101)&amp;""))&amp;"  "&amp;IFERROR(--(INDEX('Reguler Class Availability'!$G:$G,O101)&amp;""),0)&amp;"/"&amp;IFERROR(--(INDEX('Reguler Class Availability'!$F:$F,O101)&amp;""),0)&amp;IF(IFERROR(--(INDEX('Reguler Class Availability'!$F:$F,O101)&amp;""),0)&gt;0,"  ("&amp;TEXT(IFERROR(--(INDEX('Reguler Class Availability'!$G:$G,O101)&amp;""),0)/IFERROR(--(INDEX('Reguler Class Availability'!$F:$F,O101)&amp;""),0),"0%")&amp;")","")&amp;CHAR(10)&amp;IF(INDEX('Reguler Class Availability'!$I:$I,O101)&amp;""="","coach: –",PROPER(INDEX('Reguler Class Availability'!$I:$I,O101)&amp;""))&amp;IF(INDEX('Reguler Class Availability'!$J:$J,O101)&amp;""="","",CHAR(10)&amp;"asst: "&amp;PROPER(INDEX('Reguler Class Availability'!$J:$J,O101)&amp;""))))</f>
        <v/>
      </c>
      <c r="H101" s="40" t="str">
        <f aca="false">IF(P101="","",IF(X101="Tidak dibuka","–",IF(INDEX('Reguler Class Availability'!$B:$B,P101)&amp;""="","Kosong",PROPER(INDEX('Reguler Class Availability'!$B:$B,P101)&amp;""))&amp;"  "&amp;IFERROR(--(INDEX('Reguler Class Availability'!$G:$G,P101)&amp;""),0)&amp;"/"&amp;IFERROR(--(INDEX('Reguler Class Availability'!$F:$F,P101)&amp;""),0)&amp;IF(IFERROR(--(INDEX('Reguler Class Availability'!$F:$F,P101)&amp;""),0)&gt;0,"  ("&amp;TEXT(IFERROR(--(INDEX('Reguler Class Availability'!$G:$G,P101)&amp;""),0)/IFERROR(--(INDEX('Reguler Class Availability'!$F:$F,P101)&amp;""),0),"0%")&amp;")","")&amp;CHAR(10)&amp;IF(INDEX('Reguler Class Availability'!$I:$I,P101)&amp;""="","coach: –",PROPER(INDEX('Reguler Class Availability'!$I:$I,P101)&amp;""))&amp;IF(INDEX('Reguler Class Availability'!$J:$J,P101)&amp;""="","",CHAR(10)&amp;"asst: "&amp;PROPER(INDEX('Reguler Class Availability'!$J:$J,P101)&amp;""))))</f>
        <v/>
      </c>
      <c r="J101" s="0" t="str">
        <f aca="false">IF($A101="","",IFERROR(MATCH($B$4&amp;"|- Lane 5 - "&amp;B$87&amp;"|"&amp;$A101,'Reguler Class Availability'!$L:$L,0),""))</f>
        <v/>
      </c>
      <c r="K101" s="0" t="str">
        <f aca="false">IF($A101="","",IFERROR(MATCH($B$4&amp;"|- Lane 5 - "&amp;C$87&amp;"|"&amp;$A101,'Reguler Class Availability'!$L:$L,0),""))</f>
        <v/>
      </c>
      <c r="L101" s="0" t="str">
        <f aca="false">IF($A101="","",IFERROR(MATCH($B$4&amp;"|- Lane 5 - "&amp;D$87&amp;"|"&amp;$A101,'Reguler Class Availability'!$L:$L,0),""))</f>
        <v/>
      </c>
      <c r="M101" s="0" t="str">
        <f aca="false">IF($A101="","",IFERROR(MATCH($B$4&amp;"|- Lane 5 - "&amp;E$87&amp;"|"&amp;$A101,'Reguler Class Availability'!$L:$L,0),""))</f>
        <v/>
      </c>
      <c r="N101" s="0" t="str">
        <f aca="false">IF($A101="","",IFERROR(MATCH($B$4&amp;"|- Lane 5 - "&amp;F$87&amp;"|"&amp;$A101,'Reguler Class Availability'!$L:$L,0),""))</f>
        <v/>
      </c>
      <c r="O101" s="0" t="str">
        <f aca="false">IF($A101="","",IFERROR(MATCH($B$4&amp;"|- Lane 5 - "&amp;G$87&amp;"|"&amp;$A101,'Reguler Class Availability'!$L:$L,0),""))</f>
        <v/>
      </c>
      <c r="P101" s="0" t="str">
        <f aca="false">IF($A101="","",IFERROR(MATCH($B$4&amp;"|- Lane 5 - "&amp;H$87&amp;"|"&amp;$A101,'Reguler Class Availability'!$L:$L,0),""))</f>
        <v/>
      </c>
      <c r="R101" s="0" t="str">
        <f aca="false">IF(J101="","",IF(AND(IFERROR(--(INDEX('Reguler Class Availability'!$F:$F,J101)&amp;""),0)=0,IFERROR(--(INDEX('Reguler Class Availability'!$G:$G,J101)&amp;""),0)=0),IF(OR(INDEX('Reguler Class Availability'!$B:$B,J101)&amp;""&lt;&gt;"",INDEX('Reguler Class Availability'!$I:$I,J101)&amp;""&lt;&gt;""),"Tutup","Tidak dibuka"),IF(IFERROR(--(INDEX('Reguler Class Availability'!$G:$G,J101)&amp;""),0)&gt;IFERROR(--(INDEX('Reguler Class Availability'!$F:$F,J101)&amp;""),0),"Lebih",IF(IFERROR(--(INDEX('Reguler Class Availability'!$G:$G,J101)&amp;""),0)=IFERROR(--(INDEX('Reguler Class Availability'!$F:$F,J101)&amp;""),0),"Penuh",IF(IFERROR(--(INDEX('Reguler Class Availability'!$G:$G,J101)&amp;""),0)=0,IF(INDEX('Reguler Class Availability'!$B:$B,J101)&amp;""="","Kosong","Belum terisi"),IF(IFERROR(--(INDEX('Reguler Class Availability'!$G:$G,J101)&amp;""),0)/IFERROR(--(INDEX('Reguler Class Availability'!$F:$F,J101)&amp;""),0)&gt;=0.6,"Tinggi","Sebagian"))))))</f>
        <v/>
      </c>
      <c r="S101" s="0" t="str">
        <f aca="false">IF(K101="","",IF(AND(IFERROR(--(INDEX('Reguler Class Availability'!$F:$F,K101)&amp;""),0)=0,IFERROR(--(INDEX('Reguler Class Availability'!$G:$G,K101)&amp;""),0)=0),IF(OR(INDEX('Reguler Class Availability'!$B:$B,K101)&amp;""&lt;&gt;"",INDEX('Reguler Class Availability'!$I:$I,K101)&amp;""&lt;&gt;""),"Tutup","Tidak dibuka"),IF(IFERROR(--(INDEX('Reguler Class Availability'!$G:$G,K101)&amp;""),0)&gt;IFERROR(--(INDEX('Reguler Class Availability'!$F:$F,K101)&amp;""),0),"Lebih",IF(IFERROR(--(INDEX('Reguler Class Availability'!$G:$G,K101)&amp;""),0)=IFERROR(--(INDEX('Reguler Class Availability'!$F:$F,K101)&amp;""),0),"Penuh",IF(IFERROR(--(INDEX('Reguler Class Availability'!$G:$G,K101)&amp;""),0)=0,IF(INDEX('Reguler Class Availability'!$B:$B,K101)&amp;""="","Kosong","Belum terisi"),IF(IFERROR(--(INDEX('Reguler Class Availability'!$G:$G,K101)&amp;""),0)/IFERROR(--(INDEX('Reguler Class Availability'!$F:$F,K101)&amp;""),0)&gt;=0.6,"Tinggi","Sebagian"))))))</f>
        <v/>
      </c>
      <c r="T101" s="0" t="str">
        <f aca="false">IF(L101="","",IF(AND(IFERROR(--(INDEX('Reguler Class Availability'!$F:$F,L101)&amp;""),0)=0,IFERROR(--(INDEX('Reguler Class Availability'!$G:$G,L101)&amp;""),0)=0),IF(OR(INDEX('Reguler Class Availability'!$B:$B,L101)&amp;""&lt;&gt;"",INDEX('Reguler Class Availability'!$I:$I,L101)&amp;""&lt;&gt;""),"Tutup","Tidak dibuka"),IF(IFERROR(--(INDEX('Reguler Class Availability'!$G:$G,L101)&amp;""),0)&gt;IFERROR(--(INDEX('Reguler Class Availability'!$F:$F,L101)&amp;""),0),"Lebih",IF(IFERROR(--(INDEX('Reguler Class Availability'!$G:$G,L101)&amp;""),0)=IFERROR(--(INDEX('Reguler Class Availability'!$F:$F,L101)&amp;""),0),"Penuh",IF(IFERROR(--(INDEX('Reguler Class Availability'!$G:$G,L101)&amp;""),0)=0,IF(INDEX('Reguler Class Availability'!$B:$B,L101)&amp;""="","Kosong","Belum terisi"),IF(IFERROR(--(INDEX('Reguler Class Availability'!$G:$G,L101)&amp;""),0)/IFERROR(--(INDEX('Reguler Class Availability'!$F:$F,L101)&amp;""),0)&gt;=0.6,"Tinggi","Sebagian"))))))</f>
        <v/>
      </c>
      <c r="U101" s="0" t="str">
        <f aca="false">IF(M101="","",IF(AND(IFERROR(--(INDEX('Reguler Class Availability'!$F:$F,M101)&amp;""),0)=0,IFERROR(--(INDEX('Reguler Class Availability'!$G:$G,M101)&amp;""),0)=0),IF(OR(INDEX('Reguler Class Availability'!$B:$B,M101)&amp;""&lt;&gt;"",INDEX('Reguler Class Availability'!$I:$I,M101)&amp;""&lt;&gt;""),"Tutup","Tidak dibuka"),IF(IFERROR(--(INDEX('Reguler Class Availability'!$G:$G,M101)&amp;""),0)&gt;IFERROR(--(INDEX('Reguler Class Availability'!$F:$F,M101)&amp;""),0),"Lebih",IF(IFERROR(--(INDEX('Reguler Class Availability'!$G:$G,M101)&amp;""),0)=IFERROR(--(INDEX('Reguler Class Availability'!$F:$F,M101)&amp;""),0),"Penuh",IF(IFERROR(--(INDEX('Reguler Class Availability'!$G:$G,M101)&amp;""),0)=0,IF(INDEX('Reguler Class Availability'!$B:$B,M101)&amp;""="","Kosong","Belum terisi"),IF(IFERROR(--(INDEX('Reguler Class Availability'!$G:$G,M101)&amp;""),0)/IFERROR(--(INDEX('Reguler Class Availability'!$F:$F,M101)&amp;""),0)&gt;=0.6,"Tinggi","Sebagian"))))))</f>
        <v/>
      </c>
      <c r="V101" s="0" t="str">
        <f aca="false">IF(N101="","",IF(AND(IFERROR(--(INDEX('Reguler Class Availability'!$F:$F,N101)&amp;""),0)=0,IFERROR(--(INDEX('Reguler Class Availability'!$G:$G,N101)&amp;""),0)=0),IF(OR(INDEX('Reguler Class Availability'!$B:$B,N101)&amp;""&lt;&gt;"",INDEX('Reguler Class Availability'!$I:$I,N101)&amp;""&lt;&gt;""),"Tutup","Tidak dibuka"),IF(IFERROR(--(INDEX('Reguler Class Availability'!$G:$G,N101)&amp;""),0)&gt;IFERROR(--(INDEX('Reguler Class Availability'!$F:$F,N101)&amp;""),0),"Lebih",IF(IFERROR(--(INDEX('Reguler Class Availability'!$G:$G,N101)&amp;""),0)=IFERROR(--(INDEX('Reguler Class Availability'!$F:$F,N101)&amp;""),0),"Penuh",IF(IFERROR(--(INDEX('Reguler Class Availability'!$G:$G,N101)&amp;""),0)=0,IF(INDEX('Reguler Class Availability'!$B:$B,N101)&amp;""="","Kosong","Belum terisi"),IF(IFERROR(--(INDEX('Reguler Class Availability'!$G:$G,N101)&amp;""),0)/IFERROR(--(INDEX('Reguler Class Availability'!$F:$F,N101)&amp;""),0)&gt;=0.6,"Tinggi","Sebagian"))))))</f>
        <v/>
      </c>
      <c r="W101" s="0" t="str">
        <f aca="false">IF(O101="","",IF(AND(IFERROR(--(INDEX('Reguler Class Availability'!$F:$F,O101)&amp;""),0)=0,IFERROR(--(INDEX('Reguler Class Availability'!$G:$G,O101)&amp;""),0)=0),IF(OR(INDEX('Reguler Class Availability'!$B:$B,O101)&amp;""&lt;&gt;"",INDEX('Reguler Class Availability'!$I:$I,O101)&amp;""&lt;&gt;""),"Tutup","Tidak dibuka"),IF(IFERROR(--(INDEX('Reguler Class Availability'!$G:$G,O101)&amp;""),0)&gt;IFERROR(--(INDEX('Reguler Class Availability'!$F:$F,O101)&amp;""),0),"Lebih",IF(IFERROR(--(INDEX('Reguler Class Availability'!$G:$G,O101)&amp;""),0)=IFERROR(--(INDEX('Reguler Class Availability'!$F:$F,O101)&amp;""),0),"Penuh",IF(IFERROR(--(INDEX('Reguler Class Availability'!$G:$G,O101)&amp;""),0)=0,IF(INDEX('Reguler Class Availability'!$B:$B,O101)&amp;""="","Kosong","Belum terisi"),IF(IFERROR(--(INDEX('Reguler Class Availability'!$G:$G,O101)&amp;""),0)/IFERROR(--(INDEX('Reguler Class Availability'!$F:$F,O101)&amp;""),0)&gt;=0.6,"Tinggi","Sebagian"))))))</f>
        <v/>
      </c>
      <c r="X101" s="0" t="str">
        <f aca="false">IF(P101="","",IF(AND(IFERROR(--(INDEX('Reguler Class Availability'!$F:$F,P101)&amp;""),0)=0,IFERROR(--(INDEX('Reguler Class Availability'!$G:$G,P101)&amp;""),0)=0),IF(OR(INDEX('Reguler Class Availability'!$B:$B,P101)&amp;""&lt;&gt;"",INDEX('Reguler Class Availability'!$I:$I,P101)&amp;""&lt;&gt;""),"Tutup","Tidak dibuka"),IF(IFERROR(--(INDEX('Reguler Class Availability'!$G:$G,P101)&amp;""),0)&gt;IFERROR(--(INDEX('Reguler Class Availability'!$F:$F,P101)&amp;""),0),"Lebih",IF(IFERROR(--(INDEX('Reguler Class Availability'!$G:$G,P101)&amp;""),0)=IFERROR(--(INDEX('Reguler Class Availability'!$F:$F,P101)&amp;""),0),"Penuh",IF(IFERROR(--(INDEX('Reguler Class Availability'!$G:$G,P101)&amp;""),0)=0,IF(INDEX('Reguler Class Availability'!$B:$B,P101)&amp;""="","Kosong","Belum terisi"),IF(IFERROR(--(INDEX('Reguler Class Availability'!$G:$G,P101)&amp;""),0)/IFERROR(--(INDEX('Reguler Class Availability'!$F:$F,P101)&amp;""),0)&gt;=0.6,"Tinggi","Sebagian"))))))</f>
        <v/>
      </c>
      <c r="Z101" s="4" t="s">
        <v>76</v>
      </c>
      <c r="AA101" s="4" t="n">
        <f aca="false">IF(COUNTIFS('Reguler Class Availability'!$L:$L,$B$4&amp;"|- Lane 2 - *|"&amp;Z101)&gt;0,1,0)</f>
        <v>1</v>
      </c>
      <c r="AB101" s="4" t="n">
        <f aca="false">AA101+AB100</f>
        <v>10</v>
      </c>
    </row>
    <row r="102" customFormat="false" ht="15" hidden="false" customHeight="false" outlineLevel="0" collapsed="false">
      <c r="A102" s="41" t="s">
        <v>63</v>
      </c>
      <c r="B102" s="42" t="str">
        <f aca="false">IFERROR(TEXT(SUMIFS('Reguler Class Availability'!$G:$G,'Reguler Class Availability'!$A:$A,$B$4,'Reguler Class Availability'!$C:$C,"- Lane 5 - "&amp;B$87,'Reguler Class Availability'!$F:$F,"&gt;0")/SUMIFS('Reguler Class Availability'!$F:$F,'Reguler Class Availability'!$A:$A,$B$4,'Reguler Class Availability'!$C:$C,"- Lane 5 - "&amp;B$87,'Reguler Class Availability'!$F:$F,"&gt;0"),"0%"),"–")</f>
        <v>43%</v>
      </c>
      <c r="C102" s="42" t="str">
        <f aca="false">IFERROR(TEXT(SUMIFS('Reguler Class Availability'!$G:$G,'Reguler Class Availability'!$A:$A,$B$4,'Reguler Class Availability'!$C:$C,"- Lane 5 - "&amp;C$87,'Reguler Class Availability'!$F:$F,"&gt;0")/SUMIFS('Reguler Class Availability'!$F:$F,'Reguler Class Availability'!$A:$A,$B$4,'Reguler Class Availability'!$C:$C,"- Lane 5 - "&amp;C$87,'Reguler Class Availability'!$F:$F,"&gt;0"),"0%"),"–")</f>
        <v>33%</v>
      </c>
      <c r="D102" s="42" t="str">
        <f aca="false">IFERROR(TEXT(SUMIFS('Reguler Class Availability'!$G:$G,'Reguler Class Availability'!$A:$A,$B$4,'Reguler Class Availability'!$C:$C,"- Lane 5 - "&amp;D$87,'Reguler Class Availability'!$F:$F,"&gt;0")/SUMIFS('Reguler Class Availability'!$F:$F,'Reguler Class Availability'!$A:$A,$B$4,'Reguler Class Availability'!$C:$C,"- Lane 5 - "&amp;D$87,'Reguler Class Availability'!$F:$F,"&gt;0"),"0%"),"–")</f>
        <v>34%</v>
      </c>
      <c r="E102" s="42" t="str">
        <f aca="false">IFERROR(TEXT(SUMIFS('Reguler Class Availability'!$G:$G,'Reguler Class Availability'!$A:$A,$B$4,'Reguler Class Availability'!$C:$C,"- Lane 5 - "&amp;E$87,'Reguler Class Availability'!$F:$F,"&gt;0")/SUMIFS('Reguler Class Availability'!$F:$F,'Reguler Class Availability'!$A:$A,$B$4,'Reguler Class Availability'!$C:$C,"- Lane 5 - "&amp;E$87,'Reguler Class Availability'!$F:$F,"&gt;0"),"0%"),"–")</f>
        <v>21%</v>
      </c>
      <c r="F102" s="42" t="str">
        <f aca="false">IFERROR(TEXT(SUMIFS('Reguler Class Availability'!$G:$G,'Reguler Class Availability'!$A:$A,$B$4,'Reguler Class Availability'!$C:$C,"- Lane 5 - "&amp;F$87,'Reguler Class Availability'!$F:$F,"&gt;0")/SUMIFS('Reguler Class Availability'!$F:$F,'Reguler Class Availability'!$A:$A,$B$4,'Reguler Class Availability'!$C:$C,"- Lane 5 - "&amp;F$87,'Reguler Class Availability'!$F:$F,"&gt;0"),"0%"),"–")</f>
        <v>61%</v>
      </c>
      <c r="G102" s="42" t="str">
        <f aca="false">IFERROR(TEXT(SUMIFS('Reguler Class Availability'!$G:$G,'Reguler Class Availability'!$A:$A,$B$4,'Reguler Class Availability'!$C:$C,"- Lane 5 - "&amp;G$87,'Reguler Class Availability'!$F:$F,"&gt;0")/SUMIFS('Reguler Class Availability'!$F:$F,'Reguler Class Availability'!$A:$A,$B$4,'Reguler Class Availability'!$C:$C,"- Lane 5 - "&amp;G$87,'Reguler Class Availability'!$F:$F,"&gt;0"),"0%"),"–")</f>
        <v>93%</v>
      </c>
      <c r="H102" s="42" t="str">
        <f aca="false">IFERROR(TEXT(SUMIFS('Reguler Class Availability'!$G:$G,'Reguler Class Availability'!$A:$A,$B$4,'Reguler Class Availability'!$C:$C,"- Lane 5 - "&amp;H$87,'Reguler Class Availability'!$F:$F,"&gt;0")/SUMIFS('Reguler Class Availability'!$F:$F,'Reguler Class Availability'!$A:$A,$B$4,'Reguler Class Availability'!$C:$C,"- Lane 5 - "&amp;H$87,'Reguler Class Availability'!$F:$F,"&gt;0"),"0%"),"–")</f>
        <v>80%</v>
      </c>
      <c r="Z102" s="4" t="s">
        <v>77</v>
      </c>
      <c r="AA102" s="4" t="n">
        <f aca="false">IF(COUNTIFS('Reguler Class Availability'!$L:$L,$B$4&amp;"|- Lane 2 - *|"&amp;Z102)&gt;0,1,0)</f>
        <v>0</v>
      </c>
      <c r="AB102" s="4" t="n">
        <f aca="false">AA102+AB101</f>
        <v>10</v>
      </c>
    </row>
    <row r="103" customFormat="false" ht="15" hidden="false" customHeight="false" outlineLevel="0" collapsed="false">
      <c r="Z103" s="0" t="s">
        <v>78</v>
      </c>
      <c r="AA103" s="0" t="n">
        <f aca="false">IF(COUNTIFS('Reguler Class Availability'!$L:$L,$B$4&amp;"|- Lane 2 - *|"&amp;Z103)&gt;0,1,0)</f>
        <v>0</v>
      </c>
      <c r="AB103" s="0" t="n">
        <f aca="false">AA103+AB102</f>
        <v>10</v>
      </c>
    </row>
    <row r="104" customFormat="false" ht="15" hidden="false" customHeight="false" outlineLevel="0" collapsed="false">
      <c r="A104" s="34" t="s">
        <v>100</v>
      </c>
      <c r="B104" s="35"/>
      <c r="C104" s="36" t="str">
        <f aca="false">"Utilisasi lane: "&amp;IFERROR(TEXT(SUMIFS('Reguler Class Availability'!$G:$G,'Reguler Class Availability'!$A:$A,$B$4,'Reguler Class Availability'!$C:$C,"- Lane 6 - *",'Reguler Class Availability'!$F:$F,"&gt;0")/SUMIFS('Reguler Class Availability'!$F:$F,'Reguler Class Availability'!$A:$A,$B$4,'Reguler Class Availability'!$C:$C,"- Lane 6 - *",'Reguler Class Availability'!$F:$F,"&gt;0"),"0%"),"–")&amp;"   ·   Belum terisi: "&amp;COUNTIF($R$106:$X$119,"Belum terisi")&amp;"   ·   Slot kosong: "&amp;COUNTIF($R$106:$X$119,"Kosong")</f>
        <v>Utilisasi lane: –   ·   Belum terisi: 0   ·   Slot kosong: 0</v>
      </c>
      <c r="D104" s="35"/>
      <c r="E104" s="35"/>
      <c r="F104" s="35"/>
      <c r="G104" s="35"/>
      <c r="H104" s="35"/>
      <c r="Z104" s="4" t="s">
        <v>79</v>
      </c>
      <c r="AA104" s="4" t="n">
        <f aca="false">IF(COUNTIFS('Reguler Class Availability'!$L:$L,$B$4&amp;"|- Lane 2 - *|"&amp;Z104)&gt;0,1,0)</f>
        <v>1</v>
      </c>
      <c r="AB104" s="4" t="n">
        <f aca="false">AA104+AB103</f>
        <v>11</v>
      </c>
    </row>
    <row r="105" customFormat="false" ht="15" hidden="false" customHeight="false" outlineLevel="0" collapsed="false">
      <c r="A105" s="37" t="s">
        <v>38</v>
      </c>
      <c r="B105" s="38" t="s">
        <v>39</v>
      </c>
      <c r="C105" s="38" t="s">
        <v>40</v>
      </c>
      <c r="D105" s="38" t="s">
        <v>41</v>
      </c>
      <c r="E105" s="38" t="s">
        <v>42</v>
      </c>
      <c r="F105" s="38" t="s">
        <v>43</v>
      </c>
      <c r="G105" s="38" t="s">
        <v>44</v>
      </c>
      <c r="H105" s="38" t="s">
        <v>45</v>
      </c>
      <c r="Z105" s="4" t="s">
        <v>80</v>
      </c>
      <c r="AA105" s="4" t="n">
        <f aca="false">IF(COUNTIFS('Reguler Class Availability'!$L:$L,$B$4&amp;"|- Lane 2 - *|"&amp;Z105)&gt;0,1,0)</f>
        <v>0</v>
      </c>
      <c r="AB105" s="4" t="n">
        <f aca="false">AA105+AB104</f>
        <v>11</v>
      </c>
    </row>
    <row r="106" customFormat="false" ht="39.75" hidden="false" customHeight="true" outlineLevel="0" collapsed="false">
      <c r="A106" s="39" t="str">
        <f aca="false">IFERROR(INDEX($Z$302:$Z$361,MATCH(1,$AB$302:$AB$361,0)),"")</f>
        <v>08:00</v>
      </c>
      <c r="B106" s="40" t="str">
        <f aca="false">IF(J106="","",IF(R106="Tidak dibuka","–",IF(INDEX('Reguler Class Availability'!$B:$B,J106)&amp;""="","Kosong",PROPER(INDEX('Reguler Class Availability'!$B:$B,J106)&amp;""))&amp;"  "&amp;IFERROR(--(INDEX('Reguler Class Availability'!$G:$G,J106)&amp;""),0)&amp;"/"&amp;IFERROR(--(INDEX('Reguler Class Availability'!$F:$F,J106)&amp;""),0)&amp;IF(IFERROR(--(INDEX('Reguler Class Availability'!$F:$F,J106)&amp;""),0)&gt;0,"  ("&amp;TEXT(IFERROR(--(INDEX('Reguler Class Availability'!$G:$G,J106)&amp;""),0)/IFERROR(--(INDEX('Reguler Class Availability'!$F:$F,J106)&amp;""),0),"0%")&amp;")","")&amp;CHAR(10)&amp;IF(INDEX('Reguler Class Availability'!$I:$I,J106)&amp;""="","coach: –",PROPER(INDEX('Reguler Class Availability'!$I:$I,J106)&amp;""))&amp;IF(INDEX('Reguler Class Availability'!$J:$J,J106)&amp;""="","",CHAR(10)&amp;"asst: "&amp;PROPER(INDEX('Reguler Class Availability'!$J:$J,J106)&amp;""))))</f>
        <v>–</v>
      </c>
      <c r="C106" s="40" t="str">
        <f aca="false">IF(K106="","",IF(S106="Tidak dibuka","–",IF(INDEX('Reguler Class Availability'!$B:$B,K106)&amp;""="","Kosong",PROPER(INDEX('Reguler Class Availability'!$B:$B,K106)&amp;""))&amp;"  "&amp;IFERROR(--(INDEX('Reguler Class Availability'!$G:$G,K106)&amp;""),0)&amp;"/"&amp;IFERROR(--(INDEX('Reguler Class Availability'!$F:$F,K106)&amp;""),0)&amp;IF(IFERROR(--(INDEX('Reguler Class Availability'!$F:$F,K106)&amp;""),0)&gt;0,"  ("&amp;TEXT(IFERROR(--(INDEX('Reguler Class Availability'!$G:$G,K106)&amp;""),0)/IFERROR(--(INDEX('Reguler Class Availability'!$F:$F,K106)&amp;""),0),"0%")&amp;")","")&amp;CHAR(10)&amp;IF(INDEX('Reguler Class Availability'!$I:$I,K106)&amp;""="","coach: –",PROPER(INDEX('Reguler Class Availability'!$I:$I,K106)&amp;""))&amp;IF(INDEX('Reguler Class Availability'!$J:$J,K106)&amp;""="","",CHAR(10)&amp;"asst: "&amp;PROPER(INDEX('Reguler Class Availability'!$J:$J,K106)&amp;""))))</f>
        <v>–</v>
      </c>
      <c r="D106" s="40" t="str">
        <f aca="false">IF(L106="","",IF(T106="Tidak dibuka","–",IF(INDEX('Reguler Class Availability'!$B:$B,L106)&amp;""="","Kosong",PROPER(INDEX('Reguler Class Availability'!$B:$B,L106)&amp;""))&amp;"  "&amp;IFERROR(--(INDEX('Reguler Class Availability'!$G:$G,L106)&amp;""),0)&amp;"/"&amp;IFERROR(--(INDEX('Reguler Class Availability'!$F:$F,L106)&amp;""),0)&amp;IF(IFERROR(--(INDEX('Reguler Class Availability'!$F:$F,L106)&amp;""),0)&gt;0,"  ("&amp;TEXT(IFERROR(--(INDEX('Reguler Class Availability'!$G:$G,L106)&amp;""),0)/IFERROR(--(INDEX('Reguler Class Availability'!$F:$F,L106)&amp;""),0),"0%")&amp;")","")&amp;CHAR(10)&amp;IF(INDEX('Reguler Class Availability'!$I:$I,L106)&amp;""="","coach: –",PROPER(INDEX('Reguler Class Availability'!$I:$I,L106)&amp;""))&amp;IF(INDEX('Reguler Class Availability'!$J:$J,L106)&amp;""="","",CHAR(10)&amp;"asst: "&amp;PROPER(INDEX('Reguler Class Availability'!$J:$J,L106)&amp;""))))</f>
        <v>–</v>
      </c>
      <c r="E106" s="40" t="str">
        <f aca="false">IF(M106="","",IF(U106="Tidak dibuka","–",IF(INDEX('Reguler Class Availability'!$B:$B,M106)&amp;""="","Kosong",PROPER(INDEX('Reguler Class Availability'!$B:$B,M106)&amp;""))&amp;"  "&amp;IFERROR(--(INDEX('Reguler Class Availability'!$G:$G,M106)&amp;""),0)&amp;"/"&amp;IFERROR(--(INDEX('Reguler Class Availability'!$F:$F,M106)&amp;""),0)&amp;IF(IFERROR(--(INDEX('Reguler Class Availability'!$F:$F,M106)&amp;""),0)&gt;0,"  ("&amp;TEXT(IFERROR(--(INDEX('Reguler Class Availability'!$G:$G,M106)&amp;""),0)/IFERROR(--(INDEX('Reguler Class Availability'!$F:$F,M106)&amp;""),0),"0%")&amp;")","")&amp;CHAR(10)&amp;IF(INDEX('Reguler Class Availability'!$I:$I,M106)&amp;""="","coach: –",PROPER(INDEX('Reguler Class Availability'!$I:$I,M106)&amp;""))&amp;IF(INDEX('Reguler Class Availability'!$J:$J,M106)&amp;""="","",CHAR(10)&amp;"asst: "&amp;PROPER(INDEX('Reguler Class Availability'!$J:$J,M106)&amp;""))))</f>
        <v>–</v>
      </c>
      <c r="F106" s="40" t="str">
        <f aca="false">IF(N106="","",IF(V106="Tidak dibuka","–",IF(INDEX('Reguler Class Availability'!$B:$B,N106)&amp;""="","Kosong",PROPER(INDEX('Reguler Class Availability'!$B:$B,N106)&amp;""))&amp;"  "&amp;IFERROR(--(INDEX('Reguler Class Availability'!$G:$G,N106)&amp;""),0)&amp;"/"&amp;IFERROR(--(INDEX('Reguler Class Availability'!$F:$F,N106)&amp;""),0)&amp;IF(IFERROR(--(INDEX('Reguler Class Availability'!$F:$F,N106)&amp;""),0)&gt;0,"  ("&amp;TEXT(IFERROR(--(INDEX('Reguler Class Availability'!$G:$G,N106)&amp;""),0)/IFERROR(--(INDEX('Reguler Class Availability'!$F:$F,N106)&amp;""),0),"0%")&amp;")","")&amp;CHAR(10)&amp;IF(INDEX('Reguler Class Availability'!$I:$I,N106)&amp;""="","coach: –",PROPER(INDEX('Reguler Class Availability'!$I:$I,N106)&amp;""))&amp;IF(INDEX('Reguler Class Availability'!$J:$J,N106)&amp;""="","",CHAR(10)&amp;"asst: "&amp;PROPER(INDEX('Reguler Class Availability'!$J:$J,N106)&amp;""))))</f>
        <v>–</v>
      </c>
      <c r="G106" s="40" t="str">
        <f aca="false">IF(O106="","",IF(W106="Tidak dibuka","–",IF(INDEX('Reguler Class Availability'!$B:$B,O106)&amp;""="","Kosong",PROPER(INDEX('Reguler Class Availability'!$B:$B,O106)&amp;""))&amp;"  "&amp;IFERROR(--(INDEX('Reguler Class Availability'!$G:$G,O106)&amp;""),0)&amp;"/"&amp;IFERROR(--(INDEX('Reguler Class Availability'!$F:$F,O106)&amp;""),0)&amp;IF(IFERROR(--(INDEX('Reguler Class Availability'!$F:$F,O106)&amp;""),0)&gt;0,"  ("&amp;TEXT(IFERROR(--(INDEX('Reguler Class Availability'!$G:$G,O106)&amp;""),0)/IFERROR(--(INDEX('Reguler Class Availability'!$F:$F,O106)&amp;""),0),"0%")&amp;")","")&amp;CHAR(10)&amp;IF(INDEX('Reguler Class Availability'!$I:$I,O106)&amp;""="","coach: –",PROPER(INDEX('Reguler Class Availability'!$I:$I,O106)&amp;""))&amp;IF(INDEX('Reguler Class Availability'!$J:$J,O106)&amp;""="","",CHAR(10)&amp;"asst: "&amp;PROPER(INDEX('Reguler Class Availability'!$J:$J,O106)&amp;""))))</f>
        <v>–</v>
      </c>
      <c r="H106" s="40" t="str">
        <f aca="false">IF(P106="","",IF(X106="Tidak dibuka","–",IF(INDEX('Reguler Class Availability'!$B:$B,P106)&amp;""="","Kosong",PROPER(INDEX('Reguler Class Availability'!$B:$B,P106)&amp;""))&amp;"  "&amp;IFERROR(--(INDEX('Reguler Class Availability'!$G:$G,P106)&amp;""),0)&amp;"/"&amp;IFERROR(--(INDEX('Reguler Class Availability'!$F:$F,P106)&amp;""),0)&amp;IF(IFERROR(--(INDEX('Reguler Class Availability'!$F:$F,P106)&amp;""),0)&gt;0,"  ("&amp;TEXT(IFERROR(--(INDEX('Reguler Class Availability'!$G:$G,P106)&amp;""),0)/IFERROR(--(INDEX('Reguler Class Availability'!$F:$F,P106)&amp;""),0),"0%")&amp;")","")&amp;CHAR(10)&amp;IF(INDEX('Reguler Class Availability'!$I:$I,P106)&amp;""="","coach: –",PROPER(INDEX('Reguler Class Availability'!$I:$I,P106)&amp;""))&amp;IF(INDEX('Reguler Class Availability'!$J:$J,P106)&amp;""="","",CHAR(10)&amp;"asst: "&amp;PROPER(INDEX('Reguler Class Availability'!$J:$J,P106)&amp;""))))</f>
        <v>–</v>
      </c>
      <c r="J106" s="4" t="n">
        <f aca="false">IF($A106="","",IFERROR(MATCH($B$4&amp;"|- Lane 6 - "&amp;B$105&amp;"|"&amp;$A106,'Reguler Class Availability'!$L:$L,0),""))</f>
        <v>436</v>
      </c>
      <c r="K106" s="4" t="n">
        <f aca="false">IF($A106="","",IFERROR(MATCH($B$4&amp;"|- Lane 6 - "&amp;C$105&amp;"|"&amp;$A106,'Reguler Class Availability'!$L:$L,0),""))</f>
        <v>448</v>
      </c>
      <c r="L106" s="4" t="n">
        <f aca="false">IF($A106="","",IFERROR(MATCH($B$4&amp;"|- Lane 6 - "&amp;D$105&amp;"|"&amp;$A106,'Reguler Class Availability'!$L:$L,0),""))</f>
        <v>460</v>
      </c>
      <c r="M106" s="4" t="n">
        <f aca="false">IF($A106="","",IFERROR(MATCH($B$4&amp;"|- Lane 6 - "&amp;E$105&amp;"|"&amp;$A106,'Reguler Class Availability'!$L:$L,0),""))</f>
        <v>472</v>
      </c>
      <c r="N106" s="4" t="n">
        <f aca="false">IF($A106="","",IFERROR(MATCH($B$4&amp;"|- Lane 6 - "&amp;F$105&amp;"|"&amp;$A106,'Reguler Class Availability'!$L:$L,0),""))</f>
        <v>484</v>
      </c>
      <c r="O106" s="4" t="n">
        <f aca="false">IF($A106="","",IFERROR(MATCH($B$4&amp;"|- Lane 6 - "&amp;G$105&amp;"|"&amp;$A106,'Reguler Class Availability'!$L:$L,0),""))</f>
        <v>496</v>
      </c>
      <c r="P106" s="4" t="n">
        <f aca="false">IF($A106="","",IFERROR(MATCH($B$4&amp;"|- Lane 6 - "&amp;H$105&amp;"|"&amp;$A106,'Reguler Class Availability'!$L:$L,0),""))</f>
        <v>508</v>
      </c>
      <c r="R106" s="0" t="str">
        <f aca="false">IF(J106="","",IF(AND(IFERROR(--(INDEX('Reguler Class Availability'!$F:$F,J106)&amp;""),0)=0,IFERROR(--(INDEX('Reguler Class Availability'!$G:$G,J106)&amp;""),0)=0),IF(OR(INDEX('Reguler Class Availability'!$B:$B,J106)&amp;""&lt;&gt;"",INDEX('Reguler Class Availability'!$I:$I,J106)&amp;""&lt;&gt;""),"Tutup","Tidak dibuka"),IF(IFERROR(--(INDEX('Reguler Class Availability'!$G:$G,J106)&amp;""),0)&gt;IFERROR(--(INDEX('Reguler Class Availability'!$F:$F,J106)&amp;""),0),"Lebih",IF(IFERROR(--(INDEX('Reguler Class Availability'!$G:$G,J106)&amp;""),0)=IFERROR(--(INDEX('Reguler Class Availability'!$F:$F,J106)&amp;""),0),"Penuh",IF(IFERROR(--(INDEX('Reguler Class Availability'!$G:$G,J106)&amp;""),0)=0,IF(INDEX('Reguler Class Availability'!$B:$B,J106)&amp;""="","Kosong","Belum terisi"),IF(IFERROR(--(INDEX('Reguler Class Availability'!$G:$G,J106)&amp;""),0)/IFERROR(--(INDEX('Reguler Class Availability'!$F:$F,J106)&amp;""),0)&gt;=0.6,"Tinggi","Sebagian"))))))</f>
        <v>Tidak dibuka</v>
      </c>
      <c r="S106" s="0" t="str">
        <f aca="false">IF(K106="","",IF(AND(IFERROR(--(INDEX('Reguler Class Availability'!$F:$F,K106)&amp;""),0)=0,IFERROR(--(INDEX('Reguler Class Availability'!$G:$G,K106)&amp;""),0)=0),IF(OR(INDEX('Reguler Class Availability'!$B:$B,K106)&amp;""&lt;&gt;"",INDEX('Reguler Class Availability'!$I:$I,K106)&amp;""&lt;&gt;""),"Tutup","Tidak dibuka"),IF(IFERROR(--(INDEX('Reguler Class Availability'!$G:$G,K106)&amp;""),0)&gt;IFERROR(--(INDEX('Reguler Class Availability'!$F:$F,K106)&amp;""),0),"Lebih",IF(IFERROR(--(INDEX('Reguler Class Availability'!$G:$G,K106)&amp;""),0)=IFERROR(--(INDEX('Reguler Class Availability'!$F:$F,K106)&amp;""),0),"Penuh",IF(IFERROR(--(INDEX('Reguler Class Availability'!$G:$G,K106)&amp;""),0)=0,IF(INDEX('Reguler Class Availability'!$B:$B,K106)&amp;""="","Kosong","Belum terisi"),IF(IFERROR(--(INDEX('Reguler Class Availability'!$G:$G,K106)&amp;""),0)/IFERROR(--(INDEX('Reguler Class Availability'!$F:$F,K106)&amp;""),0)&gt;=0.6,"Tinggi","Sebagian"))))))</f>
        <v>Tidak dibuka</v>
      </c>
      <c r="T106" s="0" t="str">
        <f aca="false">IF(L106="","",IF(AND(IFERROR(--(INDEX('Reguler Class Availability'!$F:$F,L106)&amp;""),0)=0,IFERROR(--(INDEX('Reguler Class Availability'!$G:$G,L106)&amp;""),0)=0),IF(OR(INDEX('Reguler Class Availability'!$B:$B,L106)&amp;""&lt;&gt;"",INDEX('Reguler Class Availability'!$I:$I,L106)&amp;""&lt;&gt;""),"Tutup","Tidak dibuka"),IF(IFERROR(--(INDEX('Reguler Class Availability'!$G:$G,L106)&amp;""),0)&gt;IFERROR(--(INDEX('Reguler Class Availability'!$F:$F,L106)&amp;""),0),"Lebih",IF(IFERROR(--(INDEX('Reguler Class Availability'!$G:$G,L106)&amp;""),0)=IFERROR(--(INDEX('Reguler Class Availability'!$F:$F,L106)&amp;""),0),"Penuh",IF(IFERROR(--(INDEX('Reguler Class Availability'!$G:$G,L106)&amp;""),0)=0,IF(INDEX('Reguler Class Availability'!$B:$B,L106)&amp;""="","Kosong","Belum terisi"),IF(IFERROR(--(INDEX('Reguler Class Availability'!$G:$G,L106)&amp;""),0)/IFERROR(--(INDEX('Reguler Class Availability'!$F:$F,L106)&amp;""),0)&gt;=0.6,"Tinggi","Sebagian"))))))</f>
        <v>Tidak dibuka</v>
      </c>
      <c r="U106" s="0" t="str">
        <f aca="false">IF(M106="","",IF(AND(IFERROR(--(INDEX('Reguler Class Availability'!$F:$F,M106)&amp;""),0)=0,IFERROR(--(INDEX('Reguler Class Availability'!$G:$G,M106)&amp;""),0)=0),IF(OR(INDEX('Reguler Class Availability'!$B:$B,M106)&amp;""&lt;&gt;"",INDEX('Reguler Class Availability'!$I:$I,M106)&amp;""&lt;&gt;""),"Tutup","Tidak dibuka"),IF(IFERROR(--(INDEX('Reguler Class Availability'!$G:$G,M106)&amp;""),0)&gt;IFERROR(--(INDEX('Reguler Class Availability'!$F:$F,M106)&amp;""),0),"Lebih",IF(IFERROR(--(INDEX('Reguler Class Availability'!$G:$G,M106)&amp;""),0)=IFERROR(--(INDEX('Reguler Class Availability'!$F:$F,M106)&amp;""),0),"Penuh",IF(IFERROR(--(INDEX('Reguler Class Availability'!$G:$G,M106)&amp;""),0)=0,IF(INDEX('Reguler Class Availability'!$B:$B,M106)&amp;""="","Kosong","Belum terisi"),IF(IFERROR(--(INDEX('Reguler Class Availability'!$G:$G,M106)&amp;""),0)/IFERROR(--(INDEX('Reguler Class Availability'!$F:$F,M106)&amp;""),0)&gt;=0.6,"Tinggi","Sebagian"))))))</f>
        <v>Tidak dibuka</v>
      </c>
      <c r="V106" s="0" t="str">
        <f aca="false">IF(N106="","",IF(AND(IFERROR(--(INDEX('Reguler Class Availability'!$F:$F,N106)&amp;""),0)=0,IFERROR(--(INDEX('Reguler Class Availability'!$G:$G,N106)&amp;""),0)=0),IF(OR(INDEX('Reguler Class Availability'!$B:$B,N106)&amp;""&lt;&gt;"",INDEX('Reguler Class Availability'!$I:$I,N106)&amp;""&lt;&gt;""),"Tutup","Tidak dibuka"),IF(IFERROR(--(INDEX('Reguler Class Availability'!$G:$G,N106)&amp;""),0)&gt;IFERROR(--(INDEX('Reguler Class Availability'!$F:$F,N106)&amp;""),0),"Lebih",IF(IFERROR(--(INDEX('Reguler Class Availability'!$G:$G,N106)&amp;""),0)=IFERROR(--(INDEX('Reguler Class Availability'!$F:$F,N106)&amp;""),0),"Penuh",IF(IFERROR(--(INDEX('Reguler Class Availability'!$G:$G,N106)&amp;""),0)=0,IF(INDEX('Reguler Class Availability'!$B:$B,N106)&amp;""="","Kosong","Belum terisi"),IF(IFERROR(--(INDEX('Reguler Class Availability'!$G:$G,N106)&amp;""),0)/IFERROR(--(INDEX('Reguler Class Availability'!$F:$F,N106)&amp;""),0)&gt;=0.6,"Tinggi","Sebagian"))))))</f>
        <v>Tidak dibuka</v>
      </c>
      <c r="W106" s="0" t="str">
        <f aca="false">IF(O106="","",IF(AND(IFERROR(--(INDEX('Reguler Class Availability'!$F:$F,O106)&amp;""),0)=0,IFERROR(--(INDEX('Reguler Class Availability'!$G:$G,O106)&amp;""),0)=0),IF(OR(INDEX('Reguler Class Availability'!$B:$B,O106)&amp;""&lt;&gt;"",INDEX('Reguler Class Availability'!$I:$I,O106)&amp;""&lt;&gt;""),"Tutup","Tidak dibuka"),IF(IFERROR(--(INDEX('Reguler Class Availability'!$G:$G,O106)&amp;""),0)&gt;IFERROR(--(INDEX('Reguler Class Availability'!$F:$F,O106)&amp;""),0),"Lebih",IF(IFERROR(--(INDEX('Reguler Class Availability'!$G:$G,O106)&amp;""),0)=IFERROR(--(INDEX('Reguler Class Availability'!$F:$F,O106)&amp;""),0),"Penuh",IF(IFERROR(--(INDEX('Reguler Class Availability'!$G:$G,O106)&amp;""),0)=0,IF(INDEX('Reguler Class Availability'!$B:$B,O106)&amp;""="","Kosong","Belum terisi"),IF(IFERROR(--(INDEX('Reguler Class Availability'!$G:$G,O106)&amp;""),0)/IFERROR(--(INDEX('Reguler Class Availability'!$F:$F,O106)&amp;""),0)&gt;=0.6,"Tinggi","Sebagian"))))))</f>
        <v>Tidak dibuka</v>
      </c>
      <c r="X106" s="0" t="str">
        <f aca="false">IF(P106="","",IF(AND(IFERROR(--(INDEX('Reguler Class Availability'!$F:$F,P106)&amp;""),0)=0,IFERROR(--(INDEX('Reguler Class Availability'!$G:$G,P106)&amp;""),0)=0),IF(OR(INDEX('Reguler Class Availability'!$B:$B,P106)&amp;""&lt;&gt;"",INDEX('Reguler Class Availability'!$I:$I,P106)&amp;""&lt;&gt;""),"Tutup","Tidak dibuka"),IF(IFERROR(--(INDEX('Reguler Class Availability'!$G:$G,P106)&amp;""),0)&gt;IFERROR(--(INDEX('Reguler Class Availability'!$F:$F,P106)&amp;""),0),"Lebih",IF(IFERROR(--(INDEX('Reguler Class Availability'!$G:$G,P106)&amp;""),0)=IFERROR(--(INDEX('Reguler Class Availability'!$F:$F,P106)&amp;""),0),"Penuh",IF(IFERROR(--(INDEX('Reguler Class Availability'!$G:$G,P106)&amp;""),0)=0,IF(INDEX('Reguler Class Availability'!$B:$B,P106)&amp;""="","Kosong","Belum terisi"),IF(IFERROR(--(INDEX('Reguler Class Availability'!$G:$G,P106)&amp;""),0)/IFERROR(--(INDEX('Reguler Class Availability'!$F:$F,P106)&amp;""),0)&gt;=0.6,"Tinggi","Sebagian"))))))</f>
        <v>Tidak dibuka</v>
      </c>
      <c r="Z106" s="4" t="s">
        <v>81</v>
      </c>
      <c r="AA106" s="4" t="n">
        <f aca="false">IF(COUNTIFS('Reguler Class Availability'!$L:$L,$B$4&amp;"|- Lane 2 - *|"&amp;Z106)&gt;0,1,0)</f>
        <v>0</v>
      </c>
      <c r="AB106" s="4" t="n">
        <f aca="false">AA106+AB105</f>
        <v>11</v>
      </c>
    </row>
    <row r="107" customFormat="false" ht="39.75" hidden="false" customHeight="true" outlineLevel="0" collapsed="false">
      <c r="A107" s="39" t="str">
        <f aca="false">IFERROR(INDEX($Z$302:$Z$361,MATCH(2,$AB$302:$AB$361,0)),"")</f>
        <v>08:45</v>
      </c>
      <c r="B107" s="40" t="str">
        <f aca="false">IF(J107="","",IF(R107="Tidak dibuka","–",IF(INDEX('Reguler Class Availability'!$B:$B,J107)&amp;""="","Kosong",PROPER(INDEX('Reguler Class Availability'!$B:$B,J107)&amp;""))&amp;"  "&amp;IFERROR(--(INDEX('Reguler Class Availability'!$G:$G,J107)&amp;""),0)&amp;"/"&amp;IFERROR(--(INDEX('Reguler Class Availability'!$F:$F,J107)&amp;""),0)&amp;IF(IFERROR(--(INDEX('Reguler Class Availability'!$F:$F,J107)&amp;""),0)&gt;0,"  ("&amp;TEXT(IFERROR(--(INDEX('Reguler Class Availability'!$G:$G,J107)&amp;""),0)/IFERROR(--(INDEX('Reguler Class Availability'!$F:$F,J107)&amp;""),0),"0%")&amp;")","")&amp;CHAR(10)&amp;IF(INDEX('Reguler Class Availability'!$I:$I,J107)&amp;""="","coach: –",PROPER(INDEX('Reguler Class Availability'!$I:$I,J107)&amp;""))&amp;IF(INDEX('Reguler Class Availability'!$J:$J,J107)&amp;""="","",CHAR(10)&amp;"asst: "&amp;PROPER(INDEX('Reguler Class Availability'!$J:$J,J107)&amp;""))))</f>
        <v>–</v>
      </c>
      <c r="C107" s="40" t="str">
        <f aca="false">IF(K107="","",IF(S107="Tidak dibuka","–",IF(INDEX('Reguler Class Availability'!$B:$B,K107)&amp;""="","Kosong",PROPER(INDEX('Reguler Class Availability'!$B:$B,K107)&amp;""))&amp;"  "&amp;IFERROR(--(INDEX('Reguler Class Availability'!$G:$G,K107)&amp;""),0)&amp;"/"&amp;IFERROR(--(INDEX('Reguler Class Availability'!$F:$F,K107)&amp;""),0)&amp;IF(IFERROR(--(INDEX('Reguler Class Availability'!$F:$F,K107)&amp;""),0)&gt;0,"  ("&amp;TEXT(IFERROR(--(INDEX('Reguler Class Availability'!$G:$G,K107)&amp;""),0)/IFERROR(--(INDEX('Reguler Class Availability'!$F:$F,K107)&amp;""),0),"0%")&amp;")","")&amp;CHAR(10)&amp;IF(INDEX('Reguler Class Availability'!$I:$I,K107)&amp;""="","coach: –",PROPER(INDEX('Reguler Class Availability'!$I:$I,K107)&amp;""))&amp;IF(INDEX('Reguler Class Availability'!$J:$J,K107)&amp;""="","",CHAR(10)&amp;"asst: "&amp;PROPER(INDEX('Reguler Class Availability'!$J:$J,K107)&amp;""))))</f>
        <v>–</v>
      </c>
      <c r="D107" s="40" t="str">
        <f aca="false">IF(L107="","",IF(T107="Tidak dibuka","–",IF(INDEX('Reguler Class Availability'!$B:$B,L107)&amp;""="","Kosong",PROPER(INDEX('Reguler Class Availability'!$B:$B,L107)&amp;""))&amp;"  "&amp;IFERROR(--(INDEX('Reguler Class Availability'!$G:$G,L107)&amp;""),0)&amp;"/"&amp;IFERROR(--(INDEX('Reguler Class Availability'!$F:$F,L107)&amp;""),0)&amp;IF(IFERROR(--(INDEX('Reguler Class Availability'!$F:$F,L107)&amp;""),0)&gt;0,"  ("&amp;TEXT(IFERROR(--(INDEX('Reguler Class Availability'!$G:$G,L107)&amp;""),0)/IFERROR(--(INDEX('Reguler Class Availability'!$F:$F,L107)&amp;""),0),"0%")&amp;")","")&amp;CHAR(10)&amp;IF(INDEX('Reguler Class Availability'!$I:$I,L107)&amp;""="","coach: –",PROPER(INDEX('Reguler Class Availability'!$I:$I,L107)&amp;""))&amp;IF(INDEX('Reguler Class Availability'!$J:$J,L107)&amp;""="","",CHAR(10)&amp;"asst: "&amp;PROPER(INDEX('Reguler Class Availability'!$J:$J,L107)&amp;""))))</f>
        <v>–</v>
      </c>
      <c r="E107" s="40" t="str">
        <f aca="false">IF(M107="","",IF(U107="Tidak dibuka","–",IF(INDEX('Reguler Class Availability'!$B:$B,M107)&amp;""="","Kosong",PROPER(INDEX('Reguler Class Availability'!$B:$B,M107)&amp;""))&amp;"  "&amp;IFERROR(--(INDEX('Reguler Class Availability'!$G:$G,M107)&amp;""),0)&amp;"/"&amp;IFERROR(--(INDEX('Reguler Class Availability'!$F:$F,M107)&amp;""),0)&amp;IF(IFERROR(--(INDEX('Reguler Class Availability'!$F:$F,M107)&amp;""),0)&gt;0,"  ("&amp;TEXT(IFERROR(--(INDEX('Reguler Class Availability'!$G:$G,M107)&amp;""),0)/IFERROR(--(INDEX('Reguler Class Availability'!$F:$F,M107)&amp;""),0),"0%")&amp;")","")&amp;CHAR(10)&amp;IF(INDEX('Reguler Class Availability'!$I:$I,M107)&amp;""="","coach: –",PROPER(INDEX('Reguler Class Availability'!$I:$I,M107)&amp;""))&amp;IF(INDEX('Reguler Class Availability'!$J:$J,M107)&amp;""="","",CHAR(10)&amp;"asst: "&amp;PROPER(INDEX('Reguler Class Availability'!$J:$J,M107)&amp;""))))</f>
        <v>–</v>
      </c>
      <c r="F107" s="40" t="str">
        <f aca="false">IF(N107="","",IF(V107="Tidak dibuka","–",IF(INDEX('Reguler Class Availability'!$B:$B,N107)&amp;""="","Kosong",PROPER(INDEX('Reguler Class Availability'!$B:$B,N107)&amp;""))&amp;"  "&amp;IFERROR(--(INDEX('Reguler Class Availability'!$G:$G,N107)&amp;""),0)&amp;"/"&amp;IFERROR(--(INDEX('Reguler Class Availability'!$F:$F,N107)&amp;""),0)&amp;IF(IFERROR(--(INDEX('Reguler Class Availability'!$F:$F,N107)&amp;""),0)&gt;0,"  ("&amp;TEXT(IFERROR(--(INDEX('Reguler Class Availability'!$G:$G,N107)&amp;""),0)/IFERROR(--(INDEX('Reguler Class Availability'!$F:$F,N107)&amp;""),0),"0%")&amp;")","")&amp;CHAR(10)&amp;IF(INDEX('Reguler Class Availability'!$I:$I,N107)&amp;""="","coach: –",PROPER(INDEX('Reguler Class Availability'!$I:$I,N107)&amp;""))&amp;IF(INDEX('Reguler Class Availability'!$J:$J,N107)&amp;""="","",CHAR(10)&amp;"asst: "&amp;PROPER(INDEX('Reguler Class Availability'!$J:$J,N107)&amp;""))))</f>
        <v>–</v>
      </c>
      <c r="G107" s="40" t="str">
        <f aca="false">IF(O107="","",IF(W107="Tidak dibuka","–",IF(INDEX('Reguler Class Availability'!$B:$B,O107)&amp;""="","Kosong",PROPER(INDEX('Reguler Class Availability'!$B:$B,O107)&amp;""))&amp;"  "&amp;IFERROR(--(INDEX('Reguler Class Availability'!$G:$G,O107)&amp;""),0)&amp;"/"&amp;IFERROR(--(INDEX('Reguler Class Availability'!$F:$F,O107)&amp;""),0)&amp;IF(IFERROR(--(INDEX('Reguler Class Availability'!$F:$F,O107)&amp;""),0)&gt;0,"  ("&amp;TEXT(IFERROR(--(INDEX('Reguler Class Availability'!$G:$G,O107)&amp;""),0)/IFERROR(--(INDEX('Reguler Class Availability'!$F:$F,O107)&amp;""),0),"0%")&amp;")","")&amp;CHAR(10)&amp;IF(INDEX('Reguler Class Availability'!$I:$I,O107)&amp;""="","coach: –",PROPER(INDEX('Reguler Class Availability'!$I:$I,O107)&amp;""))&amp;IF(INDEX('Reguler Class Availability'!$J:$J,O107)&amp;""="","",CHAR(10)&amp;"asst: "&amp;PROPER(INDEX('Reguler Class Availability'!$J:$J,O107)&amp;""))))</f>
        <v>Kids  4/0
Gita</v>
      </c>
      <c r="H107" s="40" t="str">
        <f aca="false">IF(P107="","",IF(X107="Tidak dibuka","–",IF(INDEX('Reguler Class Availability'!$B:$B,P107)&amp;""="","Kosong",PROPER(INDEX('Reguler Class Availability'!$B:$B,P107)&amp;""))&amp;"  "&amp;IFERROR(--(INDEX('Reguler Class Availability'!$G:$G,P107)&amp;""),0)&amp;"/"&amp;IFERROR(--(INDEX('Reguler Class Availability'!$F:$F,P107)&amp;""),0)&amp;IF(IFERROR(--(INDEX('Reguler Class Availability'!$F:$F,P107)&amp;""),0)&gt;0,"  ("&amp;TEXT(IFERROR(--(INDEX('Reguler Class Availability'!$G:$G,P107)&amp;""),0)/IFERROR(--(INDEX('Reguler Class Availability'!$F:$F,P107)&amp;""),0),"0%")&amp;")","")&amp;CHAR(10)&amp;IF(INDEX('Reguler Class Availability'!$I:$I,P107)&amp;""="","coach: –",PROPER(INDEX('Reguler Class Availability'!$I:$I,P107)&amp;""))&amp;IF(INDEX('Reguler Class Availability'!$J:$J,P107)&amp;""="","",CHAR(10)&amp;"asst: "&amp;PROPER(INDEX('Reguler Class Availability'!$J:$J,P107)&amp;""))))</f>
        <v>–</v>
      </c>
      <c r="J107" s="4" t="n">
        <f aca="false">IF($A107="","",IFERROR(MATCH($B$4&amp;"|- Lane 6 - "&amp;B$105&amp;"|"&amp;$A107,'Reguler Class Availability'!$L:$L,0),""))</f>
        <v>437</v>
      </c>
      <c r="K107" s="4" t="n">
        <f aca="false">IF($A107="","",IFERROR(MATCH($B$4&amp;"|- Lane 6 - "&amp;C$105&amp;"|"&amp;$A107,'Reguler Class Availability'!$L:$L,0),""))</f>
        <v>449</v>
      </c>
      <c r="L107" s="4" t="n">
        <f aca="false">IF($A107="","",IFERROR(MATCH($B$4&amp;"|- Lane 6 - "&amp;D$105&amp;"|"&amp;$A107,'Reguler Class Availability'!$L:$L,0),""))</f>
        <v>461</v>
      </c>
      <c r="M107" s="4" t="n">
        <f aca="false">IF($A107="","",IFERROR(MATCH($B$4&amp;"|- Lane 6 - "&amp;E$105&amp;"|"&amp;$A107,'Reguler Class Availability'!$L:$L,0),""))</f>
        <v>473</v>
      </c>
      <c r="N107" s="4" t="n">
        <f aca="false">IF($A107="","",IFERROR(MATCH($B$4&amp;"|- Lane 6 - "&amp;F$105&amp;"|"&amp;$A107,'Reguler Class Availability'!$L:$L,0),""))</f>
        <v>485</v>
      </c>
      <c r="O107" s="4" t="n">
        <f aca="false">IF($A107="","",IFERROR(MATCH($B$4&amp;"|- Lane 6 - "&amp;G$105&amp;"|"&amp;$A107,'Reguler Class Availability'!$L:$L,0),""))</f>
        <v>497</v>
      </c>
      <c r="P107" s="4" t="n">
        <f aca="false">IF($A107="","",IFERROR(MATCH($B$4&amp;"|- Lane 6 - "&amp;H$105&amp;"|"&amp;$A107,'Reguler Class Availability'!$L:$L,0),""))</f>
        <v>509</v>
      </c>
      <c r="R107" s="0" t="str">
        <f aca="false">IF(J107="","",IF(AND(IFERROR(--(INDEX('Reguler Class Availability'!$F:$F,J107)&amp;""),0)=0,IFERROR(--(INDEX('Reguler Class Availability'!$G:$G,J107)&amp;""),0)=0),IF(OR(INDEX('Reguler Class Availability'!$B:$B,J107)&amp;""&lt;&gt;"",INDEX('Reguler Class Availability'!$I:$I,J107)&amp;""&lt;&gt;""),"Tutup","Tidak dibuka"),IF(IFERROR(--(INDEX('Reguler Class Availability'!$G:$G,J107)&amp;""),0)&gt;IFERROR(--(INDEX('Reguler Class Availability'!$F:$F,J107)&amp;""),0),"Lebih",IF(IFERROR(--(INDEX('Reguler Class Availability'!$G:$G,J107)&amp;""),0)=IFERROR(--(INDEX('Reguler Class Availability'!$F:$F,J107)&amp;""),0),"Penuh",IF(IFERROR(--(INDEX('Reguler Class Availability'!$G:$G,J107)&amp;""),0)=0,IF(INDEX('Reguler Class Availability'!$B:$B,J107)&amp;""="","Kosong","Belum terisi"),IF(IFERROR(--(INDEX('Reguler Class Availability'!$G:$G,J107)&amp;""),0)/IFERROR(--(INDEX('Reguler Class Availability'!$F:$F,J107)&amp;""),0)&gt;=0.6,"Tinggi","Sebagian"))))))</f>
        <v>Tidak dibuka</v>
      </c>
      <c r="S107" s="0" t="str">
        <f aca="false">IF(K107="","",IF(AND(IFERROR(--(INDEX('Reguler Class Availability'!$F:$F,K107)&amp;""),0)=0,IFERROR(--(INDEX('Reguler Class Availability'!$G:$G,K107)&amp;""),0)=0),IF(OR(INDEX('Reguler Class Availability'!$B:$B,K107)&amp;""&lt;&gt;"",INDEX('Reguler Class Availability'!$I:$I,K107)&amp;""&lt;&gt;""),"Tutup","Tidak dibuka"),IF(IFERROR(--(INDEX('Reguler Class Availability'!$G:$G,K107)&amp;""),0)&gt;IFERROR(--(INDEX('Reguler Class Availability'!$F:$F,K107)&amp;""),0),"Lebih",IF(IFERROR(--(INDEX('Reguler Class Availability'!$G:$G,K107)&amp;""),0)=IFERROR(--(INDEX('Reguler Class Availability'!$F:$F,K107)&amp;""),0),"Penuh",IF(IFERROR(--(INDEX('Reguler Class Availability'!$G:$G,K107)&amp;""),0)=0,IF(INDEX('Reguler Class Availability'!$B:$B,K107)&amp;""="","Kosong","Belum terisi"),IF(IFERROR(--(INDEX('Reguler Class Availability'!$G:$G,K107)&amp;""),0)/IFERROR(--(INDEX('Reguler Class Availability'!$F:$F,K107)&amp;""),0)&gt;=0.6,"Tinggi","Sebagian"))))))</f>
        <v>Tidak dibuka</v>
      </c>
      <c r="T107" s="0" t="str">
        <f aca="false">IF(L107="","",IF(AND(IFERROR(--(INDEX('Reguler Class Availability'!$F:$F,L107)&amp;""),0)=0,IFERROR(--(INDEX('Reguler Class Availability'!$G:$G,L107)&amp;""),0)=0),IF(OR(INDEX('Reguler Class Availability'!$B:$B,L107)&amp;""&lt;&gt;"",INDEX('Reguler Class Availability'!$I:$I,L107)&amp;""&lt;&gt;""),"Tutup","Tidak dibuka"),IF(IFERROR(--(INDEX('Reguler Class Availability'!$G:$G,L107)&amp;""),0)&gt;IFERROR(--(INDEX('Reguler Class Availability'!$F:$F,L107)&amp;""),0),"Lebih",IF(IFERROR(--(INDEX('Reguler Class Availability'!$G:$G,L107)&amp;""),0)=IFERROR(--(INDEX('Reguler Class Availability'!$F:$F,L107)&amp;""),0),"Penuh",IF(IFERROR(--(INDEX('Reguler Class Availability'!$G:$G,L107)&amp;""),0)=0,IF(INDEX('Reguler Class Availability'!$B:$B,L107)&amp;""="","Kosong","Belum terisi"),IF(IFERROR(--(INDEX('Reguler Class Availability'!$G:$G,L107)&amp;""),0)/IFERROR(--(INDEX('Reguler Class Availability'!$F:$F,L107)&amp;""),0)&gt;=0.6,"Tinggi","Sebagian"))))))</f>
        <v>Tidak dibuka</v>
      </c>
      <c r="U107" s="0" t="str">
        <f aca="false">IF(M107="","",IF(AND(IFERROR(--(INDEX('Reguler Class Availability'!$F:$F,M107)&amp;""),0)=0,IFERROR(--(INDEX('Reguler Class Availability'!$G:$G,M107)&amp;""),0)=0),IF(OR(INDEX('Reguler Class Availability'!$B:$B,M107)&amp;""&lt;&gt;"",INDEX('Reguler Class Availability'!$I:$I,M107)&amp;""&lt;&gt;""),"Tutup","Tidak dibuka"),IF(IFERROR(--(INDEX('Reguler Class Availability'!$G:$G,M107)&amp;""),0)&gt;IFERROR(--(INDEX('Reguler Class Availability'!$F:$F,M107)&amp;""),0),"Lebih",IF(IFERROR(--(INDEX('Reguler Class Availability'!$G:$G,M107)&amp;""),0)=IFERROR(--(INDEX('Reguler Class Availability'!$F:$F,M107)&amp;""),0),"Penuh",IF(IFERROR(--(INDEX('Reguler Class Availability'!$G:$G,M107)&amp;""),0)=0,IF(INDEX('Reguler Class Availability'!$B:$B,M107)&amp;""="","Kosong","Belum terisi"),IF(IFERROR(--(INDEX('Reguler Class Availability'!$G:$G,M107)&amp;""),0)/IFERROR(--(INDEX('Reguler Class Availability'!$F:$F,M107)&amp;""),0)&gt;=0.6,"Tinggi","Sebagian"))))))</f>
        <v>Tidak dibuka</v>
      </c>
      <c r="V107" s="0" t="str">
        <f aca="false">IF(N107="","",IF(AND(IFERROR(--(INDEX('Reguler Class Availability'!$F:$F,N107)&amp;""),0)=0,IFERROR(--(INDEX('Reguler Class Availability'!$G:$G,N107)&amp;""),0)=0),IF(OR(INDEX('Reguler Class Availability'!$B:$B,N107)&amp;""&lt;&gt;"",INDEX('Reguler Class Availability'!$I:$I,N107)&amp;""&lt;&gt;""),"Tutup","Tidak dibuka"),IF(IFERROR(--(INDEX('Reguler Class Availability'!$G:$G,N107)&amp;""),0)&gt;IFERROR(--(INDEX('Reguler Class Availability'!$F:$F,N107)&amp;""),0),"Lebih",IF(IFERROR(--(INDEX('Reguler Class Availability'!$G:$G,N107)&amp;""),0)=IFERROR(--(INDEX('Reguler Class Availability'!$F:$F,N107)&amp;""),0),"Penuh",IF(IFERROR(--(INDEX('Reguler Class Availability'!$G:$G,N107)&amp;""),0)=0,IF(INDEX('Reguler Class Availability'!$B:$B,N107)&amp;""="","Kosong","Belum terisi"),IF(IFERROR(--(INDEX('Reguler Class Availability'!$G:$G,N107)&amp;""),0)/IFERROR(--(INDEX('Reguler Class Availability'!$F:$F,N107)&amp;""),0)&gt;=0.6,"Tinggi","Sebagian"))))))</f>
        <v>Tidak dibuka</v>
      </c>
      <c r="W107" s="0" t="str">
        <f aca="false">IF(O107="","",IF(AND(IFERROR(--(INDEX('Reguler Class Availability'!$F:$F,O107)&amp;""),0)=0,IFERROR(--(INDEX('Reguler Class Availability'!$G:$G,O107)&amp;""),0)=0),IF(OR(INDEX('Reguler Class Availability'!$B:$B,O107)&amp;""&lt;&gt;"",INDEX('Reguler Class Availability'!$I:$I,O107)&amp;""&lt;&gt;""),"Tutup","Tidak dibuka"),IF(IFERROR(--(INDEX('Reguler Class Availability'!$G:$G,O107)&amp;""),0)&gt;IFERROR(--(INDEX('Reguler Class Availability'!$F:$F,O107)&amp;""),0),"Lebih",IF(IFERROR(--(INDEX('Reguler Class Availability'!$G:$G,O107)&amp;""),0)=IFERROR(--(INDEX('Reguler Class Availability'!$F:$F,O107)&amp;""),0),"Penuh",IF(IFERROR(--(INDEX('Reguler Class Availability'!$G:$G,O107)&amp;""),0)=0,IF(INDEX('Reguler Class Availability'!$B:$B,O107)&amp;""="","Kosong","Belum terisi"),IF(IFERROR(--(INDEX('Reguler Class Availability'!$G:$G,O107)&amp;""),0)/IFERROR(--(INDEX('Reguler Class Availability'!$F:$F,O107)&amp;""),0)&gt;=0.6,"Tinggi","Sebagian"))))))</f>
        <v>Lebih</v>
      </c>
      <c r="X107" s="0" t="str">
        <f aca="false">IF(P107="","",IF(AND(IFERROR(--(INDEX('Reguler Class Availability'!$F:$F,P107)&amp;""),0)=0,IFERROR(--(INDEX('Reguler Class Availability'!$G:$G,P107)&amp;""),0)=0),IF(OR(INDEX('Reguler Class Availability'!$B:$B,P107)&amp;""&lt;&gt;"",INDEX('Reguler Class Availability'!$I:$I,P107)&amp;""&lt;&gt;""),"Tutup","Tidak dibuka"),IF(IFERROR(--(INDEX('Reguler Class Availability'!$G:$G,P107)&amp;""),0)&gt;IFERROR(--(INDEX('Reguler Class Availability'!$F:$F,P107)&amp;""),0),"Lebih",IF(IFERROR(--(INDEX('Reguler Class Availability'!$G:$G,P107)&amp;""),0)=IFERROR(--(INDEX('Reguler Class Availability'!$F:$F,P107)&amp;""),0),"Penuh",IF(IFERROR(--(INDEX('Reguler Class Availability'!$G:$G,P107)&amp;""),0)=0,IF(INDEX('Reguler Class Availability'!$B:$B,P107)&amp;""="","Kosong","Belum terisi"),IF(IFERROR(--(INDEX('Reguler Class Availability'!$G:$G,P107)&amp;""),0)/IFERROR(--(INDEX('Reguler Class Availability'!$F:$F,P107)&amp;""),0)&gt;=0.6,"Tinggi","Sebagian"))))))</f>
        <v>Tidak dibuka</v>
      </c>
      <c r="Z107" s="4" t="s">
        <v>82</v>
      </c>
      <c r="AA107" s="4" t="n">
        <f aca="false">IF(COUNTIFS('Reguler Class Availability'!$L:$L,$B$4&amp;"|- Lane 2 - *|"&amp;Z107)&gt;0,1,0)</f>
        <v>1</v>
      </c>
      <c r="AB107" s="4" t="n">
        <f aca="false">AA107+AB106</f>
        <v>12</v>
      </c>
    </row>
    <row r="108" customFormat="false" ht="39.75" hidden="false" customHeight="true" outlineLevel="0" collapsed="false">
      <c r="A108" s="39" t="str">
        <f aca="false">IFERROR(INDEX($Z$302:$Z$361,MATCH(3,$AB$302:$AB$361,0)),"")</f>
        <v>09:30</v>
      </c>
      <c r="B108" s="40" t="str">
        <f aca="false">IF(J108="","",IF(R108="Tidak dibuka","–",IF(INDEX('Reguler Class Availability'!$B:$B,J108)&amp;""="","Kosong",PROPER(INDEX('Reguler Class Availability'!$B:$B,J108)&amp;""))&amp;"  "&amp;IFERROR(--(INDEX('Reguler Class Availability'!$G:$G,J108)&amp;""),0)&amp;"/"&amp;IFERROR(--(INDEX('Reguler Class Availability'!$F:$F,J108)&amp;""),0)&amp;IF(IFERROR(--(INDEX('Reguler Class Availability'!$F:$F,J108)&amp;""),0)&gt;0,"  ("&amp;TEXT(IFERROR(--(INDEX('Reguler Class Availability'!$G:$G,J108)&amp;""),0)/IFERROR(--(INDEX('Reguler Class Availability'!$F:$F,J108)&amp;""),0),"0%")&amp;")","")&amp;CHAR(10)&amp;IF(INDEX('Reguler Class Availability'!$I:$I,J108)&amp;""="","coach: –",PROPER(INDEX('Reguler Class Availability'!$I:$I,J108)&amp;""))&amp;IF(INDEX('Reguler Class Availability'!$J:$J,J108)&amp;""="","",CHAR(10)&amp;"asst: "&amp;PROPER(INDEX('Reguler Class Availability'!$J:$J,J108)&amp;""))))</f>
        <v>–</v>
      </c>
      <c r="C108" s="40" t="str">
        <f aca="false">IF(K108="","",IF(S108="Tidak dibuka","–",IF(INDEX('Reguler Class Availability'!$B:$B,K108)&amp;""="","Kosong",PROPER(INDEX('Reguler Class Availability'!$B:$B,K108)&amp;""))&amp;"  "&amp;IFERROR(--(INDEX('Reguler Class Availability'!$G:$G,K108)&amp;""),0)&amp;"/"&amp;IFERROR(--(INDEX('Reguler Class Availability'!$F:$F,K108)&amp;""),0)&amp;IF(IFERROR(--(INDEX('Reguler Class Availability'!$F:$F,K108)&amp;""),0)&gt;0,"  ("&amp;TEXT(IFERROR(--(INDEX('Reguler Class Availability'!$G:$G,K108)&amp;""),0)/IFERROR(--(INDEX('Reguler Class Availability'!$F:$F,K108)&amp;""),0),"0%")&amp;")","")&amp;CHAR(10)&amp;IF(INDEX('Reguler Class Availability'!$I:$I,K108)&amp;""="","coach: –",PROPER(INDEX('Reguler Class Availability'!$I:$I,K108)&amp;""))&amp;IF(INDEX('Reguler Class Availability'!$J:$J,K108)&amp;""="","",CHAR(10)&amp;"asst: "&amp;PROPER(INDEX('Reguler Class Availability'!$J:$J,K108)&amp;""))))</f>
        <v>–</v>
      </c>
      <c r="D108" s="40" t="str">
        <f aca="false">IF(L108="","",IF(T108="Tidak dibuka","–",IF(INDEX('Reguler Class Availability'!$B:$B,L108)&amp;""="","Kosong",PROPER(INDEX('Reguler Class Availability'!$B:$B,L108)&amp;""))&amp;"  "&amp;IFERROR(--(INDEX('Reguler Class Availability'!$G:$G,L108)&amp;""),0)&amp;"/"&amp;IFERROR(--(INDEX('Reguler Class Availability'!$F:$F,L108)&amp;""),0)&amp;IF(IFERROR(--(INDEX('Reguler Class Availability'!$F:$F,L108)&amp;""),0)&gt;0,"  ("&amp;TEXT(IFERROR(--(INDEX('Reguler Class Availability'!$G:$G,L108)&amp;""),0)/IFERROR(--(INDEX('Reguler Class Availability'!$F:$F,L108)&amp;""),0),"0%")&amp;")","")&amp;CHAR(10)&amp;IF(INDEX('Reguler Class Availability'!$I:$I,L108)&amp;""="","coach: –",PROPER(INDEX('Reguler Class Availability'!$I:$I,L108)&amp;""))&amp;IF(INDEX('Reguler Class Availability'!$J:$J,L108)&amp;""="","",CHAR(10)&amp;"asst: "&amp;PROPER(INDEX('Reguler Class Availability'!$J:$J,L108)&amp;""))))</f>
        <v>–</v>
      </c>
      <c r="E108" s="40" t="str">
        <f aca="false">IF(M108="","",IF(U108="Tidak dibuka","–",IF(INDEX('Reguler Class Availability'!$B:$B,M108)&amp;""="","Kosong",PROPER(INDEX('Reguler Class Availability'!$B:$B,M108)&amp;""))&amp;"  "&amp;IFERROR(--(INDEX('Reguler Class Availability'!$G:$G,M108)&amp;""),0)&amp;"/"&amp;IFERROR(--(INDEX('Reguler Class Availability'!$F:$F,M108)&amp;""),0)&amp;IF(IFERROR(--(INDEX('Reguler Class Availability'!$F:$F,M108)&amp;""),0)&gt;0,"  ("&amp;TEXT(IFERROR(--(INDEX('Reguler Class Availability'!$G:$G,M108)&amp;""),0)/IFERROR(--(INDEX('Reguler Class Availability'!$F:$F,M108)&amp;""),0),"0%")&amp;")","")&amp;CHAR(10)&amp;IF(INDEX('Reguler Class Availability'!$I:$I,M108)&amp;""="","coach: –",PROPER(INDEX('Reguler Class Availability'!$I:$I,M108)&amp;""))&amp;IF(INDEX('Reguler Class Availability'!$J:$J,M108)&amp;""="","",CHAR(10)&amp;"asst: "&amp;PROPER(INDEX('Reguler Class Availability'!$J:$J,M108)&amp;""))))</f>
        <v>–</v>
      </c>
      <c r="F108" s="40" t="str">
        <f aca="false">IF(N108="","",IF(V108="Tidak dibuka","–",IF(INDEX('Reguler Class Availability'!$B:$B,N108)&amp;""="","Kosong",PROPER(INDEX('Reguler Class Availability'!$B:$B,N108)&amp;""))&amp;"  "&amp;IFERROR(--(INDEX('Reguler Class Availability'!$G:$G,N108)&amp;""),0)&amp;"/"&amp;IFERROR(--(INDEX('Reguler Class Availability'!$F:$F,N108)&amp;""),0)&amp;IF(IFERROR(--(INDEX('Reguler Class Availability'!$F:$F,N108)&amp;""),0)&gt;0,"  ("&amp;TEXT(IFERROR(--(INDEX('Reguler Class Availability'!$G:$G,N108)&amp;""),0)/IFERROR(--(INDEX('Reguler Class Availability'!$F:$F,N108)&amp;""),0),"0%")&amp;")","")&amp;CHAR(10)&amp;IF(INDEX('Reguler Class Availability'!$I:$I,N108)&amp;""="","coach: –",PROPER(INDEX('Reguler Class Availability'!$I:$I,N108)&amp;""))&amp;IF(INDEX('Reguler Class Availability'!$J:$J,N108)&amp;""="","",CHAR(10)&amp;"asst: "&amp;PROPER(INDEX('Reguler Class Availability'!$J:$J,N108)&amp;""))))</f>
        <v>–</v>
      </c>
      <c r="G108" s="40" t="str">
        <f aca="false">IF(O108="","",IF(W108="Tidak dibuka","–",IF(INDEX('Reguler Class Availability'!$B:$B,O108)&amp;""="","Kosong",PROPER(INDEX('Reguler Class Availability'!$B:$B,O108)&amp;""))&amp;"  "&amp;IFERROR(--(INDEX('Reguler Class Availability'!$G:$G,O108)&amp;""),0)&amp;"/"&amp;IFERROR(--(INDEX('Reguler Class Availability'!$F:$F,O108)&amp;""),0)&amp;IF(IFERROR(--(INDEX('Reguler Class Availability'!$F:$F,O108)&amp;""),0)&gt;0,"  ("&amp;TEXT(IFERROR(--(INDEX('Reguler Class Availability'!$G:$G,O108)&amp;""),0)/IFERROR(--(INDEX('Reguler Class Availability'!$F:$F,O108)&amp;""),0),"0%")&amp;")","")&amp;CHAR(10)&amp;IF(INDEX('Reguler Class Availability'!$I:$I,O108)&amp;""="","coach: –",PROPER(INDEX('Reguler Class Availability'!$I:$I,O108)&amp;""))&amp;IF(INDEX('Reguler Class Availability'!$J:$J,O108)&amp;""="","",CHAR(10)&amp;"asst: "&amp;PROPER(INDEX('Reguler Class Availability'!$J:$J,O108)&amp;""))))</f>
        <v>Little  4/0
Gita</v>
      </c>
      <c r="H108" s="40" t="str">
        <f aca="false">IF(P108="","",IF(X108="Tidak dibuka","–",IF(INDEX('Reguler Class Availability'!$B:$B,P108)&amp;""="","Kosong",PROPER(INDEX('Reguler Class Availability'!$B:$B,P108)&amp;""))&amp;"  "&amp;IFERROR(--(INDEX('Reguler Class Availability'!$G:$G,P108)&amp;""),0)&amp;"/"&amp;IFERROR(--(INDEX('Reguler Class Availability'!$F:$F,P108)&amp;""),0)&amp;IF(IFERROR(--(INDEX('Reguler Class Availability'!$F:$F,P108)&amp;""),0)&gt;0,"  ("&amp;TEXT(IFERROR(--(INDEX('Reguler Class Availability'!$G:$G,P108)&amp;""),0)/IFERROR(--(INDEX('Reguler Class Availability'!$F:$F,P108)&amp;""),0),"0%")&amp;")","")&amp;CHAR(10)&amp;IF(INDEX('Reguler Class Availability'!$I:$I,P108)&amp;""="","coach: –",PROPER(INDEX('Reguler Class Availability'!$I:$I,P108)&amp;""))&amp;IF(INDEX('Reguler Class Availability'!$J:$J,P108)&amp;""="","",CHAR(10)&amp;"asst: "&amp;PROPER(INDEX('Reguler Class Availability'!$J:$J,P108)&amp;""))))</f>
        <v>–</v>
      </c>
      <c r="J108" s="4" t="n">
        <f aca="false">IF($A108="","",IFERROR(MATCH($B$4&amp;"|- Lane 6 - "&amp;B$105&amp;"|"&amp;$A108,'Reguler Class Availability'!$L:$L,0),""))</f>
        <v>438</v>
      </c>
      <c r="K108" s="4" t="n">
        <f aca="false">IF($A108="","",IFERROR(MATCH($B$4&amp;"|- Lane 6 - "&amp;C$105&amp;"|"&amp;$A108,'Reguler Class Availability'!$L:$L,0),""))</f>
        <v>450</v>
      </c>
      <c r="L108" s="4" t="n">
        <f aca="false">IF($A108="","",IFERROR(MATCH($B$4&amp;"|- Lane 6 - "&amp;D$105&amp;"|"&amp;$A108,'Reguler Class Availability'!$L:$L,0),""))</f>
        <v>462</v>
      </c>
      <c r="M108" s="4" t="n">
        <f aca="false">IF($A108="","",IFERROR(MATCH($B$4&amp;"|- Lane 6 - "&amp;E$105&amp;"|"&amp;$A108,'Reguler Class Availability'!$L:$L,0),""))</f>
        <v>474</v>
      </c>
      <c r="N108" s="4" t="n">
        <f aca="false">IF($A108="","",IFERROR(MATCH($B$4&amp;"|- Lane 6 - "&amp;F$105&amp;"|"&amp;$A108,'Reguler Class Availability'!$L:$L,0),""))</f>
        <v>486</v>
      </c>
      <c r="O108" s="4" t="n">
        <f aca="false">IF($A108="","",IFERROR(MATCH($B$4&amp;"|- Lane 6 - "&amp;G$105&amp;"|"&amp;$A108,'Reguler Class Availability'!$L:$L,0),""))</f>
        <v>498</v>
      </c>
      <c r="P108" s="4" t="n">
        <f aca="false">IF($A108="","",IFERROR(MATCH($B$4&amp;"|- Lane 6 - "&amp;H$105&amp;"|"&amp;$A108,'Reguler Class Availability'!$L:$L,0),""))</f>
        <v>510</v>
      </c>
      <c r="R108" s="0" t="str">
        <f aca="false">IF(J108="","",IF(AND(IFERROR(--(INDEX('Reguler Class Availability'!$F:$F,J108)&amp;""),0)=0,IFERROR(--(INDEX('Reguler Class Availability'!$G:$G,J108)&amp;""),0)=0),IF(OR(INDEX('Reguler Class Availability'!$B:$B,J108)&amp;""&lt;&gt;"",INDEX('Reguler Class Availability'!$I:$I,J108)&amp;""&lt;&gt;""),"Tutup","Tidak dibuka"),IF(IFERROR(--(INDEX('Reguler Class Availability'!$G:$G,J108)&amp;""),0)&gt;IFERROR(--(INDEX('Reguler Class Availability'!$F:$F,J108)&amp;""),0),"Lebih",IF(IFERROR(--(INDEX('Reguler Class Availability'!$G:$G,J108)&amp;""),0)=IFERROR(--(INDEX('Reguler Class Availability'!$F:$F,J108)&amp;""),0),"Penuh",IF(IFERROR(--(INDEX('Reguler Class Availability'!$G:$G,J108)&amp;""),0)=0,IF(INDEX('Reguler Class Availability'!$B:$B,J108)&amp;""="","Kosong","Belum terisi"),IF(IFERROR(--(INDEX('Reguler Class Availability'!$G:$G,J108)&amp;""),0)/IFERROR(--(INDEX('Reguler Class Availability'!$F:$F,J108)&amp;""),0)&gt;=0.6,"Tinggi","Sebagian"))))))</f>
        <v>Tidak dibuka</v>
      </c>
      <c r="S108" s="0" t="str">
        <f aca="false">IF(K108="","",IF(AND(IFERROR(--(INDEX('Reguler Class Availability'!$F:$F,K108)&amp;""),0)=0,IFERROR(--(INDEX('Reguler Class Availability'!$G:$G,K108)&amp;""),0)=0),IF(OR(INDEX('Reguler Class Availability'!$B:$B,K108)&amp;""&lt;&gt;"",INDEX('Reguler Class Availability'!$I:$I,K108)&amp;""&lt;&gt;""),"Tutup","Tidak dibuka"),IF(IFERROR(--(INDEX('Reguler Class Availability'!$G:$G,K108)&amp;""),0)&gt;IFERROR(--(INDEX('Reguler Class Availability'!$F:$F,K108)&amp;""),0),"Lebih",IF(IFERROR(--(INDEX('Reguler Class Availability'!$G:$G,K108)&amp;""),0)=IFERROR(--(INDEX('Reguler Class Availability'!$F:$F,K108)&amp;""),0),"Penuh",IF(IFERROR(--(INDEX('Reguler Class Availability'!$G:$G,K108)&amp;""),0)=0,IF(INDEX('Reguler Class Availability'!$B:$B,K108)&amp;""="","Kosong","Belum terisi"),IF(IFERROR(--(INDEX('Reguler Class Availability'!$G:$G,K108)&amp;""),0)/IFERROR(--(INDEX('Reguler Class Availability'!$F:$F,K108)&amp;""),0)&gt;=0.6,"Tinggi","Sebagian"))))))</f>
        <v>Tidak dibuka</v>
      </c>
      <c r="T108" s="0" t="str">
        <f aca="false">IF(L108="","",IF(AND(IFERROR(--(INDEX('Reguler Class Availability'!$F:$F,L108)&amp;""),0)=0,IFERROR(--(INDEX('Reguler Class Availability'!$G:$G,L108)&amp;""),0)=0),IF(OR(INDEX('Reguler Class Availability'!$B:$B,L108)&amp;""&lt;&gt;"",INDEX('Reguler Class Availability'!$I:$I,L108)&amp;""&lt;&gt;""),"Tutup","Tidak dibuka"),IF(IFERROR(--(INDEX('Reguler Class Availability'!$G:$G,L108)&amp;""),0)&gt;IFERROR(--(INDEX('Reguler Class Availability'!$F:$F,L108)&amp;""),0),"Lebih",IF(IFERROR(--(INDEX('Reguler Class Availability'!$G:$G,L108)&amp;""),0)=IFERROR(--(INDEX('Reguler Class Availability'!$F:$F,L108)&amp;""),0),"Penuh",IF(IFERROR(--(INDEX('Reguler Class Availability'!$G:$G,L108)&amp;""),0)=0,IF(INDEX('Reguler Class Availability'!$B:$B,L108)&amp;""="","Kosong","Belum terisi"),IF(IFERROR(--(INDEX('Reguler Class Availability'!$G:$G,L108)&amp;""),0)/IFERROR(--(INDEX('Reguler Class Availability'!$F:$F,L108)&amp;""),0)&gt;=0.6,"Tinggi","Sebagian"))))))</f>
        <v>Tidak dibuka</v>
      </c>
      <c r="U108" s="0" t="str">
        <f aca="false">IF(M108="","",IF(AND(IFERROR(--(INDEX('Reguler Class Availability'!$F:$F,M108)&amp;""),0)=0,IFERROR(--(INDEX('Reguler Class Availability'!$G:$G,M108)&amp;""),0)=0),IF(OR(INDEX('Reguler Class Availability'!$B:$B,M108)&amp;""&lt;&gt;"",INDEX('Reguler Class Availability'!$I:$I,M108)&amp;""&lt;&gt;""),"Tutup","Tidak dibuka"),IF(IFERROR(--(INDEX('Reguler Class Availability'!$G:$G,M108)&amp;""),0)&gt;IFERROR(--(INDEX('Reguler Class Availability'!$F:$F,M108)&amp;""),0),"Lebih",IF(IFERROR(--(INDEX('Reguler Class Availability'!$G:$G,M108)&amp;""),0)=IFERROR(--(INDEX('Reguler Class Availability'!$F:$F,M108)&amp;""),0),"Penuh",IF(IFERROR(--(INDEX('Reguler Class Availability'!$G:$G,M108)&amp;""),0)=0,IF(INDEX('Reguler Class Availability'!$B:$B,M108)&amp;""="","Kosong","Belum terisi"),IF(IFERROR(--(INDEX('Reguler Class Availability'!$G:$G,M108)&amp;""),0)/IFERROR(--(INDEX('Reguler Class Availability'!$F:$F,M108)&amp;""),0)&gt;=0.6,"Tinggi","Sebagian"))))))</f>
        <v>Tidak dibuka</v>
      </c>
      <c r="V108" s="0" t="str">
        <f aca="false">IF(N108="","",IF(AND(IFERROR(--(INDEX('Reguler Class Availability'!$F:$F,N108)&amp;""),0)=0,IFERROR(--(INDEX('Reguler Class Availability'!$G:$G,N108)&amp;""),0)=0),IF(OR(INDEX('Reguler Class Availability'!$B:$B,N108)&amp;""&lt;&gt;"",INDEX('Reguler Class Availability'!$I:$I,N108)&amp;""&lt;&gt;""),"Tutup","Tidak dibuka"),IF(IFERROR(--(INDEX('Reguler Class Availability'!$G:$G,N108)&amp;""),0)&gt;IFERROR(--(INDEX('Reguler Class Availability'!$F:$F,N108)&amp;""),0),"Lebih",IF(IFERROR(--(INDEX('Reguler Class Availability'!$G:$G,N108)&amp;""),0)=IFERROR(--(INDEX('Reguler Class Availability'!$F:$F,N108)&amp;""),0),"Penuh",IF(IFERROR(--(INDEX('Reguler Class Availability'!$G:$G,N108)&amp;""),0)=0,IF(INDEX('Reguler Class Availability'!$B:$B,N108)&amp;""="","Kosong","Belum terisi"),IF(IFERROR(--(INDEX('Reguler Class Availability'!$G:$G,N108)&amp;""),0)/IFERROR(--(INDEX('Reguler Class Availability'!$F:$F,N108)&amp;""),0)&gt;=0.6,"Tinggi","Sebagian"))))))</f>
        <v>Tidak dibuka</v>
      </c>
      <c r="W108" s="0" t="str">
        <f aca="false">IF(O108="","",IF(AND(IFERROR(--(INDEX('Reguler Class Availability'!$F:$F,O108)&amp;""),0)=0,IFERROR(--(INDEX('Reguler Class Availability'!$G:$G,O108)&amp;""),0)=0),IF(OR(INDEX('Reguler Class Availability'!$B:$B,O108)&amp;""&lt;&gt;"",INDEX('Reguler Class Availability'!$I:$I,O108)&amp;""&lt;&gt;""),"Tutup","Tidak dibuka"),IF(IFERROR(--(INDEX('Reguler Class Availability'!$G:$G,O108)&amp;""),0)&gt;IFERROR(--(INDEX('Reguler Class Availability'!$F:$F,O108)&amp;""),0),"Lebih",IF(IFERROR(--(INDEX('Reguler Class Availability'!$G:$G,O108)&amp;""),0)=IFERROR(--(INDEX('Reguler Class Availability'!$F:$F,O108)&amp;""),0),"Penuh",IF(IFERROR(--(INDEX('Reguler Class Availability'!$G:$G,O108)&amp;""),0)=0,IF(INDEX('Reguler Class Availability'!$B:$B,O108)&amp;""="","Kosong","Belum terisi"),IF(IFERROR(--(INDEX('Reguler Class Availability'!$G:$G,O108)&amp;""),0)/IFERROR(--(INDEX('Reguler Class Availability'!$F:$F,O108)&amp;""),0)&gt;=0.6,"Tinggi","Sebagian"))))))</f>
        <v>Lebih</v>
      </c>
      <c r="X108" s="0" t="str">
        <f aca="false">IF(P108="","",IF(AND(IFERROR(--(INDEX('Reguler Class Availability'!$F:$F,P108)&amp;""),0)=0,IFERROR(--(INDEX('Reguler Class Availability'!$G:$G,P108)&amp;""),0)=0),IF(OR(INDEX('Reguler Class Availability'!$B:$B,P108)&amp;""&lt;&gt;"",INDEX('Reguler Class Availability'!$I:$I,P108)&amp;""&lt;&gt;""),"Tutup","Tidak dibuka"),IF(IFERROR(--(INDEX('Reguler Class Availability'!$G:$G,P108)&amp;""),0)&gt;IFERROR(--(INDEX('Reguler Class Availability'!$F:$F,P108)&amp;""),0),"Lebih",IF(IFERROR(--(INDEX('Reguler Class Availability'!$G:$G,P108)&amp;""),0)=IFERROR(--(INDEX('Reguler Class Availability'!$F:$F,P108)&amp;""),0),"Penuh",IF(IFERROR(--(INDEX('Reguler Class Availability'!$G:$G,P108)&amp;""),0)=0,IF(INDEX('Reguler Class Availability'!$B:$B,P108)&amp;""="","Kosong","Belum terisi"),IF(IFERROR(--(INDEX('Reguler Class Availability'!$G:$G,P108)&amp;""),0)/IFERROR(--(INDEX('Reguler Class Availability'!$F:$F,P108)&amp;""),0)&gt;=0.6,"Tinggi","Sebagian"))))))</f>
        <v>Tidak dibuka</v>
      </c>
      <c r="Z108" s="4" t="s">
        <v>83</v>
      </c>
      <c r="AA108" s="4" t="n">
        <f aca="false">IF(COUNTIFS('Reguler Class Availability'!$L:$L,$B$4&amp;"|- Lane 2 - *|"&amp;Z108)&gt;0,1,0)</f>
        <v>0</v>
      </c>
      <c r="AB108" s="4" t="n">
        <f aca="false">AA108+AB107</f>
        <v>12</v>
      </c>
    </row>
    <row r="109" customFormat="false" ht="39.75" hidden="false" customHeight="true" outlineLevel="0" collapsed="false">
      <c r="A109" s="39" t="str">
        <f aca="false">IFERROR(INDEX($Z$302:$Z$361,MATCH(4,$AB$302:$AB$361,0)),"")</f>
        <v>10:15</v>
      </c>
      <c r="B109" s="40" t="str">
        <f aca="false">IF(J109="","",IF(R109="Tidak dibuka","–",IF(INDEX('Reguler Class Availability'!$B:$B,J109)&amp;""="","Kosong",PROPER(INDEX('Reguler Class Availability'!$B:$B,J109)&amp;""))&amp;"  "&amp;IFERROR(--(INDEX('Reguler Class Availability'!$G:$G,J109)&amp;""),0)&amp;"/"&amp;IFERROR(--(INDEX('Reguler Class Availability'!$F:$F,J109)&amp;""),0)&amp;IF(IFERROR(--(INDEX('Reguler Class Availability'!$F:$F,J109)&amp;""),0)&gt;0,"  ("&amp;TEXT(IFERROR(--(INDEX('Reguler Class Availability'!$G:$G,J109)&amp;""),0)/IFERROR(--(INDEX('Reguler Class Availability'!$F:$F,J109)&amp;""),0),"0%")&amp;")","")&amp;CHAR(10)&amp;IF(INDEX('Reguler Class Availability'!$I:$I,J109)&amp;""="","coach: –",PROPER(INDEX('Reguler Class Availability'!$I:$I,J109)&amp;""))&amp;IF(INDEX('Reguler Class Availability'!$J:$J,J109)&amp;""="","",CHAR(10)&amp;"asst: "&amp;PROPER(INDEX('Reguler Class Availability'!$J:$J,J109)&amp;""))))</f>
        <v>–</v>
      </c>
      <c r="C109" s="40" t="str">
        <f aca="false">IF(K109="","",IF(S109="Tidak dibuka","–",IF(INDEX('Reguler Class Availability'!$B:$B,K109)&amp;""="","Kosong",PROPER(INDEX('Reguler Class Availability'!$B:$B,K109)&amp;""))&amp;"  "&amp;IFERROR(--(INDEX('Reguler Class Availability'!$G:$G,K109)&amp;""),0)&amp;"/"&amp;IFERROR(--(INDEX('Reguler Class Availability'!$F:$F,K109)&amp;""),0)&amp;IF(IFERROR(--(INDEX('Reguler Class Availability'!$F:$F,K109)&amp;""),0)&gt;0,"  ("&amp;TEXT(IFERROR(--(INDEX('Reguler Class Availability'!$G:$G,K109)&amp;""),0)/IFERROR(--(INDEX('Reguler Class Availability'!$F:$F,K109)&amp;""),0),"0%")&amp;")","")&amp;CHAR(10)&amp;IF(INDEX('Reguler Class Availability'!$I:$I,K109)&amp;""="","coach: –",PROPER(INDEX('Reguler Class Availability'!$I:$I,K109)&amp;""))&amp;IF(INDEX('Reguler Class Availability'!$J:$J,K109)&amp;""="","",CHAR(10)&amp;"asst: "&amp;PROPER(INDEX('Reguler Class Availability'!$J:$J,K109)&amp;""))))</f>
        <v>Kosong  0/0
Gita</v>
      </c>
      <c r="D109" s="40" t="str">
        <f aca="false">IF(L109="","",IF(T109="Tidak dibuka","–",IF(INDEX('Reguler Class Availability'!$B:$B,L109)&amp;""="","Kosong",PROPER(INDEX('Reguler Class Availability'!$B:$B,L109)&amp;""))&amp;"  "&amp;IFERROR(--(INDEX('Reguler Class Availability'!$G:$G,L109)&amp;""),0)&amp;"/"&amp;IFERROR(--(INDEX('Reguler Class Availability'!$F:$F,L109)&amp;""),0)&amp;IF(IFERROR(--(INDEX('Reguler Class Availability'!$F:$F,L109)&amp;""),0)&gt;0,"  ("&amp;TEXT(IFERROR(--(INDEX('Reguler Class Availability'!$G:$G,L109)&amp;""),0)/IFERROR(--(INDEX('Reguler Class Availability'!$F:$F,L109)&amp;""),0),"0%")&amp;")","")&amp;CHAR(10)&amp;IF(INDEX('Reguler Class Availability'!$I:$I,L109)&amp;""="","coach: –",PROPER(INDEX('Reguler Class Availability'!$I:$I,L109)&amp;""))&amp;IF(INDEX('Reguler Class Availability'!$J:$J,L109)&amp;""="","",CHAR(10)&amp;"asst: "&amp;PROPER(INDEX('Reguler Class Availability'!$J:$J,L109)&amp;""))))</f>
        <v>–</v>
      </c>
      <c r="E109" s="40" t="str">
        <f aca="false">IF(M109="","",IF(U109="Tidak dibuka","–",IF(INDEX('Reguler Class Availability'!$B:$B,M109)&amp;""="","Kosong",PROPER(INDEX('Reguler Class Availability'!$B:$B,M109)&amp;""))&amp;"  "&amp;IFERROR(--(INDEX('Reguler Class Availability'!$G:$G,M109)&amp;""),0)&amp;"/"&amp;IFERROR(--(INDEX('Reguler Class Availability'!$F:$F,M109)&amp;""),0)&amp;IF(IFERROR(--(INDEX('Reguler Class Availability'!$F:$F,M109)&amp;""),0)&gt;0,"  ("&amp;TEXT(IFERROR(--(INDEX('Reguler Class Availability'!$G:$G,M109)&amp;""),0)/IFERROR(--(INDEX('Reguler Class Availability'!$F:$F,M109)&amp;""),0),"0%")&amp;")","")&amp;CHAR(10)&amp;IF(INDEX('Reguler Class Availability'!$I:$I,M109)&amp;""="","coach: –",PROPER(INDEX('Reguler Class Availability'!$I:$I,M109)&amp;""))&amp;IF(INDEX('Reguler Class Availability'!$J:$J,M109)&amp;""="","",CHAR(10)&amp;"asst: "&amp;PROPER(INDEX('Reguler Class Availability'!$J:$J,M109)&amp;""))))</f>
        <v>–</v>
      </c>
      <c r="F109" s="40" t="str">
        <f aca="false">IF(N109="","",IF(V109="Tidak dibuka","–",IF(INDEX('Reguler Class Availability'!$B:$B,N109)&amp;""="","Kosong",PROPER(INDEX('Reguler Class Availability'!$B:$B,N109)&amp;""))&amp;"  "&amp;IFERROR(--(INDEX('Reguler Class Availability'!$G:$G,N109)&amp;""),0)&amp;"/"&amp;IFERROR(--(INDEX('Reguler Class Availability'!$F:$F,N109)&amp;""),0)&amp;IF(IFERROR(--(INDEX('Reguler Class Availability'!$F:$F,N109)&amp;""),0)&gt;0,"  ("&amp;TEXT(IFERROR(--(INDEX('Reguler Class Availability'!$G:$G,N109)&amp;""),0)/IFERROR(--(INDEX('Reguler Class Availability'!$F:$F,N109)&amp;""),0),"0%")&amp;")","")&amp;CHAR(10)&amp;IF(INDEX('Reguler Class Availability'!$I:$I,N109)&amp;""="","coach: –",PROPER(INDEX('Reguler Class Availability'!$I:$I,N109)&amp;""))&amp;IF(INDEX('Reguler Class Availability'!$J:$J,N109)&amp;""="","",CHAR(10)&amp;"asst: "&amp;PROPER(INDEX('Reguler Class Availability'!$J:$J,N109)&amp;""))))</f>
        <v>–</v>
      </c>
      <c r="G109" s="40" t="str">
        <f aca="false">IF(O109="","",IF(W109="Tidak dibuka","–",IF(INDEX('Reguler Class Availability'!$B:$B,O109)&amp;""="","Kosong",PROPER(INDEX('Reguler Class Availability'!$B:$B,O109)&amp;""))&amp;"  "&amp;IFERROR(--(INDEX('Reguler Class Availability'!$G:$G,O109)&amp;""),0)&amp;"/"&amp;IFERROR(--(INDEX('Reguler Class Availability'!$F:$F,O109)&amp;""),0)&amp;IF(IFERROR(--(INDEX('Reguler Class Availability'!$F:$F,O109)&amp;""),0)&gt;0,"  ("&amp;TEXT(IFERROR(--(INDEX('Reguler Class Availability'!$G:$G,O109)&amp;""),0)/IFERROR(--(INDEX('Reguler Class Availability'!$F:$F,O109)&amp;""),0),"0%")&amp;")","")&amp;CHAR(10)&amp;IF(INDEX('Reguler Class Availability'!$I:$I,O109)&amp;""="","coach: –",PROPER(INDEX('Reguler Class Availability'!$I:$I,O109)&amp;""))&amp;IF(INDEX('Reguler Class Availability'!$J:$J,O109)&amp;""="","",CHAR(10)&amp;"asst: "&amp;PROPER(INDEX('Reguler Class Availability'!$J:$J,O109)&amp;""))))</f>
        <v>Kids  3/0
Alan</v>
      </c>
      <c r="H109" s="40" t="str">
        <f aca="false">IF(P109="","",IF(X109="Tidak dibuka","–",IF(INDEX('Reguler Class Availability'!$B:$B,P109)&amp;""="","Kosong",PROPER(INDEX('Reguler Class Availability'!$B:$B,P109)&amp;""))&amp;"  "&amp;IFERROR(--(INDEX('Reguler Class Availability'!$G:$G,P109)&amp;""),0)&amp;"/"&amp;IFERROR(--(INDEX('Reguler Class Availability'!$F:$F,P109)&amp;""),0)&amp;IF(IFERROR(--(INDEX('Reguler Class Availability'!$F:$F,P109)&amp;""),0)&gt;0,"  ("&amp;TEXT(IFERROR(--(INDEX('Reguler Class Availability'!$G:$G,P109)&amp;""),0)/IFERROR(--(INDEX('Reguler Class Availability'!$F:$F,P109)&amp;""),0),"0%")&amp;")","")&amp;CHAR(10)&amp;IF(INDEX('Reguler Class Availability'!$I:$I,P109)&amp;""="","coach: –",PROPER(INDEX('Reguler Class Availability'!$I:$I,P109)&amp;""))&amp;IF(INDEX('Reguler Class Availability'!$J:$J,P109)&amp;""="","",CHAR(10)&amp;"asst: "&amp;PROPER(INDEX('Reguler Class Availability'!$J:$J,P109)&amp;""))))</f>
        <v>–</v>
      </c>
      <c r="J109" s="4" t="n">
        <f aca="false">IF($A109="","",IFERROR(MATCH($B$4&amp;"|- Lane 6 - "&amp;B$105&amp;"|"&amp;$A109,'Reguler Class Availability'!$L:$L,0),""))</f>
        <v>439</v>
      </c>
      <c r="K109" s="4" t="n">
        <f aca="false">IF($A109="","",IFERROR(MATCH($B$4&amp;"|- Lane 6 - "&amp;C$105&amp;"|"&amp;$A109,'Reguler Class Availability'!$L:$L,0),""))</f>
        <v>451</v>
      </c>
      <c r="L109" s="4" t="n">
        <f aca="false">IF($A109="","",IFERROR(MATCH($B$4&amp;"|- Lane 6 - "&amp;D$105&amp;"|"&amp;$A109,'Reguler Class Availability'!$L:$L,0),""))</f>
        <v>463</v>
      </c>
      <c r="M109" s="4" t="n">
        <f aca="false">IF($A109="","",IFERROR(MATCH($B$4&amp;"|- Lane 6 - "&amp;E$105&amp;"|"&amp;$A109,'Reguler Class Availability'!$L:$L,0),""))</f>
        <v>475</v>
      </c>
      <c r="N109" s="4" t="n">
        <f aca="false">IF($A109="","",IFERROR(MATCH($B$4&amp;"|- Lane 6 - "&amp;F$105&amp;"|"&amp;$A109,'Reguler Class Availability'!$L:$L,0),""))</f>
        <v>487</v>
      </c>
      <c r="O109" s="4" t="n">
        <f aca="false">IF($A109="","",IFERROR(MATCH($B$4&amp;"|- Lane 6 - "&amp;G$105&amp;"|"&amp;$A109,'Reguler Class Availability'!$L:$L,0),""))</f>
        <v>499</v>
      </c>
      <c r="P109" s="4" t="n">
        <f aca="false">IF($A109="","",IFERROR(MATCH($B$4&amp;"|- Lane 6 - "&amp;H$105&amp;"|"&amp;$A109,'Reguler Class Availability'!$L:$L,0),""))</f>
        <v>511</v>
      </c>
      <c r="R109" s="0" t="str">
        <f aca="false">IF(J109="","",IF(AND(IFERROR(--(INDEX('Reguler Class Availability'!$F:$F,J109)&amp;""),0)=0,IFERROR(--(INDEX('Reguler Class Availability'!$G:$G,J109)&amp;""),0)=0),IF(OR(INDEX('Reguler Class Availability'!$B:$B,J109)&amp;""&lt;&gt;"",INDEX('Reguler Class Availability'!$I:$I,J109)&amp;""&lt;&gt;""),"Tutup","Tidak dibuka"),IF(IFERROR(--(INDEX('Reguler Class Availability'!$G:$G,J109)&amp;""),0)&gt;IFERROR(--(INDEX('Reguler Class Availability'!$F:$F,J109)&amp;""),0),"Lebih",IF(IFERROR(--(INDEX('Reguler Class Availability'!$G:$G,J109)&amp;""),0)=IFERROR(--(INDEX('Reguler Class Availability'!$F:$F,J109)&amp;""),0),"Penuh",IF(IFERROR(--(INDEX('Reguler Class Availability'!$G:$G,J109)&amp;""),0)=0,IF(INDEX('Reguler Class Availability'!$B:$B,J109)&amp;""="","Kosong","Belum terisi"),IF(IFERROR(--(INDEX('Reguler Class Availability'!$G:$G,J109)&amp;""),0)/IFERROR(--(INDEX('Reguler Class Availability'!$F:$F,J109)&amp;""),0)&gt;=0.6,"Tinggi","Sebagian"))))))</f>
        <v>Tidak dibuka</v>
      </c>
      <c r="S109" s="0" t="str">
        <f aca="false">IF(K109="","",IF(AND(IFERROR(--(INDEX('Reguler Class Availability'!$F:$F,K109)&amp;""),0)=0,IFERROR(--(INDEX('Reguler Class Availability'!$G:$G,K109)&amp;""),0)=0),IF(OR(INDEX('Reguler Class Availability'!$B:$B,K109)&amp;""&lt;&gt;"",INDEX('Reguler Class Availability'!$I:$I,K109)&amp;""&lt;&gt;""),"Tutup","Tidak dibuka"),IF(IFERROR(--(INDEX('Reguler Class Availability'!$G:$G,K109)&amp;""),0)&gt;IFERROR(--(INDEX('Reguler Class Availability'!$F:$F,K109)&amp;""),0),"Lebih",IF(IFERROR(--(INDEX('Reguler Class Availability'!$G:$G,K109)&amp;""),0)=IFERROR(--(INDEX('Reguler Class Availability'!$F:$F,K109)&amp;""),0),"Penuh",IF(IFERROR(--(INDEX('Reguler Class Availability'!$G:$G,K109)&amp;""),0)=0,IF(INDEX('Reguler Class Availability'!$B:$B,K109)&amp;""="","Kosong","Belum terisi"),IF(IFERROR(--(INDEX('Reguler Class Availability'!$G:$G,K109)&amp;""),0)/IFERROR(--(INDEX('Reguler Class Availability'!$F:$F,K109)&amp;""),0)&gt;=0.6,"Tinggi","Sebagian"))))))</f>
        <v>Tutup</v>
      </c>
      <c r="T109" s="0" t="str">
        <f aca="false">IF(L109="","",IF(AND(IFERROR(--(INDEX('Reguler Class Availability'!$F:$F,L109)&amp;""),0)=0,IFERROR(--(INDEX('Reguler Class Availability'!$G:$G,L109)&amp;""),0)=0),IF(OR(INDEX('Reguler Class Availability'!$B:$B,L109)&amp;""&lt;&gt;"",INDEX('Reguler Class Availability'!$I:$I,L109)&amp;""&lt;&gt;""),"Tutup","Tidak dibuka"),IF(IFERROR(--(INDEX('Reguler Class Availability'!$G:$G,L109)&amp;""),0)&gt;IFERROR(--(INDEX('Reguler Class Availability'!$F:$F,L109)&amp;""),0),"Lebih",IF(IFERROR(--(INDEX('Reguler Class Availability'!$G:$G,L109)&amp;""),0)=IFERROR(--(INDEX('Reguler Class Availability'!$F:$F,L109)&amp;""),0),"Penuh",IF(IFERROR(--(INDEX('Reguler Class Availability'!$G:$G,L109)&amp;""),0)=0,IF(INDEX('Reguler Class Availability'!$B:$B,L109)&amp;""="","Kosong","Belum terisi"),IF(IFERROR(--(INDEX('Reguler Class Availability'!$G:$G,L109)&amp;""),0)/IFERROR(--(INDEX('Reguler Class Availability'!$F:$F,L109)&amp;""),0)&gt;=0.6,"Tinggi","Sebagian"))))))</f>
        <v>Tidak dibuka</v>
      </c>
      <c r="U109" s="0" t="str">
        <f aca="false">IF(M109="","",IF(AND(IFERROR(--(INDEX('Reguler Class Availability'!$F:$F,M109)&amp;""),0)=0,IFERROR(--(INDEX('Reguler Class Availability'!$G:$G,M109)&amp;""),0)=0),IF(OR(INDEX('Reguler Class Availability'!$B:$B,M109)&amp;""&lt;&gt;"",INDEX('Reguler Class Availability'!$I:$I,M109)&amp;""&lt;&gt;""),"Tutup","Tidak dibuka"),IF(IFERROR(--(INDEX('Reguler Class Availability'!$G:$G,M109)&amp;""),0)&gt;IFERROR(--(INDEX('Reguler Class Availability'!$F:$F,M109)&amp;""),0),"Lebih",IF(IFERROR(--(INDEX('Reguler Class Availability'!$G:$G,M109)&amp;""),0)=IFERROR(--(INDEX('Reguler Class Availability'!$F:$F,M109)&amp;""),0),"Penuh",IF(IFERROR(--(INDEX('Reguler Class Availability'!$G:$G,M109)&amp;""),0)=0,IF(INDEX('Reguler Class Availability'!$B:$B,M109)&amp;""="","Kosong","Belum terisi"),IF(IFERROR(--(INDEX('Reguler Class Availability'!$G:$G,M109)&amp;""),0)/IFERROR(--(INDEX('Reguler Class Availability'!$F:$F,M109)&amp;""),0)&gt;=0.6,"Tinggi","Sebagian"))))))</f>
        <v>Tidak dibuka</v>
      </c>
      <c r="V109" s="0" t="str">
        <f aca="false">IF(N109="","",IF(AND(IFERROR(--(INDEX('Reguler Class Availability'!$F:$F,N109)&amp;""),0)=0,IFERROR(--(INDEX('Reguler Class Availability'!$G:$G,N109)&amp;""),0)=0),IF(OR(INDEX('Reguler Class Availability'!$B:$B,N109)&amp;""&lt;&gt;"",INDEX('Reguler Class Availability'!$I:$I,N109)&amp;""&lt;&gt;""),"Tutup","Tidak dibuka"),IF(IFERROR(--(INDEX('Reguler Class Availability'!$G:$G,N109)&amp;""),0)&gt;IFERROR(--(INDEX('Reguler Class Availability'!$F:$F,N109)&amp;""),0),"Lebih",IF(IFERROR(--(INDEX('Reguler Class Availability'!$G:$G,N109)&amp;""),0)=IFERROR(--(INDEX('Reguler Class Availability'!$F:$F,N109)&amp;""),0),"Penuh",IF(IFERROR(--(INDEX('Reguler Class Availability'!$G:$G,N109)&amp;""),0)=0,IF(INDEX('Reguler Class Availability'!$B:$B,N109)&amp;""="","Kosong","Belum terisi"),IF(IFERROR(--(INDEX('Reguler Class Availability'!$G:$G,N109)&amp;""),0)/IFERROR(--(INDEX('Reguler Class Availability'!$F:$F,N109)&amp;""),0)&gt;=0.6,"Tinggi","Sebagian"))))))</f>
        <v>Tidak dibuka</v>
      </c>
      <c r="W109" s="0" t="str">
        <f aca="false">IF(O109="","",IF(AND(IFERROR(--(INDEX('Reguler Class Availability'!$F:$F,O109)&amp;""),0)=0,IFERROR(--(INDEX('Reguler Class Availability'!$G:$G,O109)&amp;""),0)=0),IF(OR(INDEX('Reguler Class Availability'!$B:$B,O109)&amp;""&lt;&gt;"",INDEX('Reguler Class Availability'!$I:$I,O109)&amp;""&lt;&gt;""),"Tutup","Tidak dibuka"),IF(IFERROR(--(INDEX('Reguler Class Availability'!$G:$G,O109)&amp;""),0)&gt;IFERROR(--(INDEX('Reguler Class Availability'!$F:$F,O109)&amp;""),0),"Lebih",IF(IFERROR(--(INDEX('Reguler Class Availability'!$G:$G,O109)&amp;""),0)=IFERROR(--(INDEX('Reguler Class Availability'!$F:$F,O109)&amp;""),0),"Penuh",IF(IFERROR(--(INDEX('Reguler Class Availability'!$G:$G,O109)&amp;""),0)=0,IF(INDEX('Reguler Class Availability'!$B:$B,O109)&amp;""="","Kosong","Belum terisi"),IF(IFERROR(--(INDEX('Reguler Class Availability'!$G:$G,O109)&amp;""),0)/IFERROR(--(INDEX('Reguler Class Availability'!$F:$F,O109)&amp;""),0)&gt;=0.6,"Tinggi","Sebagian"))))))</f>
        <v>Lebih</v>
      </c>
      <c r="X109" s="0" t="str">
        <f aca="false">IF(P109="","",IF(AND(IFERROR(--(INDEX('Reguler Class Availability'!$F:$F,P109)&amp;""),0)=0,IFERROR(--(INDEX('Reguler Class Availability'!$G:$G,P109)&amp;""),0)=0),IF(OR(INDEX('Reguler Class Availability'!$B:$B,P109)&amp;""&lt;&gt;"",INDEX('Reguler Class Availability'!$I:$I,P109)&amp;""&lt;&gt;""),"Tutup","Tidak dibuka"),IF(IFERROR(--(INDEX('Reguler Class Availability'!$G:$G,P109)&amp;""),0)&gt;IFERROR(--(INDEX('Reguler Class Availability'!$F:$F,P109)&amp;""),0),"Lebih",IF(IFERROR(--(INDEX('Reguler Class Availability'!$G:$G,P109)&amp;""),0)=IFERROR(--(INDEX('Reguler Class Availability'!$F:$F,P109)&amp;""),0),"Penuh",IF(IFERROR(--(INDEX('Reguler Class Availability'!$G:$G,P109)&amp;""),0)=0,IF(INDEX('Reguler Class Availability'!$B:$B,P109)&amp;""="","Kosong","Belum terisi"),IF(IFERROR(--(INDEX('Reguler Class Availability'!$G:$G,P109)&amp;""),0)/IFERROR(--(INDEX('Reguler Class Availability'!$F:$F,P109)&amp;""),0)&gt;=0.6,"Tinggi","Sebagian"))))))</f>
        <v>Tidak dibuka</v>
      </c>
      <c r="Z109" s="4" t="s">
        <v>84</v>
      </c>
      <c r="AA109" s="4" t="n">
        <f aca="false">IF(COUNTIFS('Reguler Class Availability'!$L:$L,$B$4&amp;"|- Lane 2 - *|"&amp;Z109)&gt;0,1,0)</f>
        <v>0</v>
      </c>
      <c r="AB109" s="4" t="n">
        <f aca="false">AA109+AB108</f>
        <v>12</v>
      </c>
    </row>
    <row r="110" customFormat="false" ht="39.75" hidden="false" customHeight="true" outlineLevel="0" collapsed="false">
      <c r="A110" s="39" t="str">
        <f aca="false">IFERROR(INDEX($Z$302:$Z$361,MATCH(5,$AB$302:$AB$361,0)),"")</f>
        <v>11:00</v>
      </c>
      <c r="B110" s="40" t="str">
        <f aca="false">IF(J110="","",IF(R110="Tidak dibuka","–",IF(INDEX('Reguler Class Availability'!$B:$B,J110)&amp;""="","Kosong",PROPER(INDEX('Reguler Class Availability'!$B:$B,J110)&amp;""))&amp;"  "&amp;IFERROR(--(INDEX('Reguler Class Availability'!$G:$G,J110)&amp;""),0)&amp;"/"&amp;IFERROR(--(INDEX('Reguler Class Availability'!$F:$F,J110)&amp;""),0)&amp;IF(IFERROR(--(INDEX('Reguler Class Availability'!$F:$F,J110)&amp;""),0)&gt;0,"  ("&amp;TEXT(IFERROR(--(INDEX('Reguler Class Availability'!$G:$G,J110)&amp;""),0)/IFERROR(--(INDEX('Reguler Class Availability'!$F:$F,J110)&amp;""),0),"0%")&amp;")","")&amp;CHAR(10)&amp;IF(INDEX('Reguler Class Availability'!$I:$I,J110)&amp;""="","coach: –",PROPER(INDEX('Reguler Class Availability'!$I:$I,J110)&amp;""))&amp;IF(INDEX('Reguler Class Availability'!$J:$J,J110)&amp;""="","",CHAR(10)&amp;"asst: "&amp;PROPER(INDEX('Reguler Class Availability'!$J:$J,J110)&amp;""))))</f>
        <v>–</v>
      </c>
      <c r="C110" s="40" t="str">
        <f aca="false">IF(K110="","",IF(S110="Tidak dibuka","–",IF(INDEX('Reguler Class Availability'!$B:$B,K110)&amp;""="","Kosong",PROPER(INDEX('Reguler Class Availability'!$B:$B,K110)&amp;""))&amp;"  "&amp;IFERROR(--(INDEX('Reguler Class Availability'!$G:$G,K110)&amp;""),0)&amp;"/"&amp;IFERROR(--(INDEX('Reguler Class Availability'!$F:$F,K110)&amp;""),0)&amp;IF(IFERROR(--(INDEX('Reguler Class Availability'!$F:$F,K110)&amp;""),0)&gt;0,"  ("&amp;TEXT(IFERROR(--(INDEX('Reguler Class Availability'!$G:$G,K110)&amp;""),0)/IFERROR(--(INDEX('Reguler Class Availability'!$F:$F,K110)&amp;""),0),"0%")&amp;")","")&amp;CHAR(10)&amp;IF(INDEX('Reguler Class Availability'!$I:$I,K110)&amp;""="","coach: –",PROPER(INDEX('Reguler Class Availability'!$I:$I,K110)&amp;""))&amp;IF(INDEX('Reguler Class Availability'!$J:$J,K110)&amp;""="","",CHAR(10)&amp;"asst: "&amp;PROPER(INDEX('Reguler Class Availability'!$J:$J,K110)&amp;""))))</f>
        <v>–</v>
      </c>
      <c r="D110" s="40" t="str">
        <f aca="false">IF(L110="","",IF(T110="Tidak dibuka","–",IF(INDEX('Reguler Class Availability'!$B:$B,L110)&amp;""="","Kosong",PROPER(INDEX('Reguler Class Availability'!$B:$B,L110)&amp;""))&amp;"  "&amp;IFERROR(--(INDEX('Reguler Class Availability'!$G:$G,L110)&amp;""),0)&amp;"/"&amp;IFERROR(--(INDEX('Reguler Class Availability'!$F:$F,L110)&amp;""),0)&amp;IF(IFERROR(--(INDEX('Reguler Class Availability'!$F:$F,L110)&amp;""),0)&gt;0,"  ("&amp;TEXT(IFERROR(--(INDEX('Reguler Class Availability'!$G:$G,L110)&amp;""),0)/IFERROR(--(INDEX('Reguler Class Availability'!$F:$F,L110)&amp;""),0),"0%")&amp;")","")&amp;CHAR(10)&amp;IF(INDEX('Reguler Class Availability'!$I:$I,L110)&amp;""="","coach: –",PROPER(INDEX('Reguler Class Availability'!$I:$I,L110)&amp;""))&amp;IF(INDEX('Reguler Class Availability'!$J:$J,L110)&amp;""="","",CHAR(10)&amp;"asst: "&amp;PROPER(INDEX('Reguler Class Availability'!$J:$J,L110)&amp;""))))</f>
        <v>–</v>
      </c>
      <c r="E110" s="40" t="str">
        <f aca="false">IF(M110="","",IF(U110="Tidak dibuka","–",IF(INDEX('Reguler Class Availability'!$B:$B,M110)&amp;""="","Kosong",PROPER(INDEX('Reguler Class Availability'!$B:$B,M110)&amp;""))&amp;"  "&amp;IFERROR(--(INDEX('Reguler Class Availability'!$G:$G,M110)&amp;""),0)&amp;"/"&amp;IFERROR(--(INDEX('Reguler Class Availability'!$F:$F,M110)&amp;""),0)&amp;IF(IFERROR(--(INDEX('Reguler Class Availability'!$F:$F,M110)&amp;""),0)&gt;0,"  ("&amp;TEXT(IFERROR(--(INDEX('Reguler Class Availability'!$G:$G,M110)&amp;""),0)/IFERROR(--(INDEX('Reguler Class Availability'!$F:$F,M110)&amp;""),0),"0%")&amp;")","")&amp;CHAR(10)&amp;IF(INDEX('Reguler Class Availability'!$I:$I,M110)&amp;""="","coach: –",PROPER(INDEX('Reguler Class Availability'!$I:$I,M110)&amp;""))&amp;IF(INDEX('Reguler Class Availability'!$J:$J,M110)&amp;""="","",CHAR(10)&amp;"asst: "&amp;PROPER(INDEX('Reguler Class Availability'!$J:$J,M110)&amp;""))))</f>
        <v>–</v>
      </c>
      <c r="F110" s="40" t="str">
        <f aca="false">IF(N110="","",IF(V110="Tidak dibuka","–",IF(INDEX('Reguler Class Availability'!$B:$B,N110)&amp;""="","Kosong",PROPER(INDEX('Reguler Class Availability'!$B:$B,N110)&amp;""))&amp;"  "&amp;IFERROR(--(INDEX('Reguler Class Availability'!$G:$G,N110)&amp;""),0)&amp;"/"&amp;IFERROR(--(INDEX('Reguler Class Availability'!$F:$F,N110)&amp;""),0)&amp;IF(IFERROR(--(INDEX('Reguler Class Availability'!$F:$F,N110)&amp;""),0)&gt;0,"  ("&amp;TEXT(IFERROR(--(INDEX('Reguler Class Availability'!$G:$G,N110)&amp;""),0)/IFERROR(--(INDEX('Reguler Class Availability'!$F:$F,N110)&amp;""),0),"0%")&amp;")","")&amp;CHAR(10)&amp;IF(INDEX('Reguler Class Availability'!$I:$I,N110)&amp;""="","coach: –",PROPER(INDEX('Reguler Class Availability'!$I:$I,N110)&amp;""))&amp;IF(INDEX('Reguler Class Availability'!$J:$J,N110)&amp;""="","",CHAR(10)&amp;"asst: "&amp;PROPER(INDEX('Reguler Class Availability'!$J:$J,N110)&amp;""))))</f>
        <v>–</v>
      </c>
      <c r="G110" s="40" t="str">
        <f aca="false">IF(O110="","",IF(W110="Tidak dibuka","–",IF(INDEX('Reguler Class Availability'!$B:$B,O110)&amp;""="","Kosong",PROPER(INDEX('Reguler Class Availability'!$B:$B,O110)&amp;""))&amp;"  "&amp;IFERROR(--(INDEX('Reguler Class Availability'!$G:$G,O110)&amp;""),0)&amp;"/"&amp;IFERROR(--(INDEX('Reguler Class Availability'!$F:$F,O110)&amp;""),0)&amp;IF(IFERROR(--(INDEX('Reguler Class Availability'!$F:$F,O110)&amp;""),0)&gt;0,"  ("&amp;TEXT(IFERROR(--(INDEX('Reguler Class Availability'!$G:$G,O110)&amp;""),0)/IFERROR(--(INDEX('Reguler Class Availability'!$F:$F,O110)&amp;""),0),"0%")&amp;")","")&amp;CHAR(10)&amp;IF(INDEX('Reguler Class Availability'!$I:$I,O110)&amp;""="","coach: –",PROPER(INDEX('Reguler Class Availability'!$I:$I,O110)&amp;""))&amp;IF(INDEX('Reguler Class Availability'!$J:$J,O110)&amp;""="","",CHAR(10)&amp;"asst: "&amp;PROPER(INDEX('Reguler Class Availability'!$J:$J,O110)&amp;""))))</f>
        <v>–</v>
      </c>
      <c r="H110" s="40" t="str">
        <f aca="false">IF(P110="","",IF(X110="Tidak dibuka","–",IF(INDEX('Reguler Class Availability'!$B:$B,P110)&amp;""="","Kosong",PROPER(INDEX('Reguler Class Availability'!$B:$B,P110)&amp;""))&amp;"  "&amp;IFERROR(--(INDEX('Reguler Class Availability'!$G:$G,P110)&amp;""),0)&amp;"/"&amp;IFERROR(--(INDEX('Reguler Class Availability'!$F:$F,P110)&amp;""),0)&amp;IF(IFERROR(--(INDEX('Reguler Class Availability'!$F:$F,P110)&amp;""),0)&gt;0,"  ("&amp;TEXT(IFERROR(--(INDEX('Reguler Class Availability'!$G:$G,P110)&amp;""),0)/IFERROR(--(INDEX('Reguler Class Availability'!$F:$F,P110)&amp;""),0),"0%")&amp;")","")&amp;CHAR(10)&amp;IF(INDEX('Reguler Class Availability'!$I:$I,P110)&amp;""="","coach: –",PROPER(INDEX('Reguler Class Availability'!$I:$I,P110)&amp;""))&amp;IF(INDEX('Reguler Class Availability'!$J:$J,P110)&amp;""="","",CHAR(10)&amp;"asst: "&amp;PROPER(INDEX('Reguler Class Availability'!$J:$J,P110)&amp;""))))</f>
        <v>–</v>
      </c>
      <c r="J110" s="4" t="n">
        <f aca="false">IF($A110="","",IFERROR(MATCH($B$4&amp;"|- Lane 6 - "&amp;B$105&amp;"|"&amp;$A110,'Reguler Class Availability'!$L:$L,0),""))</f>
        <v>440</v>
      </c>
      <c r="K110" s="4" t="n">
        <f aca="false">IF($A110="","",IFERROR(MATCH($B$4&amp;"|- Lane 6 - "&amp;C$105&amp;"|"&amp;$A110,'Reguler Class Availability'!$L:$L,0),""))</f>
        <v>452</v>
      </c>
      <c r="L110" s="4" t="n">
        <f aca="false">IF($A110="","",IFERROR(MATCH($B$4&amp;"|- Lane 6 - "&amp;D$105&amp;"|"&amp;$A110,'Reguler Class Availability'!$L:$L,0),""))</f>
        <v>464</v>
      </c>
      <c r="M110" s="4" t="n">
        <f aca="false">IF($A110="","",IFERROR(MATCH($B$4&amp;"|- Lane 6 - "&amp;E$105&amp;"|"&amp;$A110,'Reguler Class Availability'!$L:$L,0),""))</f>
        <v>476</v>
      </c>
      <c r="N110" s="4" t="n">
        <f aca="false">IF($A110="","",IFERROR(MATCH($B$4&amp;"|- Lane 6 - "&amp;F$105&amp;"|"&amp;$A110,'Reguler Class Availability'!$L:$L,0),""))</f>
        <v>488</v>
      </c>
      <c r="O110" s="4" t="n">
        <f aca="false">IF($A110="","",IFERROR(MATCH($B$4&amp;"|- Lane 6 - "&amp;G$105&amp;"|"&amp;$A110,'Reguler Class Availability'!$L:$L,0),""))</f>
        <v>500</v>
      </c>
      <c r="P110" s="4" t="n">
        <f aca="false">IF($A110="","",IFERROR(MATCH($B$4&amp;"|- Lane 6 - "&amp;H$105&amp;"|"&amp;$A110,'Reguler Class Availability'!$L:$L,0),""))</f>
        <v>512</v>
      </c>
      <c r="R110" s="0" t="str">
        <f aca="false">IF(J110="","",IF(AND(IFERROR(--(INDEX('Reguler Class Availability'!$F:$F,J110)&amp;""),0)=0,IFERROR(--(INDEX('Reguler Class Availability'!$G:$G,J110)&amp;""),0)=0),IF(OR(INDEX('Reguler Class Availability'!$B:$B,J110)&amp;""&lt;&gt;"",INDEX('Reguler Class Availability'!$I:$I,J110)&amp;""&lt;&gt;""),"Tutup","Tidak dibuka"),IF(IFERROR(--(INDEX('Reguler Class Availability'!$G:$G,J110)&amp;""),0)&gt;IFERROR(--(INDEX('Reguler Class Availability'!$F:$F,J110)&amp;""),0),"Lebih",IF(IFERROR(--(INDEX('Reguler Class Availability'!$G:$G,J110)&amp;""),0)=IFERROR(--(INDEX('Reguler Class Availability'!$F:$F,J110)&amp;""),0),"Penuh",IF(IFERROR(--(INDEX('Reguler Class Availability'!$G:$G,J110)&amp;""),0)=0,IF(INDEX('Reguler Class Availability'!$B:$B,J110)&amp;""="","Kosong","Belum terisi"),IF(IFERROR(--(INDEX('Reguler Class Availability'!$G:$G,J110)&amp;""),0)/IFERROR(--(INDEX('Reguler Class Availability'!$F:$F,J110)&amp;""),0)&gt;=0.6,"Tinggi","Sebagian"))))))</f>
        <v>Tidak dibuka</v>
      </c>
      <c r="S110" s="0" t="str">
        <f aca="false">IF(K110="","",IF(AND(IFERROR(--(INDEX('Reguler Class Availability'!$F:$F,K110)&amp;""),0)=0,IFERROR(--(INDEX('Reguler Class Availability'!$G:$G,K110)&amp;""),0)=0),IF(OR(INDEX('Reguler Class Availability'!$B:$B,K110)&amp;""&lt;&gt;"",INDEX('Reguler Class Availability'!$I:$I,K110)&amp;""&lt;&gt;""),"Tutup","Tidak dibuka"),IF(IFERROR(--(INDEX('Reguler Class Availability'!$G:$G,K110)&amp;""),0)&gt;IFERROR(--(INDEX('Reguler Class Availability'!$F:$F,K110)&amp;""),0),"Lebih",IF(IFERROR(--(INDEX('Reguler Class Availability'!$G:$G,K110)&amp;""),0)=IFERROR(--(INDEX('Reguler Class Availability'!$F:$F,K110)&amp;""),0),"Penuh",IF(IFERROR(--(INDEX('Reguler Class Availability'!$G:$G,K110)&amp;""),0)=0,IF(INDEX('Reguler Class Availability'!$B:$B,K110)&amp;""="","Kosong","Belum terisi"),IF(IFERROR(--(INDEX('Reguler Class Availability'!$G:$G,K110)&amp;""),0)/IFERROR(--(INDEX('Reguler Class Availability'!$F:$F,K110)&amp;""),0)&gt;=0.6,"Tinggi","Sebagian"))))))</f>
        <v>Tidak dibuka</v>
      </c>
      <c r="T110" s="0" t="str">
        <f aca="false">IF(L110="","",IF(AND(IFERROR(--(INDEX('Reguler Class Availability'!$F:$F,L110)&amp;""),0)=0,IFERROR(--(INDEX('Reguler Class Availability'!$G:$G,L110)&amp;""),0)=0),IF(OR(INDEX('Reguler Class Availability'!$B:$B,L110)&amp;""&lt;&gt;"",INDEX('Reguler Class Availability'!$I:$I,L110)&amp;""&lt;&gt;""),"Tutup","Tidak dibuka"),IF(IFERROR(--(INDEX('Reguler Class Availability'!$G:$G,L110)&amp;""),0)&gt;IFERROR(--(INDEX('Reguler Class Availability'!$F:$F,L110)&amp;""),0),"Lebih",IF(IFERROR(--(INDEX('Reguler Class Availability'!$G:$G,L110)&amp;""),0)=IFERROR(--(INDEX('Reguler Class Availability'!$F:$F,L110)&amp;""),0),"Penuh",IF(IFERROR(--(INDEX('Reguler Class Availability'!$G:$G,L110)&amp;""),0)=0,IF(INDEX('Reguler Class Availability'!$B:$B,L110)&amp;""="","Kosong","Belum terisi"),IF(IFERROR(--(INDEX('Reguler Class Availability'!$G:$G,L110)&amp;""),0)/IFERROR(--(INDEX('Reguler Class Availability'!$F:$F,L110)&amp;""),0)&gt;=0.6,"Tinggi","Sebagian"))))))</f>
        <v>Tidak dibuka</v>
      </c>
      <c r="U110" s="0" t="str">
        <f aca="false">IF(M110="","",IF(AND(IFERROR(--(INDEX('Reguler Class Availability'!$F:$F,M110)&amp;""),0)=0,IFERROR(--(INDEX('Reguler Class Availability'!$G:$G,M110)&amp;""),0)=0),IF(OR(INDEX('Reguler Class Availability'!$B:$B,M110)&amp;""&lt;&gt;"",INDEX('Reguler Class Availability'!$I:$I,M110)&amp;""&lt;&gt;""),"Tutup","Tidak dibuka"),IF(IFERROR(--(INDEX('Reguler Class Availability'!$G:$G,M110)&amp;""),0)&gt;IFERROR(--(INDEX('Reguler Class Availability'!$F:$F,M110)&amp;""),0),"Lebih",IF(IFERROR(--(INDEX('Reguler Class Availability'!$G:$G,M110)&amp;""),0)=IFERROR(--(INDEX('Reguler Class Availability'!$F:$F,M110)&amp;""),0),"Penuh",IF(IFERROR(--(INDEX('Reguler Class Availability'!$G:$G,M110)&amp;""),0)=0,IF(INDEX('Reguler Class Availability'!$B:$B,M110)&amp;""="","Kosong","Belum terisi"),IF(IFERROR(--(INDEX('Reguler Class Availability'!$G:$G,M110)&amp;""),0)/IFERROR(--(INDEX('Reguler Class Availability'!$F:$F,M110)&amp;""),0)&gt;=0.6,"Tinggi","Sebagian"))))))</f>
        <v>Tidak dibuka</v>
      </c>
      <c r="V110" s="0" t="str">
        <f aca="false">IF(N110="","",IF(AND(IFERROR(--(INDEX('Reguler Class Availability'!$F:$F,N110)&amp;""),0)=0,IFERROR(--(INDEX('Reguler Class Availability'!$G:$G,N110)&amp;""),0)=0),IF(OR(INDEX('Reguler Class Availability'!$B:$B,N110)&amp;""&lt;&gt;"",INDEX('Reguler Class Availability'!$I:$I,N110)&amp;""&lt;&gt;""),"Tutup","Tidak dibuka"),IF(IFERROR(--(INDEX('Reguler Class Availability'!$G:$G,N110)&amp;""),0)&gt;IFERROR(--(INDEX('Reguler Class Availability'!$F:$F,N110)&amp;""),0),"Lebih",IF(IFERROR(--(INDEX('Reguler Class Availability'!$G:$G,N110)&amp;""),0)=IFERROR(--(INDEX('Reguler Class Availability'!$F:$F,N110)&amp;""),0),"Penuh",IF(IFERROR(--(INDEX('Reguler Class Availability'!$G:$G,N110)&amp;""),0)=0,IF(INDEX('Reguler Class Availability'!$B:$B,N110)&amp;""="","Kosong","Belum terisi"),IF(IFERROR(--(INDEX('Reguler Class Availability'!$G:$G,N110)&amp;""),0)/IFERROR(--(INDEX('Reguler Class Availability'!$F:$F,N110)&amp;""),0)&gt;=0.6,"Tinggi","Sebagian"))))))</f>
        <v>Tidak dibuka</v>
      </c>
      <c r="W110" s="0" t="str">
        <f aca="false">IF(O110="","",IF(AND(IFERROR(--(INDEX('Reguler Class Availability'!$F:$F,O110)&amp;""),0)=0,IFERROR(--(INDEX('Reguler Class Availability'!$G:$G,O110)&amp;""),0)=0),IF(OR(INDEX('Reguler Class Availability'!$B:$B,O110)&amp;""&lt;&gt;"",INDEX('Reguler Class Availability'!$I:$I,O110)&amp;""&lt;&gt;""),"Tutup","Tidak dibuka"),IF(IFERROR(--(INDEX('Reguler Class Availability'!$G:$G,O110)&amp;""),0)&gt;IFERROR(--(INDEX('Reguler Class Availability'!$F:$F,O110)&amp;""),0),"Lebih",IF(IFERROR(--(INDEX('Reguler Class Availability'!$G:$G,O110)&amp;""),0)=IFERROR(--(INDEX('Reguler Class Availability'!$F:$F,O110)&amp;""),0),"Penuh",IF(IFERROR(--(INDEX('Reguler Class Availability'!$G:$G,O110)&amp;""),0)=0,IF(INDEX('Reguler Class Availability'!$B:$B,O110)&amp;""="","Kosong","Belum terisi"),IF(IFERROR(--(INDEX('Reguler Class Availability'!$G:$G,O110)&amp;""),0)/IFERROR(--(INDEX('Reguler Class Availability'!$F:$F,O110)&amp;""),0)&gt;=0.6,"Tinggi","Sebagian"))))))</f>
        <v>Tidak dibuka</v>
      </c>
      <c r="X110" s="0" t="str">
        <f aca="false">IF(P110="","",IF(AND(IFERROR(--(INDEX('Reguler Class Availability'!$F:$F,P110)&amp;""),0)=0,IFERROR(--(INDEX('Reguler Class Availability'!$G:$G,P110)&amp;""),0)=0),IF(OR(INDEX('Reguler Class Availability'!$B:$B,P110)&amp;""&lt;&gt;"",INDEX('Reguler Class Availability'!$I:$I,P110)&amp;""&lt;&gt;""),"Tutup","Tidak dibuka"),IF(IFERROR(--(INDEX('Reguler Class Availability'!$G:$G,P110)&amp;""),0)&gt;IFERROR(--(INDEX('Reguler Class Availability'!$F:$F,P110)&amp;""),0),"Lebih",IF(IFERROR(--(INDEX('Reguler Class Availability'!$G:$G,P110)&amp;""),0)=IFERROR(--(INDEX('Reguler Class Availability'!$F:$F,P110)&amp;""),0),"Penuh",IF(IFERROR(--(INDEX('Reguler Class Availability'!$G:$G,P110)&amp;""),0)=0,IF(INDEX('Reguler Class Availability'!$B:$B,P110)&amp;""="","Kosong","Belum terisi"),IF(IFERROR(--(INDEX('Reguler Class Availability'!$G:$G,P110)&amp;""),0)/IFERROR(--(INDEX('Reguler Class Availability'!$F:$F,P110)&amp;""),0)&gt;=0.6,"Tinggi","Sebagian"))))))</f>
        <v>Tidak dibuka</v>
      </c>
      <c r="Z110" s="4" t="s">
        <v>86</v>
      </c>
      <c r="AA110" s="4" t="n">
        <f aca="false">IF(COUNTIFS('Reguler Class Availability'!$L:$L,$B$4&amp;"|- Lane 2 - *|"&amp;Z110)&gt;0,1,0)</f>
        <v>0</v>
      </c>
      <c r="AB110" s="4" t="n">
        <f aca="false">AA110+AB109</f>
        <v>12</v>
      </c>
    </row>
    <row r="111" customFormat="false" ht="39.75" hidden="false" customHeight="true" outlineLevel="0" collapsed="false">
      <c r="A111" s="39" t="str">
        <f aca="false">IFERROR(INDEX($Z$302:$Z$361,MATCH(6,$AB$302:$AB$361,0)),"")</f>
        <v>11:45</v>
      </c>
      <c r="B111" s="40" t="str">
        <f aca="false">IF(J111="","",IF(R111="Tidak dibuka","–",IF(INDEX('Reguler Class Availability'!$B:$B,J111)&amp;""="","Kosong",PROPER(INDEX('Reguler Class Availability'!$B:$B,J111)&amp;""))&amp;"  "&amp;IFERROR(--(INDEX('Reguler Class Availability'!$G:$G,J111)&amp;""),0)&amp;"/"&amp;IFERROR(--(INDEX('Reguler Class Availability'!$F:$F,J111)&amp;""),0)&amp;IF(IFERROR(--(INDEX('Reguler Class Availability'!$F:$F,J111)&amp;""),0)&gt;0,"  ("&amp;TEXT(IFERROR(--(INDEX('Reguler Class Availability'!$G:$G,J111)&amp;""),0)/IFERROR(--(INDEX('Reguler Class Availability'!$F:$F,J111)&amp;""),0),"0%")&amp;")","")&amp;CHAR(10)&amp;IF(INDEX('Reguler Class Availability'!$I:$I,J111)&amp;""="","coach: –",PROPER(INDEX('Reguler Class Availability'!$I:$I,J111)&amp;""))&amp;IF(INDEX('Reguler Class Availability'!$J:$J,J111)&amp;""="","",CHAR(10)&amp;"asst: "&amp;PROPER(INDEX('Reguler Class Availability'!$J:$J,J111)&amp;""))))</f>
        <v>–</v>
      </c>
      <c r="C111" s="40" t="str">
        <f aca="false">IF(K111="","",IF(S111="Tidak dibuka","–",IF(INDEX('Reguler Class Availability'!$B:$B,K111)&amp;""="","Kosong",PROPER(INDEX('Reguler Class Availability'!$B:$B,K111)&amp;""))&amp;"  "&amp;IFERROR(--(INDEX('Reguler Class Availability'!$G:$G,K111)&amp;""),0)&amp;"/"&amp;IFERROR(--(INDEX('Reguler Class Availability'!$F:$F,K111)&amp;""),0)&amp;IF(IFERROR(--(INDEX('Reguler Class Availability'!$F:$F,K111)&amp;""),0)&gt;0,"  ("&amp;TEXT(IFERROR(--(INDEX('Reguler Class Availability'!$G:$G,K111)&amp;""),0)/IFERROR(--(INDEX('Reguler Class Availability'!$F:$F,K111)&amp;""),0),"0%")&amp;")","")&amp;CHAR(10)&amp;IF(INDEX('Reguler Class Availability'!$I:$I,K111)&amp;""="","coach: –",PROPER(INDEX('Reguler Class Availability'!$I:$I,K111)&amp;""))&amp;IF(INDEX('Reguler Class Availability'!$J:$J,K111)&amp;""="","",CHAR(10)&amp;"asst: "&amp;PROPER(INDEX('Reguler Class Availability'!$J:$J,K111)&amp;""))))</f>
        <v>–</v>
      </c>
      <c r="D111" s="40" t="str">
        <f aca="false">IF(L111="","",IF(T111="Tidak dibuka","–",IF(INDEX('Reguler Class Availability'!$B:$B,L111)&amp;""="","Kosong",PROPER(INDEX('Reguler Class Availability'!$B:$B,L111)&amp;""))&amp;"  "&amp;IFERROR(--(INDEX('Reguler Class Availability'!$G:$G,L111)&amp;""),0)&amp;"/"&amp;IFERROR(--(INDEX('Reguler Class Availability'!$F:$F,L111)&amp;""),0)&amp;IF(IFERROR(--(INDEX('Reguler Class Availability'!$F:$F,L111)&amp;""),0)&gt;0,"  ("&amp;TEXT(IFERROR(--(INDEX('Reguler Class Availability'!$G:$G,L111)&amp;""),0)/IFERROR(--(INDEX('Reguler Class Availability'!$F:$F,L111)&amp;""),0),"0%")&amp;")","")&amp;CHAR(10)&amp;IF(INDEX('Reguler Class Availability'!$I:$I,L111)&amp;""="","coach: –",PROPER(INDEX('Reguler Class Availability'!$I:$I,L111)&amp;""))&amp;IF(INDEX('Reguler Class Availability'!$J:$J,L111)&amp;""="","",CHAR(10)&amp;"asst: "&amp;PROPER(INDEX('Reguler Class Availability'!$J:$J,L111)&amp;""))))</f>
        <v>–</v>
      </c>
      <c r="E111" s="40" t="str">
        <f aca="false">IF(M111="","",IF(U111="Tidak dibuka","–",IF(INDEX('Reguler Class Availability'!$B:$B,M111)&amp;""="","Kosong",PROPER(INDEX('Reguler Class Availability'!$B:$B,M111)&amp;""))&amp;"  "&amp;IFERROR(--(INDEX('Reguler Class Availability'!$G:$G,M111)&amp;""),0)&amp;"/"&amp;IFERROR(--(INDEX('Reguler Class Availability'!$F:$F,M111)&amp;""),0)&amp;IF(IFERROR(--(INDEX('Reguler Class Availability'!$F:$F,M111)&amp;""),0)&gt;0,"  ("&amp;TEXT(IFERROR(--(INDEX('Reguler Class Availability'!$G:$G,M111)&amp;""),0)/IFERROR(--(INDEX('Reguler Class Availability'!$F:$F,M111)&amp;""),0),"0%")&amp;")","")&amp;CHAR(10)&amp;IF(INDEX('Reguler Class Availability'!$I:$I,M111)&amp;""="","coach: –",PROPER(INDEX('Reguler Class Availability'!$I:$I,M111)&amp;""))&amp;IF(INDEX('Reguler Class Availability'!$J:$J,M111)&amp;""="","",CHAR(10)&amp;"asst: "&amp;PROPER(INDEX('Reguler Class Availability'!$J:$J,M111)&amp;""))))</f>
        <v>–</v>
      </c>
      <c r="F111" s="40" t="str">
        <f aca="false">IF(N111="","",IF(V111="Tidak dibuka","–",IF(INDEX('Reguler Class Availability'!$B:$B,N111)&amp;""="","Kosong",PROPER(INDEX('Reguler Class Availability'!$B:$B,N111)&amp;""))&amp;"  "&amp;IFERROR(--(INDEX('Reguler Class Availability'!$G:$G,N111)&amp;""),0)&amp;"/"&amp;IFERROR(--(INDEX('Reguler Class Availability'!$F:$F,N111)&amp;""),0)&amp;IF(IFERROR(--(INDEX('Reguler Class Availability'!$F:$F,N111)&amp;""),0)&gt;0,"  ("&amp;TEXT(IFERROR(--(INDEX('Reguler Class Availability'!$G:$G,N111)&amp;""),0)/IFERROR(--(INDEX('Reguler Class Availability'!$F:$F,N111)&amp;""),0),"0%")&amp;")","")&amp;CHAR(10)&amp;IF(INDEX('Reguler Class Availability'!$I:$I,N111)&amp;""="","coach: –",PROPER(INDEX('Reguler Class Availability'!$I:$I,N111)&amp;""))&amp;IF(INDEX('Reguler Class Availability'!$J:$J,N111)&amp;""="","",CHAR(10)&amp;"asst: "&amp;PROPER(INDEX('Reguler Class Availability'!$J:$J,N111)&amp;""))))</f>
        <v>–</v>
      </c>
      <c r="G111" s="40" t="str">
        <f aca="false">IF(O111="","",IF(W111="Tidak dibuka","–",IF(INDEX('Reguler Class Availability'!$B:$B,O111)&amp;""="","Kosong",PROPER(INDEX('Reguler Class Availability'!$B:$B,O111)&amp;""))&amp;"  "&amp;IFERROR(--(INDEX('Reguler Class Availability'!$G:$G,O111)&amp;""),0)&amp;"/"&amp;IFERROR(--(INDEX('Reguler Class Availability'!$F:$F,O111)&amp;""),0)&amp;IF(IFERROR(--(INDEX('Reguler Class Availability'!$F:$F,O111)&amp;""),0)&gt;0,"  ("&amp;TEXT(IFERROR(--(INDEX('Reguler Class Availability'!$G:$G,O111)&amp;""),0)/IFERROR(--(INDEX('Reguler Class Availability'!$F:$F,O111)&amp;""),0),"0%")&amp;")","")&amp;CHAR(10)&amp;IF(INDEX('Reguler Class Availability'!$I:$I,O111)&amp;""="","coach: –",PROPER(INDEX('Reguler Class Availability'!$I:$I,O111)&amp;""))&amp;IF(INDEX('Reguler Class Availability'!$J:$J,O111)&amp;""="","",CHAR(10)&amp;"asst: "&amp;PROPER(INDEX('Reguler Class Availability'!$J:$J,O111)&amp;""))))</f>
        <v>–</v>
      </c>
      <c r="H111" s="40" t="str">
        <f aca="false">IF(P111="","",IF(X111="Tidak dibuka","–",IF(INDEX('Reguler Class Availability'!$B:$B,P111)&amp;""="","Kosong",PROPER(INDEX('Reguler Class Availability'!$B:$B,P111)&amp;""))&amp;"  "&amp;IFERROR(--(INDEX('Reguler Class Availability'!$G:$G,P111)&amp;""),0)&amp;"/"&amp;IFERROR(--(INDEX('Reguler Class Availability'!$F:$F,P111)&amp;""),0)&amp;IF(IFERROR(--(INDEX('Reguler Class Availability'!$F:$F,P111)&amp;""),0)&gt;0,"  ("&amp;TEXT(IFERROR(--(INDEX('Reguler Class Availability'!$G:$G,P111)&amp;""),0)/IFERROR(--(INDEX('Reguler Class Availability'!$F:$F,P111)&amp;""),0),"0%")&amp;")","")&amp;CHAR(10)&amp;IF(INDEX('Reguler Class Availability'!$I:$I,P111)&amp;""="","coach: –",PROPER(INDEX('Reguler Class Availability'!$I:$I,P111)&amp;""))&amp;IF(INDEX('Reguler Class Availability'!$J:$J,P111)&amp;""="","",CHAR(10)&amp;"asst: "&amp;PROPER(INDEX('Reguler Class Availability'!$J:$J,P111)&amp;""))))</f>
        <v>–</v>
      </c>
      <c r="J111" s="4" t="n">
        <f aca="false">IF($A111="","",IFERROR(MATCH($B$4&amp;"|- Lane 6 - "&amp;B$105&amp;"|"&amp;$A111,'Reguler Class Availability'!$L:$L,0),""))</f>
        <v>441</v>
      </c>
      <c r="K111" s="4" t="n">
        <f aca="false">IF($A111="","",IFERROR(MATCH($B$4&amp;"|- Lane 6 - "&amp;C$105&amp;"|"&amp;$A111,'Reguler Class Availability'!$L:$L,0),""))</f>
        <v>453</v>
      </c>
      <c r="L111" s="4" t="n">
        <f aca="false">IF($A111="","",IFERROR(MATCH($B$4&amp;"|- Lane 6 - "&amp;D$105&amp;"|"&amp;$A111,'Reguler Class Availability'!$L:$L,0),""))</f>
        <v>465</v>
      </c>
      <c r="M111" s="4" t="n">
        <f aca="false">IF($A111="","",IFERROR(MATCH($B$4&amp;"|- Lane 6 - "&amp;E$105&amp;"|"&amp;$A111,'Reguler Class Availability'!$L:$L,0),""))</f>
        <v>477</v>
      </c>
      <c r="N111" s="4" t="n">
        <f aca="false">IF($A111="","",IFERROR(MATCH($B$4&amp;"|- Lane 6 - "&amp;F$105&amp;"|"&amp;$A111,'Reguler Class Availability'!$L:$L,0),""))</f>
        <v>489</v>
      </c>
      <c r="O111" s="4" t="n">
        <f aca="false">IF($A111="","",IFERROR(MATCH($B$4&amp;"|- Lane 6 - "&amp;G$105&amp;"|"&amp;$A111,'Reguler Class Availability'!$L:$L,0),""))</f>
        <v>501</v>
      </c>
      <c r="P111" s="4" t="n">
        <f aca="false">IF($A111="","",IFERROR(MATCH($B$4&amp;"|- Lane 6 - "&amp;H$105&amp;"|"&amp;$A111,'Reguler Class Availability'!$L:$L,0),""))</f>
        <v>513</v>
      </c>
      <c r="R111" s="0" t="str">
        <f aca="false">IF(J111="","",IF(AND(IFERROR(--(INDEX('Reguler Class Availability'!$F:$F,J111)&amp;""),0)=0,IFERROR(--(INDEX('Reguler Class Availability'!$G:$G,J111)&amp;""),0)=0),IF(OR(INDEX('Reguler Class Availability'!$B:$B,J111)&amp;""&lt;&gt;"",INDEX('Reguler Class Availability'!$I:$I,J111)&amp;""&lt;&gt;""),"Tutup","Tidak dibuka"),IF(IFERROR(--(INDEX('Reguler Class Availability'!$G:$G,J111)&amp;""),0)&gt;IFERROR(--(INDEX('Reguler Class Availability'!$F:$F,J111)&amp;""),0),"Lebih",IF(IFERROR(--(INDEX('Reguler Class Availability'!$G:$G,J111)&amp;""),0)=IFERROR(--(INDEX('Reguler Class Availability'!$F:$F,J111)&amp;""),0),"Penuh",IF(IFERROR(--(INDEX('Reguler Class Availability'!$G:$G,J111)&amp;""),0)=0,IF(INDEX('Reguler Class Availability'!$B:$B,J111)&amp;""="","Kosong","Belum terisi"),IF(IFERROR(--(INDEX('Reguler Class Availability'!$G:$G,J111)&amp;""),0)/IFERROR(--(INDEX('Reguler Class Availability'!$F:$F,J111)&amp;""),0)&gt;=0.6,"Tinggi","Sebagian"))))))</f>
        <v>Tidak dibuka</v>
      </c>
      <c r="S111" s="0" t="str">
        <f aca="false">IF(K111="","",IF(AND(IFERROR(--(INDEX('Reguler Class Availability'!$F:$F,K111)&amp;""),0)=0,IFERROR(--(INDEX('Reguler Class Availability'!$G:$G,K111)&amp;""),0)=0),IF(OR(INDEX('Reguler Class Availability'!$B:$B,K111)&amp;""&lt;&gt;"",INDEX('Reguler Class Availability'!$I:$I,K111)&amp;""&lt;&gt;""),"Tutup","Tidak dibuka"),IF(IFERROR(--(INDEX('Reguler Class Availability'!$G:$G,K111)&amp;""),0)&gt;IFERROR(--(INDEX('Reguler Class Availability'!$F:$F,K111)&amp;""),0),"Lebih",IF(IFERROR(--(INDEX('Reguler Class Availability'!$G:$G,K111)&amp;""),0)=IFERROR(--(INDEX('Reguler Class Availability'!$F:$F,K111)&amp;""),0),"Penuh",IF(IFERROR(--(INDEX('Reguler Class Availability'!$G:$G,K111)&amp;""),0)=0,IF(INDEX('Reguler Class Availability'!$B:$B,K111)&amp;""="","Kosong","Belum terisi"),IF(IFERROR(--(INDEX('Reguler Class Availability'!$G:$G,K111)&amp;""),0)/IFERROR(--(INDEX('Reguler Class Availability'!$F:$F,K111)&amp;""),0)&gt;=0.6,"Tinggi","Sebagian"))))))</f>
        <v>Tidak dibuka</v>
      </c>
      <c r="T111" s="0" t="str">
        <f aca="false">IF(L111="","",IF(AND(IFERROR(--(INDEX('Reguler Class Availability'!$F:$F,L111)&amp;""),0)=0,IFERROR(--(INDEX('Reguler Class Availability'!$G:$G,L111)&amp;""),0)=0),IF(OR(INDEX('Reguler Class Availability'!$B:$B,L111)&amp;""&lt;&gt;"",INDEX('Reguler Class Availability'!$I:$I,L111)&amp;""&lt;&gt;""),"Tutup","Tidak dibuka"),IF(IFERROR(--(INDEX('Reguler Class Availability'!$G:$G,L111)&amp;""),0)&gt;IFERROR(--(INDEX('Reguler Class Availability'!$F:$F,L111)&amp;""),0),"Lebih",IF(IFERROR(--(INDEX('Reguler Class Availability'!$G:$G,L111)&amp;""),0)=IFERROR(--(INDEX('Reguler Class Availability'!$F:$F,L111)&amp;""),0),"Penuh",IF(IFERROR(--(INDEX('Reguler Class Availability'!$G:$G,L111)&amp;""),0)=0,IF(INDEX('Reguler Class Availability'!$B:$B,L111)&amp;""="","Kosong","Belum terisi"),IF(IFERROR(--(INDEX('Reguler Class Availability'!$G:$G,L111)&amp;""),0)/IFERROR(--(INDEX('Reguler Class Availability'!$F:$F,L111)&amp;""),0)&gt;=0.6,"Tinggi","Sebagian"))))))</f>
        <v>Tidak dibuka</v>
      </c>
      <c r="U111" s="0" t="str">
        <f aca="false">IF(M111="","",IF(AND(IFERROR(--(INDEX('Reguler Class Availability'!$F:$F,M111)&amp;""),0)=0,IFERROR(--(INDEX('Reguler Class Availability'!$G:$G,M111)&amp;""),0)=0),IF(OR(INDEX('Reguler Class Availability'!$B:$B,M111)&amp;""&lt;&gt;"",INDEX('Reguler Class Availability'!$I:$I,M111)&amp;""&lt;&gt;""),"Tutup","Tidak dibuka"),IF(IFERROR(--(INDEX('Reguler Class Availability'!$G:$G,M111)&amp;""),0)&gt;IFERROR(--(INDEX('Reguler Class Availability'!$F:$F,M111)&amp;""),0),"Lebih",IF(IFERROR(--(INDEX('Reguler Class Availability'!$G:$G,M111)&amp;""),0)=IFERROR(--(INDEX('Reguler Class Availability'!$F:$F,M111)&amp;""),0),"Penuh",IF(IFERROR(--(INDEX('Reguler Class Availability'!$G:$G,M111)&amp;""),0)=0,IF(INDEX('Reguler Class Availability'!$B:$B,M111)&amp;""="","Kosong","Belum terisi"),IF(IFERROR(--(INDEX('Reguler Class Availability'!$G:$G,M111)&amp;""),0)/IFERROR(--(INDEX('Reguler Class Availability'!$F:$F,M111)&amp;""),0)&gt;=0.6,"Tinggi","Sebagian"))))))</f>
        <v>Tidak dibuka</v>
      </c>
      <c r="V111" s="0" t="str">
        <f aca="false">IF(N111="","",IF(AND(IFERROR(--(INDEX('Reguler Class Availability'!$F:$F,N111)&amp;""),0)=0,IFERROR(--(INDEX('Reguler Class Availability'!$G:$G,N111)&amp;""),0)=0),IF(OR(INDEX('Reguler Class Availability'!$B:$B,N111)&amp;""&lt;&gt;"",INDEX('Reguler Class Availability'!$I:$I,N111)&amp;""&lt;&gt;""),"Tutup","Tidak dibuka"),IF(IFERROR(--(INDEX('Reguler Class Availability'!$G:$G,N111)&amp;""),0)&gt;IFERROR(--(INDEX('Reguler Class Availability'!$F:$F,N111)&amp;""),0),"Lebih",IF(IFERROR(--(INDEX('Reguler Class Availability'!$G:$G,N111)&amp;""),0)=IFERROR(--(INDEX('Reguler Class Availability'!$F:$F,N111)&amp;""),0),"Penuh",IF(IFERROR(--(INDEX('Reguler Class Availability'!$G:$G,N111)&amp;""),0)=0,IF(INDEX('Reguler Class Availability'!$B:$B,N111)&amp;""="","Kosong","Belum terisi"),IF(IFERROR(--(INDEX('Reguler Class Availability'!$G:$G,N111)&amp;""),0)/IFERROR(--(INDEX('Reguler Class Availability'!$F:$F,N111)&amp;""),0)&gt;=0.6,"Tinggi","Sebagian"))))))</f>
        <v>Tidak dibuka</v>
      </c>
      <c r="W111" s="0" t="str">
        <f aca="false">IF(O111="","",IF(AND(IFERROR(--(INDEX('Reguler Class Availability'!$F:$F,O111)&amp;""),0)=0,IFERROR(--(INDEX('Reguler Class Availability'!$G:$G,O111)&amp;""),0)=0),IF(OR(INDEX('Reguler Class Availability'!$B:$B,O111)&amp;""&lt;&gt;"",INDEX('Reguler Class Availability'!$I:$I,O111)&amp;""&lt;&gt;""),"Tutup","Tidak dibuka"),IF(IFERROR(--(INDEX('Reguler Class Availability'!$G:$G,O111)&amp;""),0)&gt;IFERROR(--(INDEX('Reguler Class Availability'!$F:$F,O111)&amp;""),0),"Lebih",IF(IFERROR(--(INDEX('Reguler Class Availability'!$G:$G,O111)&amp;""),0)=IFERROR(--(INDEX('Reguler Class Availability'!$F:$F,O111)&amp;""),0),"Penuh",IF(IFERROR(--(INDEX('Reguler Class Availability'!$G:$G,O111)&amp;""),0)=0,IF(INDEX('Reguler Class Availability'!$B:$B,O111)&amp;""="","Kosong","Belum terisi"),IF(IFERROR(--(INDEX('Reguler Class Availability'!$G:$G,O111)&amp;""),0)/IFERROR(--(INDEX('Reguler Class Availability'!$F:$F,O111)&amp;""),0)&gt;=0.6,"Tinggi","Sebagian"))))))</f>
        <v>Tidak dibuka</v>
      </c>
      <c r="X111" s="0" t="str">
        <f aca="false">IF(P111="","",IF(AND(IFERROR(--(INDEX('Reguler Class Availability'!$F:$F,P111)&amp;""),0)=0,IFERROR(--(INDEX('Reguler Class Availability'!$G:$G,P111)&amp;""),0)=0),IF(OR(INDEX('Reguler Class Availability'!$B:$B,P111)&amp;""&lt;&gt;"",INDEX('Reguler Class Availability'!$I:$I,P111)&amp;""&lt;&gt;""),"Tutup","Tidak dibuka"),IF(IFERROR(--(INDEX('Reguler Class Availability'!$G:$G,P111)&amp;""),0)&gt;IFERROR(--(INDEX('Reguler Class Availability'!$F:$F,P111)&amp;""),0),"Lebih",IF(IFERROR(--(INDEX('Reguler Class Availability'!$G:$G,P111)&amp;""),0)=IFERROR(--(INDEX('Reguler Class Availability'!$F:$F,P111)&amp;""),0),"Penuh",IF(IFERROR(--(INDEX('Reguler Class Availability'!$G:$G,P111)&amp;""),0)=0,IF(INDEX('Reguler Class Availability'!$B:$B,P111)&amp;""="","Kosong","Belum terisi"),IF(IFERROR(--(INDEX('Reguler Class Availability'!$G:$G,P111)&amp;""),0)/IFERROR(--(INDEX('Reguler Class Availability'!$F:$F,P111)&amp;""),0)&gt;=0.6,"Tinggi","Sebagian"))))))</f>
        <v>Tidak dibuka</v>
      </c>
      <c r="Z111" s="4" t="s">
        <v>87</v>
      </c>
      <c r="AA111" s="4" t="n">
        <f aca="false">IF(COUNTIFS('Reguler Class Availability'!$L:$L,$B$4&amp;"|- Lane 2 - *|"&amp;Z111)&gt;0,1,0)</f>
        <v>0</v>
      </c>
      <c r="AB111" s="4" t="n">
        <f aca="false">AA111+AB110</f>
        <v>12</v>
      </c>
    </row>
    <row r="112" customFormat="false" ht="39.75" hidden="false" customHeight="true" outlineLevel="0" collapsed="false">
      <c r="A112" s="39" t="str">
        <f aca="false">IFERROR(INDEX($Z$302:$Z$361,MATCH(7,$AB$302:$AB$361,0)),"")</f>
        <v>13:15</v>
      </c>
      <c r="B112" s="40" t="str">
        <f aca="false">IF(J112="","",IF(R112="Tidak dibuka","–",IF(INDEX('Reguler Class Availability'!$B:$B,J112)&amp;""="","Kosong",PROPER(INDEX('Reguler Class Availability'!$B:$B,J112)&amp;""))&amp;"  "&amp;IFERROR(--(INDEX('Reguler Class Availability'!$G:$G,J112)&amp;""),0)&amp;"/"&amp;IFERROR(--(INDEX('Reguler Class Availability'!$F:$F,J112)&amp;""),0)&amp;IF(IFERROR(--(INDEX('Reguler Class Availability'!$F:$F,J112)&amp;""),0)&gt;0,"  ("&amp;TEXT(IFERROR(--(INDEX('Reguler Class Availability'!$G:$G,J112)&amp;""),0)/IFERROR(--(INDEX('Reguler Class Availability'!$F:$F,J112)&amp;""),0),"0%")&amp;")","")&amp;CHAR(10)&amp;IF(INDEX('Reguler Class Availability'!$I:$I,J112)&amp;""="","coach: –",PROPER(INDEX('Reguler Class Availability'!$I:$I,J112)&amp;""))&amp;IF(INDEX('Reguler Class Availability'!$J:$J,J112)&amp;""="","",CHAR(10)&amp;"asst: "&amp;PROPER(INDEX('Reguler Class Availability'!$J:$J,J112)&amp;""))))</f>
        <v>–</v>
      </c>
      <c r="C112" s="40" t="str">
        <f aca="false">IF(K112="","",IF(S112="Tidak dibuka","–",IF(INDEX('Reguler Class Availability'!$B:$B,K112)&amp;""="","Kosong",PROPER(INDEX('Reguler Class Availability'!$B:$B,K112)&amp;""))&amp;"  "&amp;IFERROR(--(INDEX('Reguler Class Availability'!$G:$G,K112)&amp;""),0)&amp;"/"&amp;IFERROR(--(INDEX('Reguler Class Availability'!$F:$F,K112)&amp;""),0)&amp;IF(IFERROR(--(INDEX('Reguler Class Availability'!$F:$F,K112)&amp;""),0)&gt;0,"  ("&amp;TEXT(IFERROR(--(INDEX('Reguler Class Availability'!$G:$G,K112)&amp;""),0)/IFERROR(--(INDEX('Reguler Class Availability'!$F:$F,K112)&amp;""),0),"0%")&amp;")","")&amp;CHAR(10)&amp;IF(INDEX('Reguler Class Availability'!$I:$I,K112)&amp;""="","coach: –",PROPER(INDEX('Reguler Class Availability'!$I:$I,K112)&amp;""))&amp;IF(INDEX('Reguler Class Availability'!$J:$J,K112)&amp;""="","",CHAR(10)&amp;"asst: "&amp;PROPER(INDEX('Reguler Class Availability'!$J:$J,K112)&amp;""))))</f>
        <v>–</v>
      </c>
      <c r="D112" s="40" t="str">
        <f aca="false">IF(L112="","",IF(T112="Tidak dibuka","–",IF(INDEX('Reguler Class Availability'!$B:$B,L112)&amp;""="","Kosong",PROPER(INDEX('Reguler Class Availability'!$B:$B,L112)&amp;""))&amp;"  "&amp;IFERROR(--(INDEX('Reguler Class Availability'!$G:$G,L112)&amp;""),0)&amp;"/"&amp;IFERROR(--(INDEX('Reguler Class Availability'!$F:$F,L112)&amp;""),0)&amp;IF(IFERROR(--(INDEX('Reguler Class Availability'!$F:$F,L112)&amp;""),0)&gt;0,"  ("&amp;TEXT(IFERROR(--(INDEX('Reguler Class Availability'!$G:$G,L112)&amp;""),0)/IFERROR(--(INDEX('Reguler Class Availability'!$F:$F,L112)&amp;""),0),"0%")&amp;")","")&amp;CHAR(10)&amp;IF(INDEX('Reguler Class Availability'!$I:$I,L112)&amp;""="","coach: –",PROPER(INDEX('Reguler Class Availability'!$I:$I,L112)&amp;""))&amp;IF(INDEX('Reguler Class Availability'!$J:$J,L112)&amp;""="","",CHAR(10)&amp;"asst: "&amp;PROPER(INDEX('Reguler Class Availability'!$J:$J,L112)&amp;""))))</f>
        <v>–</v>
      </c>
      <c r="E112" s="40" t="str">
        <f aca="false">IF(M112="","",IF(U112="Tidak dibuka","–",IF(INDEX('Reguler Class Availability'!$B:$B,M112)&amp;""="","Kosong",PROPER(INDEX('Reguler Class Availability'!$B:$B,M112)&amp;""))&amp;"  "&amp;IFERROR(--(INDEX('Reguler Class Availability'!$G:$G,M112)&amp;""),0)&amp;"/"&amp;IFERROR(--(INDEX('Reguler Class Availability'!$F:$F,M112)&amp;""),0)&amp;IF(IFERROR(--(INDEX('Reguler Class Availability'!$F:$F,M112)&amp;""),0)&gt;0,"  ("&amp;TEXT(IFERROR(--(INDEX('Reguler Class Availability'!$G:$G,M112)&amp;""),0)/IFERROR(--(INDEX('Reguler Class Availability'!$F:$F,M112)&amp;""),0),"0%")&amp;")","")&amp;CHAR(10)&amp;IF(INDEX('Reguler Class Availability'!$I:$I,M112)&amp;""="","coach: –",PROPER(INDEX('Reguler Class Availability'!$I:$I,M112)&amp;""))&amp;IF(INDEX('Reguler Class Availability'!$J:$J,M112)&amp;""="","",CHAR(10)&amp;"asst: "&amp;PROPER(INDEX('Reguler Class Availability'!$J:$J,M112)&amp;""))))</f>
        <v>–</v>
      </c>
      <c r="F112" s="40" t="str">
        <f aca="false">IF(N112="","",IF(V112="Tidak dibuka","–",IF(INDEX('Reguler Class Availability'!$B:$B,N112)&amp;""="","Kosong",PROPER(INDEX('Reguler Class Availability'!$B:$B,N112)&amp;""))&amp;"  "&amp;IFERROR(--(INDEX('Reguler Class Availability'!$G:$G,N112)&amp;""),0)&amp;"/"&amp;IFERROR(--(INDEX('Reguler Class Availability'!$F:$F,N112)&amp;""),0)&amp;IF(IFERROR(--(INDEX('Reguler Class Availability'!$F:$F,N112)&amp;""),0)&gt;0,"  ("&amp;TEXT(IFERROR(--(INDEX('Reguler Class Availability'!$G:$G,N112)&amp;""),0)/IFERROR(--(INDEX('Reguler Class Availability'!$F:$F,N112)&amp;""),0),"0%")&amp;")","")&amp;CHAR(10)&amp;IF(INDEX('Reguler Class Availability'!$I:$I,N112)&amp;""="","coach: –",PROPER(INDEX('Reguler Class Availability'!$I:$I,N112)&amp;""))&amp;IF(INDEX('Reguler Class Availability'!$J:$J,N112)&amp;""="","",CHAR(10)&amp;"asst: "&amp;PROPER(INDEX('Reguler Class Availability'!$J:$J,N112)&amp;""))))</f>
        <v>–</v>
      </c>
      <c r="G112" s="40" t="str">
        <f aca="false">IF(O112="","",IF(W112="Tidak dibuka","–",IF(INDEX('Reguler Class Availability'!$B:$B,O112)&amp;""="","Kosong",PROPER(INDEX('Reguler Class Availability'!$B:$B,O112)&amp;""))&amp;"  "&amp;IFERROR(--(INDEX('Reguler Class Availability'!$G:$G,O112)&amp;""),0)&amp;"/"&amp;IFERROR(--(INDEX('Reguler Class Availability'!$F:$F,O112)&amp;""),0)&amp;IF(IFERROR(--(INDEX('Reguler Class Availability'!$F:$F,O112)&amp;""),0)&gt;0,"  ("&amp;TEXT(IFERROR(--(INDEX('Reguler Class Availability'!$G:$G,O112)&amp;""),0)/IFERROR(--(INDEX('Reguler Class Availability'!$F:$F,O112)&amp;""),0),"0%")&amp;")","")&amp;CHAR(10)&amp;IF(INDEX('Reguler Class Availability'!$I:$I,O112)&amp;""="","coach: –",PROPER(INDEX('Reguler Class Availability'!$I:$I,O112)&amp;""))&amp;IF(INDEX('Reguler Class Availability'!$J:$J,O112)&amp;""="","",CHAR(10)&amp;"asst: "&amp;PROPER(INDEX('Reguler Class Availability'!$J:$J,O112)&amp;""))))</f>
        <v>–</v>
      </c>
      <c r="H112" s="40" t="str">
        <f aca="false">IF(P112="","",IF(X112="Tidak dibuka","–",IF(INDEX('Reguler Class Availability'!$B:$B,P112)&amp;""="","Kosong",PROPER(INDEX('Reguler Class Availability'!$B:$B,P112)&amp;""))&amp;"  "&amp;IFERROR(--(INDEX('Reguler Class Availability'!$G:$G,P112)&amp;""),0)&amp;"/"&amp;IFERROR(--(INDEX('Reguler Class Availability'!$F:$F,P112)&amp;""),0)&amp;IF(IFERROR(--(INDEX('Reguler Class Availability'!$F:$F,P112)&amp;""),0)&gt;0,"  ("&amp;TEXT(IFERROR(--(INDEX('Reguler Class Availability'!$G:$G,P112)&amp;""),0)/IFERROR(--(INDEX('Reguler Class Availability'!$F:$F,P112)&amp;""),0),"0%")&amp;")","")&amp;CHAR(10)&amp;IF(INDEX('Reguler Class Availability'!$I:$I,P112)&amp;""="","coach: –",PROPER(INDEX('Reguler Class Availability'!$I:$I,P112)&amp;""))&amp;IF(INDEX('Reguler Class Availability'!$J:$J,P112)&amp;""="","",CHAR(10)&amp;"asst: "&amp;PROPER(INDEX('Reguler Class Availability'!$J:$J,P112)&amp;""))))</f>
        <v>–</v>
      </c>
      <c r="J112" s="4" t="n">
        <f aca="false">IF($A112="","",IFERROR(MATCH($B$4&amp;"|- Lane 6 - "&amp;B$105&amp;"|"&amp;$A112,'Reguler Class Availability'!$L:$L,0),""))</f>
        <v>442</v>
      </c>
      <c r="K112" s="4" t="n">
        <f aca="false">IF($A112="","",IFERROR(MATCH($B$4&amp;"|- Lane 6 - "&amp;C$105&amp;"|"&amp;$A112,'Reguler Class Availability'!$L:$L,0),""))</f>
        <v>454</v>
      </c>
      <c r="L112" s="4" t="n">
        <f aca="false">IF($A112="","",IFERROR(MATCH($B$4&amp;"|- Lane 6 - "&amp;D$105&amp;"|"&amp;$A112,'Reguler Class Availability'!$L:$L,0),""))</f>
        <v>466</v>
      </c>
      <c r="M112" s="4" t="n">
        <f aca="false">IF($A112="","",IFERROR(MATCH($B$4&amp;"|- Lane 6 - "&amp;E$105&amp;"|"&amp;$A112,'Reguler Class Availability'!$L:$L,0),""))</f>
        <v>478</v>
      </c>
      <c r="N112" s="4" t="n">
        <f aca="false">IF($A112="","",IFERROR(MATCH($B$4&amp;"|- Lane 6 - "&amp;F$105&amp;"|"&amp;$A112,'Reguler Class Availability'!$L:$L,0),""))</f>
        <v>490</v>
      </c>
      <c r="O112" s="4" t="n">
        <f aca="false">IF($A112="","",IFERROR(MATCH($B$4&amp;"|- Lane 6 - "&amp;G$105&amp;"|"&amp;$A112,'Reguler Class Availability'!$L:$L,0),""))</f>
        <v>502</v>
      </c>
      <c r="P112" s="4" t="n">
        <f aca="false">IF($A112="","",IFERROR(MATCH($B$4&amp;"|- Lane 6 - "&amp;H$105&amp;"|"&amp;$A112,'Reguler Class Availability'!$L:$L,0),""))</f>
        <v>514</v>
      </c>
      <c r="R112" s="0" t="str">
        <f aca="false">IF(J112="","",IF(AND(IFERROR(--(INDEX('Reguler Class Availability'!$F:$F,J112)&amp;""),0)=0,IFERROR(--(INDEX('Reguler Class Availability'!$G:$G,J112)&amp;""),0)=0),IF(OR(INDEX('Reguler Class Availability'!$B:$B,J112)&amp;""&lt;&gt;"",INDEX('Reguler Class Availability'!$I:$I,J112)&amp;""&lt;&gt;""),"Tutup","Tidak dibuka"),IF(IFERROR(--(INDEX('Reguler Class Availability'!$G:$G,J112)&amp;""),0)&gt;IFERROR(--(INDEX('Reguler Class Availability'!$F:$F,J112)&amp;""),0),"Lebih",IF(IFERROR(--(INDEX('Reguler Class Availability'!$G:$G,J112)&amp;""),0)=IFERROR(--(INDEX('Reguler Class Availability'!$F:$F,J112)&amp;""),0),"Penuh",IF(IFERROR(--(INDEX('Reguler Class Availability'!$G:$G,J112)&amp;""),0)=0,IF(INDEX('Reguler Class Availability'!$B:$B,J112)&amp;""="","Kosong","Belum terisi"),IF(IFERROR(--(INDEX('Reguler Class Availability'!$G:$G,J112)&amp;""),0)/IFERROR(--(INDEX('Reguler Class Availability'!$F:$F,J112)&amp;""),0)&gt;=0.6,"Tinggi","Sebagian"))))))</f>
        <v>Tidak dibuka</v>
      </c>
      <c r="S112" s="0" t="str">
        <f aca="false">IF(K112="","",IF(AND(IFERROR(--(INDEX('Reguler Class Availability'!$F:$F,K112)&amp;""),0)=0,IFERROR(--(INDEX('Reguler Class Availability'!$G:$G,K112)&amp;""),0)=0),IF(OR(INDEX('Reguler Class Availability'!$B:$B,K112)&amp;""&lt;&gt;"",INDEX('Reguler Class Availability'!$I:$I,K112)&amp;""&lt;&gt;""),"Tutup","Tidak dibuka"),IF(IFERROR(--(INDEX('Reguler Class Availability'!$G:$G,K112)&amp;""),0)&gt;IFERROR(--(INDEX('Reguler Class Availability'!$F:$F,K112)&amp;""),0),"Lebih",IF(IFERROR(--(INDEX('Reguler Class Availability'!$G:$G,K112)&amp;""),0)=IFERROR(--(INDEX('Reguler Class Availability'!$F:$F,K112)&amp;""),0),"Penuh",IF(IFERROR(--(INDEX('Reguler Class Availability'!$G:$G,K112)&amp;""),0)=0,IF(INDEX('Reguler Class Availability'!$B:$B,K112)&amp;""="","Kosong","Belum terisi"),IF(IFERROR(--(INDEX('Reguler Class Availability'!$G:$G,K112)&amp;""),0)/IFERROR(--(INDEX('Reguler Class Availability'!$F:$F,K112)&amp;""),0)&gt;=0.6,"Tinggi","Sebagian"))))))</f>
        <v>Tidak dibuka</v>
      </c>
      <c r="T112" s="0" t="str">
        <f aca="false">IF(L112="","",IF(AND(IFERROR(--(INDEX('Reguler Class Availability'!$F:$F,L112)&amp;""),0)=0,IFERROR(--(INDEX('Reguler Class Availability'!$G:$G,L112)&amp;""),0)=0),IF(OR(INDEX('Reguler Class Availability'!$B:$B,L112)&amp;""&lt;&gt;"",INDEX('Reguler Class Availability'!$I:$I,L112)&amp;""&lt;&gt;""),"Tutup","Tidak dibuka"),IF(IFERROR(--(INDEX('Reguler Class Availability'!$G:$G,L112)&amp;""),0)&gt;IFERROR(--(INDEX('Reguler Class Availability'!$F:$F,L112)&amp;""),0),"Lebih",IF(IFERROR(--(INDEX('Reguler Class Availability'!$G:$G,L112)&amp;""),0)=IFERROR(--(INDEX('Reguler Class Availability'!$F:$F,L112)&amp;""),0),"Penuh",IF(IFERROR(--(INDEX('Reguler Class Availability'!$G:$G,L112)&amp;""),0)=0,IF(INDEX('Reguler Class Availability'!$B:$B,L112)&amp;""="","Kosong","Belum terisi"),IF(IFERROR(--(INDEX('Reguler Class Availability'!$G:$G,L112)&amp;""),0)/IFERROR(--(INDEX('Reguler Class Availability'!$F:$F,L112)&amp;""),0)&gt;=0.6,"Tinggi","Sebagian"))))))</f>
        <v>Tidak dibuka</v>
      </c>
      <c r="U112" s="0" t="str">
        <f aca="false">IF(M112="","",IF(AND(IFERROR(--(INDEX('Reguler Class Availability'!$F:$F,M112)&amp;""),0)=0,IFERROR(--(INDEX('Reguler Class Availability'!$G:$G,M112)&amp;""),0)=0),IF(OR(INDEX('Reguler Class Availability'!$B:$B,M112)&amp;""&lt;&gt;"",INDEX('Reguler Class Availability'!$I:$I,M112)&amp;""&lt;&gt;""),"Tutup","Tidak dibuka"),IF(IFERROR(--(INDEX('Reguler Class Availability'!$G:$G,M112)&amp;""),0)&gt;IFERROR(--(INDEX('Reguler Class Availability'!$F:$F,M112)&amp;""),0),"Lebih",IF(IFERROR(--(INDEX('Reguler Class Availability'!$G:$G,M112)&amp;""),0)=IFERROR(--(INDEX('Reguler Class Availability'!$F:$F,M112)&amp;""),0),"Penuh",IF(IFERROR(--(INDEX('Reguler Class Availability'!$G:$G,M112)&amp;""),0)=0,IF(INDEX('Reguler Class Availability'!$B:$B,M112)&amp;""="","Kosong","Belum terisi"),IF(IFERROR(--(INDEX('Reguler Class Availability'!$G:$G,M112)&amp;""),0)/IFERROR(--(INDEX('Reguler Class Availability'!$F:$F,M112)&amp;""),0)&gt;=0.6,"Tinggi","Sebagian"))))))</f>
        <v>Tidak dibuka</v>
      </c>
      <c r="V112" s="0" t="str">
        <f aca="false">IF(N112="","",IF(AND(IFERROR(--(INDEX('Reguler Class Availability'!$F:$F,N112)&amp;""),0)=0,IFERROR(--(INDEX('Reguler Class Availability'!$G:$G,N112)&amp;""),0)=0),IF(OR(INDEX('Reguler Class Availability'!$B:$B,N112)&amp;""&lt;&gt;"",INDEX('Reguler Class Availability'!$I:$I,N112)&amp;""&lt;&gt;""),"Tutup","Tidak dibuka"),IF(IFERROR(--(INDEX('Reguler Class Availability'!$G:$G,N112)&amp;""),0)&gt;IFERROR(--(INDEX('Reguler Class Availability'!$F:$F,N112)&amp;""),0),"Lebih",IF(IFERROR(--(INDEX('Reguler Class Availability'!$G:$G,N112)&amp;""),0)=IFERROR(--(INDEX('Reguler Class Availability'!$F:$F,N112)&amp;""),0),"Penuh",IF(IFERROR(--(INDEX('Reguler Class Availability'!$G:$G,N112)&amp;""),0)=0,IF(INDEX('Reguler Class Availability'!$B:$B,N112)&amp;""="","Kosong","Belum terisi"),IF(IFERROR(--(INDEX('Reguler Class Availability'!$G:$G,N112)&amp;""),0)/IFERROR(--(INDEX('Reguler Class Availability'!$F:$F,N112)&amp;""),0)&gt;=0.6,"Tinggi","Sebagian"))))))</f>
        <v>Tidak dibuka</v>
      </c>
      <c r="W112" s="0" t="str">
        <f aca="false">IF(O112="","",IF(AND(IFERROR(--(INDEX('Reguler Class Availability'!$F:$F,O112)&amp;""),0)=0,IFERROR(--(INDEX('Reguler Class Availability'!$G:$G,O112)&amp;""),0)=0),IF(OR(INDEX('Reguler Class Availability'!$B:$B,O112)&amp;""&lt;&gt;"",INDEX('Reguler Class Availability'!$I:$I,O112)&amp;""&lt;&gt;""),"Tutup","Tidak dibuka"),IF(IFERROR(--(INDEX('Reguler Class Availability'!$G:$G,O112)&amp;""),0)&gt;IFERROR(--(INDEX('Reguler Class Availability'!$F:$F,O112)&amp;""),0),"Lebih",IF(IFERROR(--(INDEX('Reguler Class Availability'!$G:$G,O112)&amp;""),0)=IFERROR(--(INDEX('Reguler Class Availability'!$F:$F,O112)&amp;""),0),"Penuh",IF(IFERROR(--(INDEX('Reguler Class Availability'!$G:$G,O112)&amp;""),0)=0,IF(INDEX('Reguler Class Availability'!$B:$B,O112)&amp;""="","Kosong","Belum terisi"),IF(IFERROR(--(INDEX('Reguler Class Availability'!$G:$G,O112)&amp;""),0)/IFERROR(--(INDEX('Reguler Class Availability'!$F:$F,O112)&amp;""),0)&gt;=0.6,"Tinggi","Sebagian"))))))</f>
        <v>Tidak dibuka</v>
      </c>
      <c r="X112" s="0" t="str">
        <f aca="false">IF(P112="","",IF(AND(IFERROR(--(INDEX('Reguler Class Availability'!$F:$F,P112)&amp;""),0)=0,IFERROR(--(INDEX('Reguler Class Availability'!$G:$G,P112)&amp;""),0)=0),IF(OR(INDEX('Reguler Class Availability'!$B:$B,P112)&amp;""&lt;&gt;"",INDEX('Reguler Class Availability'!$I:$I,P112)&amp;""&lt;&gt;""),"Tutup","Tidak dibuka"),IF(IFERROR(--(INDEX('Reguler Class Availability'!$G:$G,P112)&amp;""),0)&gt;IFERROR(--(INDEX('Reguler Class Availability'!$F:$F,P112)&amp;""),0),"Lebih",IF(IFERROR(--(INDEX('Reguler Class Availability'!$G:$G,P112)&amp;""),0)=IFERROR(--(INDEX('Reguler Class Availability'!$F:$F,P112)&amp;""),0),"Penuh",IF(IFERROR(--(INDEX('Reguler Class Availability'!$G:$G,P112)&amp;""),0)=0,IF(INDEX('Reguler Class Availability'!$B:$B,P112)&amp;""="","Kosong","Belum terisi"),IF(IFERROR(--(INDEX('Reguler Class Availability'!$G:$G,P112)&amp;""),0)/IFERROR(--(INDEX('Reguler Class Availability'!$F:$F,P112)&amp;""),0)&gt;=0.6,"Tinggi","Sebagian"))))))</f>
        <v>Tidak dibuka</v>
      </c>
      <c r="Z112" s="4" t="s">
        <v>88</v>
      </c>
      <c r="AA112" s="4" t="n">
        <f aca="false">IF(COUNTIFS('Reguler Class Availability'!$L:$L,$B$4&amp;"|- Lane 2 - *|"&amp;Z112)&gt;0,1,0)</f>
        <v>0</v>
      </c>
      <c r="AB112" s="4" t="n">
        <f aca="false">AA112+AB111</f>
        <v>12</v>
      </c>
    </row>
    <row r="113" customFormat="false" ht="39.75" hidden="false" customHeight="true" outlineLevel="0" collapsed="false">
      <c r="A113" s="39" t="str">
        <f aca="false">IFERROR(INDEX($Z$302:$Z$361,MATCH(8,$AB$302:$AB$361,0)),"")</f>
        <v>14:00</v>
      </c>
      <c r="B113" s="40" t="str">
        <f aca="false">IF(J113="","",IF(R113="Tidak dibuka","–",IF(INDEX('Reguler Class Availability'!$B:$B,J113)&amp;""="","Kosong",PROPER(INDEX('Reguler Class Availability'!$B:$B,J113)&amp;""))&amp;"  "&amp;IFERROR(--(INDEX('Reguler Class Availability'!$G:$G,J113)&amp;""),0)&amp;"/"&amp;IFERROR(--(INDEX('Reguler Class Availability'!$F:$F,J113)&amp;""),0)&amp;IF(IFERROR(--(INDEX('Reguler Class Availability'!$F:$F,J113)&amp;""),0)&gt;0,"  ("&amp;TEXT(IFERROR(--(INDEX('Reguler Class Availability'!$G:$G,J113)&amp;""),0)/IFERROR(--(INDEX('Reguler Class Availability'!$F:$F,J113)&amp;""),0),"0%")&amp;")","")&amp;CHAR(10)&amp;IF(INDEX('Reguler Class Availability'!$I:$I,J113)&amp;""="","coach: –",PROPER(INDEX('Reguler Class Availability'!$I:$I,J113)&amp;""))&amp;IF(INDEX('Reguler Class Availability'!$J:$J,J113)&amp;""="","",CHAR(10)&amp;"asst: "&amp;PROPER(INDEX('Reguler Class Availability'!$J:$J,J113)&amp;""))))</f>
        <v>–</v>
      </c>
      <c r="C113" s="40" t="str">
        <f aca="false">IF(K113="","",IF(S113="Tidak dibuka","–",IF(INDEX('Reguler Class Availability'!$B:$B,K113)&amp;""="","Kosong",PROPER(INDEX('Reguler Class Availability'!$B:$B,K113)&amp;""))&amp;"  "&amp;IFERROR(--(INDEX('Reguler Class Availability'!$G:$G,K113)&amp;""),0)&amp;"/"&amp;IFERROR(--(INDEX('Reguler Class Availability'!$F:$F,K113)&amp;""),0)&amp;IF(IFERROR(--(INDEX('Reguler Class Availability'!$F:$F,K113)&amp;""),0)&gt;0,"  ("&amp;TEXT(IFERROR(--(INDEX('Reguler Class Availability'!$G:$G,K113)&amp;""),0)/IFERROR(--(INDEX('Reguler Class Availability'!$F:$F,K113)&amp;""),0),"0%")&amp;")","")&amp;CHAR(10)&amp;IF(INDEX('Reguler Class Availability'!$I:$I,K113)&amp;""="","coach: –",PROPER(INDEX('Reguler Class Availability'!$I:$I,K113)&amp;""))&amp;IF(INDEX('Reguler Class Availability'!$J:$J,K113)&amp;""="","",CHAR(10)&amp;"asst: "&amp;PROPER(INDEX('Reguler Class Availability'!$J:$J,K113)&amp;""))))</f>
        <v>–</v>
      </c>
      <c r="D113" s="40" t="str">
        <f aca="false">IF(L113="","",IF(T113="Tidak dibuka","–",IF(INDEX('Reguler Class Availability'!$B:$B,L113)&amp;""="","Kosong",PROPER(INDEX('Reguler Class Availability'!$B:$B,L113)&amp;""))&amp;"  "&amp;IFERROR(--(INDEX('Reguler Class Availability'!$G:$G,L113)&amp;""),0)&amp;"/"&amp;IFERROR(--(INDEX('Reguler Class Availability'!$F:$F,L113)&amp;""),0)&amp;IF(IFERROR(--(INDEX('Reguler Class Availability'!$F:$F,L113)&amp;""),0)&gt;0,"  ("&amp;TEXT(IFERROR(--(INDEX('Reguler Class Availability'!$G:$G,L113)&amp;""),0)/IFERROR(--(INDEX('Reguler Class Availability'!$F:$F,L113)&amp;""),0),"0%")&amp;")","")&amp;CHAR(10)&amp;IF(INDEX('Reguler Class Availability'!$I:$I,L113)&amp;""="","coach: –",PROPER(INDEX('Reguler Class Availability'!$I:$I,L113)&amp;""))&amp;IF(INDEX('Reguler Class Availability'!$J:$J,L113)&amp;""="","",CHAR(10)&amp;"asst: "&amp;PROPER(INDEX('Reguler Class Availability'!$J:$J,L113)&amp;""))))</f>
        <v>–</v>
      </c>
      <c r="E113" s="40" t="str">
        <f aca="false">IF(M113="","",IF(U113="Tidak dibuka","–",IF(INDEX('Reguler Class Availability'!$B:$B,M113)&amp;""="","Kosong",PROPER(INDEX('Reguler Class Availability'!$B:$B,M113)&amp;""))&amp;"  "&amp;IFERROR(--(INDEX('Reguler Class Availability'!$G:$G,M113)&amp;""),0)&amp;"/"&amp;IFERROR(--(INDEX('Reguler Class Availability'!$F:$F,M113)&amp;""),0)&amp;IF(IFERROR(--(INDEX('Reguler Class Availability'!$F:$F,M113)&amp;""),0)&gt;0,"  ("&amp;TEXT(IFERROR(--(INDEX('Reguler Class Availability'!$G:$G,M113)&amp;""),0)/IFERROR(--(INDEX('Reguler Class Availability'!$F:$F,M113)&amp;""),0),"0%")&amp;")","")&amp;CHAR(10)&amp;IF(INDEX('Reguler Class Availability'!$I:$I,M113)&amp;""="","coach: –",PROPER(INDEX('Reguler Class Availability'!$I:$I,M113)&amp;""))&amp;IF(INDEX('Reguler Class Availability'!$J:$J,M113)&amp;""="","",CHAR(10)&amp;"asst: "&amp;PROPER(INDEX('Reguler Class Availability'!$J:$J,M113)&amp;""))))</f>
        <v>–</v>
      </c>
      <c r="F113" s="40" t="str">
        <f aca="false">IF(N113="","",IF(V113="Tidak dibuka","–",IF(INDEX('Reguler Class Availability'!$B:$B,N113)&amp;""="","Kosong",PROPER(INDEX('Reguler Class Availability'!$B:$B,N113)&amp;""))&amp;"  "&amp;IFERROR(--(INDEX('Reguler Class Availability'!$G:$G,N113)&amp;""),0)&amp;"/"&amp;IFERROR(--(INDEX('Reguler Class Availability'!$F:$F,N113)&amp;""),0)&amp;IF(IFERROR(--(INDEX('Reguler Class Availability'!$F:$F,N113)&amp;""),0)&gt;0,"  ("&amp;TEXT(IFERROR(--(INDEX('Reguler Class Availability'!$G:$G,N113)&amp;""),0)/IFERROR(--(INDEX('Reguler Class Availability'!$F:$F,N113)&amp;""),0),"0%")&amp;")","")&amp;CHAR(10)&amp;IF(INDEX('Reguler Class Availability'!$I:$I,N113)&amp;""="","coach: –",PROPER(INDEX('Reguler Class Availability'!$I:$I,N113)&amp;""))&amp;IF(INDEX('Reguler Class Availability'!$J:$J,N113)&amp;""="","",CHAR(10)&amp;"asst: "&amp;PROPER(INDEX('Reguler Class Availability'!$J:$J,N113)&amp;""))))</f>
        <v>–</v>
      </c>
      <c r="G113" s="40" t="str">
        <f aca="false">IF(O113="","",IF(W113="Tidak dibuka","–",IF(INDEX('Reguler Class Availability'!$B:$B,O113)&amp;""="","Kosong",PROPER(INDEX('Reguler Class Availability'!$B:$B,O113)&amp;""))&amp;"  "&amp;IFERROR(--(INDEX('Reguler Class Availability'!$G:$G,O113)&amp;""),0)&amp;"/"&amp;IFERROR(--(INDEX('Reguler Class Availability'!$F:$F,O113)&amp;""),0)&amp;IF(IFERROR(--(INDEX('Reguler Class Availability'!$F:$F,O113)&amp;""),0)&gt;0,"  ("&amp;TEXT(IFERROR(--(INDEX('Reguler Class Availability'!$G:$G,O113)&amp;""),0)/IFERROR(--(INDEX('Reguler Class Availability'!$F:$F,O113)&amp;""),0),"0%")&amp;")","")&amp;CHAR(10)&amp;IF(INDEX('Reguler Class Availability'!$I:$I,O113)&amp;""="","coach: –",PROPER(INDEX('Reguler Class Availability'!$I:$I,O113)&amp;""))&amp;IF(INDEX('Reguler Class Availability'!$J:$J,O113)&amp;""="","",CHAR(10)&amp;"asst: "&amp;PROPER(INDEX('Reguler Class Availability'!$J:$J,O113)&amp;""))))</f>
        <v>–</v>
      </c>
      <c r="H113" s="40" t="str">
        <f aca="false">IF(P113="","",IF(X113="Tidak dibuka","–",IF(INDEX('Reguler Class Availability'!$B:$B,P113)&amp;""="","Kosong",PROPER(INDEX('Reguler Class Availability'!$B:$B,P113)&amp;""))&amp;"  "&amp;IFERROR(--(INDEX('Reguler Class Availability'!$G:$G,P113)&amp;""),0)&amp;"/"&amp;IFERROR(--(INDEX('Reguler Class Availability'!$F:$F,P113)&amp;""),0)&amp;IF(IFERROR(--(INDEX('Reguler Class Availability'!$F:$F,P113)&amp;""),0)&gt;0,"  ("&amp;TEXT(IFERROR(--(INDEX('Reguler Class Availability'!$G:$G,P113)&amp;""),0)/IFERROR(--(INDEX('Reguler Class Availability'!$F:$F,P113)&amp;""),0),"0%")&amp;")","")&amp;CHAR(10)&amp;IF(INDEX('Reguler Class Availability'!$I:$I,P113)&amp;""="","coach: –",PROPER(INDEX('Reguler Class Availability'!$I:$I,P113)&amp;""))&amp;IF(INDEX('Reguler Class Availability'!$J:$J,P113)&amp;""="","",CHAR(10)&amp;"asst: "&amp;PROPER(INDEX('Reguler Class Availability'!$J:$J,P113)&amp;""))))</f>
        <v>–</v>
      </c>
      <c r="J113" s="4" t="n">
        <f aca="false">IF($A113="","",IFERROR(MATCH($B$4&amp;"|- Lane 6 - "&amp;B$105&amp;"|"&amp;$A113,'Reguler Class Availability'!$L:$L,0),""))</f>
        <v>443</v>
      </c>
      <c r="K113" s="4" t="n">
        <f aca="false">IF($A113="","",IFERROR(MATCH($B$4&amp;"|- Lane 6 - "&amp;C$105&amp;"|"&amp;$A113,'Reguler Class Availability'!$L:$L,0),""))</f>
        <v>455</v>
      </c>
      <c r="L113" s="4" t="n">
        <f aca="false">IF($A113="","",IFERROR(MATCH($B$4&amp;"|- Lane 6 - "&amp;D$105&amp;"|"&amp;$A113,'Reguler Class Availability'!$L:$L,0),""))</f>
        <v>467</v>
      </c>
      <c r="M113" s="4" t="n">
        <f aca="false">IF($A113="","",IFERROR(MATCH($B$4&amp;"|- Lane 6 - "&amp;E$105&amp;"|"&amp;$A113,'Reguler Class Availability'!$L:$L,0),""))</f>
        <v>479</v>
      </c>
      <c r="N113" s="4" t="n">
        <f aca="false">IF($A113="","",IFERROR(MATCH($B$4&amp;"|- Lane 6 - "&amp;F$105&amp;"|"&amp;$A113,'Reguler Class Availability'!$L:$L,0),""))</f>
        <v>491</v>
      </c>
      <c r="O113" s="4" t="n">
        <f aca="false">IF($A113="","",IFERROR(MATCH($B$4&amp;"|- Lane 6 - "&amp;G$105&amp;"|"&amp;$A113,'Reguler Class Availability'!$L:$L,0),""))</f>
        <v>503</v>
      </c>
      <c r="P113" s="4" t="n">
        <f aca="false">IF($A113="","",IFERROR(MATCH($B$4&amp;"|- Lane 6 - "&amp;H$105&amp;"|"&amp;$A113,'Reguler Class Availability'!$L:$L,0),""))</f>
        <v>515</v>
      </c>
      <c r="R113" s="0" t="str">
        <f aca="false">IF(J113="","",IF(AND(IFERROR(--(INDEX('Reguler Class Availability'!$F:$F,J113)&amp;""),0)=0,IFERROR(--(INDEX('Reguler Class Availability'!$G:$G,J113)&amp;""),0)=0),IF(OR(INDEX('Reguler Class Availability'!$B:$B,J113)&amp;""&lt;&gt;"",INDEX('Reguler Class Availability'!$I:$I,J113)&amp;""&lt;&gt;""),"Tutup","Tidak dibuka"),IF(IFERROR(--(INDEX('Reguler Class Availability'!$G:$G,J113)&amp;""),0)&gt;IFERROR(--(INDEX('Reguler Class Availability'!$F:$F,J113)&amp;""),0),"Lebih",IF(IFERROR(--(INDEX('Reguler Class Availability'!$G:$G,J113)&amp;""),0)=IFERROR(--(INDEX('Reguler Class Availability'!$F:$F,J113)&amp;""),0),"Penuh",IF(IFERROR(--(INDEX('Reguler Class Availability'!$G:$G,J113)&amp;""),0)=0,IF(INDEX('Reguler Class Availability'!$B:$B,J113)&amp;""="","Kosong","Belum terisi"),IF(IFERROR(--(INDEX('Reguler Class Availability'!$G:$G,J113)&amp;""),0)/IFERROR(--(INDEX('Reguler Class Availability'!$F:$F,J113)&amp;""),0)&gt;=0.6,"Tinggi","Sebagian"))))))</f>
        <v>Tidak dibuka</v>
      </c>
      <c r="S113" s="0" t="str">
        <f aca="false">IF(K113="","",IF(AND(IFERROR(--(INDEX('Reguler Class Availability'!$F:$F,K113)&amp;""),0)=0,IFERROR(--(INDEX('Reguler Class Availability'!$G:$G,K113)&amp;""),0)=0),IF(OR(INDEX('Reguler Class Availability'!$B:$B,K113)&amp;""&lt;&gt;"",INDEX('Reguler Class Availability'!$I:$I,K113)&amp;""&lt;&gt;""),"Tutup","Tidak dibuka"),IF(IFERROR(--(INDEX('Reguler Class Availability'!$G:$G,K113)&amp;""),0)&gt;IFERROR(--(INDEX('Reguler Class Availability'!$F:$F,K113)&amp;""),0),"Lebih",IF(IFERROR(--(INDEX('Reguler Class Availability'!$G:$G,K113)&amp;""),0)=IFERROR(--(INDEX('Reguler Class Availability'!$F:$F,K113)&amp;""),0),"Penuh",IF(IFERROR(--(INDEX('Reguler Class Availability'!$G:$G,K113)&amp;""),0)=0,IF(INDEX('Reguler Class Availability'!$B:$B,K113)&amp;""="","Kosong","Belum terisi"),IF(IFERROR(--(INDEX('Reguler Class Availability'!$G:$G,K113)&amp;""),0)/IFERROR(--(INDEX('Reguler Class Availability'!$F:$F,K113)&amp;""),0)&gt;=0.6,"Tinggi","Sebagian"))))))</f>
        <v>Tidak dibuka</v>
      </c>
      <c r="T113" s="0" t="str">
        <f aca="false">IF(L113="","",IF(AND(IFERROR(--(INDEX('Reguler Class Availability'!$F:$F,L113)&amp;""),0)=0,IFERROR(--(INDEX('Reguler Class Availability'!$G:$G,L113)&amp;""),0)=0),IF(OR(INDEX('Reguler Class Availability'!$B:$B,L113)&amp;""&lt;&gt;"",INDEX('Reguler Class Availability'!$I:$I,L113)&amp;""&lt;&gt;""),"Tutup","Tidak dibuka"),IF(IFERROR(--(INDEX('Reguler Class Availability'!$G:$G,L113)&amp;""),0)&gt;IFERROR(--(INDEX('Reguler Class Availability'!$F:$F,L113)&amp;""),0),"Lebih",IF(IFERROR(--(INDEX('Reguler Class Availability'!$G:$G,L113)&amp;""),0)=IFERROR(--(INDEX('Reguler Class Availability'!$F:$F,L113)&amp;""),0),"Penuh",IF(IFERROR(--(INDEX('Reguler Class Availability'!$G:$G,L113)&amp;""),0)=0,IF(INDEX('Reguler Class Availability'!$B:$B,L113)&amp;""="","Kosong","Belum terisi"),IF(IFERROR(--(INDEX('Reguler Class Availability'!$G:$G,L113)&amp;""),0)/IFERROR(--(INDEX('Reguler Class Availability'!$F:$F,L113)&amp;""),0)&gt;=0.6,"Tinggi","Sebagian"))))))</f>
        <v>Tidak dibuka</v>
      </c>
      <c r="U113" s="0" t="str">
        <f aca="false">IF(M113="","",IF(AND(IFERROR(--(INDEX('Reguler Class Availability'!$F:$F,M113)&amp;""),0)=0,IFERROR(--(INDEX('Reguler Class Availability'!$G:$G,M113)&amp;""),0)=0),IF(OR(INDEX('Reguler Class Availability'!$B:$B,M113)&amp;""&lt;&gt;"",INDEX('Reguler Class Availability'!$I:$I,M113)&amp;""&lt;&gt;""),"Tutup","Tidak dibuka"),IF(IFERROR(--(INDEX('Reguler Class Availability'!$G:$G,M113)&amp;""),0)&gt;IFERROR(--(INDEX('Reguler Class Availability'!$F:$F,M113)&amp;""),0),"Lebih",IF(IFERROR(--(INDEX('Reguler Class Availability'!$G:$G,M113)&amp;""),0)=IFERROR(--(INDEX('Reguler Class Availability'!$F:$F,M113)&amp;""),0),"Penuh",IF(IFERROR(--(INDEX('Reguler Class Availability'!$G:$G,M113)&amp;""),0)=0,IF(INDEX('Reguler Class Availability'!$B:$B,M113)&amp;""="","Kosong","Belum terisi"),IF(IFERROR(--(INDEX('Reguler Class Availability'!$G:$G,M113)&amp;""),0)/IFERROR(--(INDEX('Reguler Class Availability'!$F:$F,M113)&amp;""),0)&gt;=0.6,"Tinggi","Sebagian"))))))</f>
        <v>Tidak dibuka</v>
      </c>
      <c r="V113" s="0" t="str">
        <f aca="false">IF(N113="","",IF(AND(IFERROR(--(INDEX('Reguler Class Availability'!$F:$F,N113)&amp;""),0)=0,IFERROR(--(INDEX('Reguler Class Availability'!$G:$G,N113)&amp;""),0)=0),IF(OR(INDEX('Reguler Class Availability'!$B:$B,N113)&amp;""&lt;&gt;"",INDEX('Reguler Class Availability'!$I:$I,N113)&amp;""&lt;&gt;""),"Tutup","Tidak dibuka"),IF(IFERROR(--(INDEX('Reguler Class Availability'!$G:$G,N113)&amp;""),0)&gt;IFERROR(--(INDEX('Reguler Class Availability'!$F:$F,N113)&amp;""),0),"Lebih",IF(IFERROR(--(INDEX('Reguler Class Availability'!$G:$G,N113)&amp;""),0)=IFERROR(--(INDEX('Reguler Class Availability'!$F:$F,N113)&amp;""),0),"Penuh",IF(IFERROR(--(INDEX('Reguler Class Availability'!$G:$G,N113)&amp;""),0)=0,IF(INDEX('Reguler Class Availability'!$B:$B,N113)&amp;""="","Kosong","Belum terisi"),IF(IFERROR(--(INDEX('Reguler Class Availability'!$G:$G,N113)&amp;""),0)/IFERROR(--(INDEX('Reguler Class Availability'!$F:$F,N113)&amp;""),0)&gt;=0.6,"Tinggi","Sebagian"))))))</f>
        <v>Tidak dibuka</v>
      </c>
      <c r="W113" s="0" t="str">
        <f aca="false">IF(O113="","",IF(AND(IFERROR(--(INDEX('Reguler Class Availability'!$F:$F,O113)&amp;""),0)=0,IFERROR(--(INDEX('Reguler Class Availability'!$G:$G,O113)&amp;""),0)=0),IF(OR(INDEX('Reguler Class Availability'!$B:$B,O113)&amp;""&lt;&gt;"",INDEX('Reguler Class Availability'!$I:$I,O113)&amp;""&lt;&gt;""),"Tutup","Tidak dibuka"),IF(IFERROR(--(INDEX('Reguler Class Availability'!$G:$G,O113)&amp;""),0)&gt;IFERROR(--(INDEX('Reguler Class Availability'!$F:$F,O113)&amp;""),0),"Lebih",IF(IFERROR(--(INDEX('Reguler Class Availability'!$G:$G,O113)&amp;""),0)=IFERROR(--(INDEX('Reguler Class Availability'!$F:$F,O113)&amp;""),0),"Penuh",IF(IFERROR(--(INDEX('Reguler Class Availability'!$G:$G,O113)&amp;""),0)=0,IF(INDEX('Reguler Class Availability'!$B:$B,O113)&amp;""="","Kosong","Belum terisi"),IF(IFERROR(--(INDEX('Reguler Class Availability'!$G:$G,O113)&amp;""),0)/IFERROR(--(INDEX('Reguler Class Availability'!$F:$F,O113)&amp;""),0)&gt;=0.6,"Tinggi","Sebagian"))))))</f>
        <v>Tidak dibuka</v>
      </c>
      <c r="X113" s="0" t="str">
        <f aca="false">IF(P113="","",IF(AND(IFERROR(--(INDEX('Reguler Class Availability'!$F:$F,P113)&amp;""),0)=0,IFERROR(--(INDEX('Reguler Class Availability'!$G:$G,P113)&amp;""),0)=0),IF(OR(INDEX('Reguler Class Availability'!$B:$B,P113)&amp;""&lt;&gt;"",INDEX('Reguler Class Availability'!$I:$I,P113)&amp;""&lt;&gt;""),"Tutup","Tidak dibuka"),IF(IFERROR(--(INDEX('Reguler Class Availability'!$G:$G,P113)&amp;""),0)&gt;IFERROR(--(INDEX('Reguler Class Availability'!$F:$F,P113)&amp;""),0),"Lebih",IF(IFERROR(--(INDEX('Reguler Class Availability'!$G:$G,P113)&amp;""),0)=IFERROR(--(INDEX('Reguler Class Availability'!$F:$F,P113)&amp;""),0),"Penuh",IF(IFERROR(--(INDEX('Reguler Class Availability'!$G:$G,P113)&amp;""),0)=0,IF(INDEX('Reguler Class Availability'!$B:$B,P113)&amp;""="","Kosong","Belum terisi"),IF(IFERROR(--(INDEX('Reguler Class Availability'!$G:$G,P113)&amp;""),0)/IFERROR(--(INDEX('Reguler Class Availability'!$F:$F,P113)&amp;""),0)&gt;=0.6,"Tinggi","Sebagian"))))))</f>
        <v>Tidak dibuka</v>
      </c>
      <c r="Z113" s="4" t="s">
        <v>89</v>
      </c>
      <c r="AA113" s="4" t="n">
        <f aca="false">IF(COUNTIFS('Reguler Class Availability'!$L:$L,$B$4&amp;"|- Lane 2 - *|"&amp;Z113)&gt;0,1,0)</f>
        <v>0</v>
      </c>
      <c r="AB113" s="4" t="n">
        <f aca="false">AA113+AB112</f>
        <v>12</v>
      </c>
    </row>
    <row r="114" customFormat="false" ht="39.75" hidden="false" customHeight="true" outlineLevel="0" collapsed="false">
      <c r="A114" s="39" t="str">
        <f aca="false">IFERROR(INDEX($Z$302:$Z$361,MATCH(9,$AB$302:$AB$361,0)),"")</f>
        <v>14:45</v>
      </c>
      <c r="B114" s="40" t="str">
        <f aca="false">IF(J114="","",IF(R114="Tidak dibuka","–",IF(INDEX('Reguler Class Availability'!$B:$B,J114)&amp;""="","Kosong",PROPER(INDEX('Reguler Class Availability'!$B:$B,J114)&amp;""))&amp;"  "&amp;IFERROR(--(INDEX('Reguler Class Availability'!$G:$G,J114)&amp;""),0)&amp;"/"&amp;IFERROR(--(INDEX('Reguler Class Availability'!$F:$F,J114)&amp;""),0)&amp;IF(IFERROR(--(INDEX('Reguler Class Availability'!$F:$F,J114)&amp;""),0)&gt;0,"  ("&amp;TEXT(IFERROR(--(INDEX('Reguler Class Availability'!$G:$G,J114)&amp;""),0)/IFERROR(--(INDEX('Reguler Class Availability'!$F:$F,J114)&amp;""),0),"0%")&amp;")","")&amp;CHAR(10)&amp;IF(INDEX('Reguler Class Availability'!$I:$I,J114)&amp;""="","coach: –",PROPER(INDEX('Reguler Class Availability'!$I:$I,J114)&amp;""))&amp;IF(INDEX('Reguler Class Availability'!$J:$J,J114)&amp;""="","",CHAR(10)&amp;"asst: "&amp;PROPER(INDEX('Reguler Class Availability'!$J:$J,J114)&amp;""))))</f>
        <v>–</v>
      </c>
      <c r="C114" s="40" t="str">
        <f aca="false">IF(K114="","",IF(S114="Tidak dibuka","–",IF(INDEX('Reguler Class Availability'!$B:$B,K114)&amp;""="","Kosong",PROPER(INDEX('Reguler Class Availability'!$B:$B,K114)&amp;""))&amp;"  "&amp;IFERROR(--(INDEX('Reguler Class Availability'!$G:$G,K114)&amp;""),0)&amp;"/"&amp;IFERROR(--(INDEX('Reguler Class Availability'!$F:$F,K114)&amp;""),0)&amp;IF(IFERROR(--(INDEX('Reguler Class Availability'!$F:$F,K114)&amp;""),0)&gt;0,"  ("&amp;TEXT(IFERROR(--(INDEX('Reguler Class Availability'!$G:$G,K114)&amp;""),0)/IFERROR(--(INDEX('Reguler Class Availability'!$F:$F,K114)&amp;""),0),"0%")&amp;")","")&amp;CHAR(10)&amp;IF(INDEX('Reguler Class Availability'!$I:$I,K114)&amp;""="","coach: –",PROPER(INDEX('Reguler Class Availability'!$I:$I,K114)&amp;""))&amp;IF(INDEX('Reguler Class Availability'!$J:$J,K114)&amp;""="","",CHAR(10)&amp;"asst: "&amp;PROPER(INDEX('Reguler Class Availability'!$J:$J,K114)&amp;""))))</f>
        <v>–</v>
      </c>
      <c r="D114" s="40" t="str">
        <f aca="false">IF(L114="","",IF(T114="Tidak dibuka","–",IF(INDEX('Reguler Class Availability'!$B:$B,L114)&amp;""="","Kosong",PROPER(INDEX('Reguler Class Availability'!$B:$B,L114)&amp;""))&amp;"  "&amp;IFERROR(--(INDEX('Reguler Class Availability'!$G:$G,L114)&amp;""),0)&amp;"/"&amp;IFERROR(--(INDEX('Reguler Class Availability'!$F:$F,L114)&amp;""),0)&amp;IF(IFERROR(--(INDEX('Reguler Class Availability'!$F:$F,L114)&amp;""),0)&gt;0,"  ("&amp;TEXT(IFERROR(--(INDEX('Reguler Class Availability'!$G:$G,L114)&amp;""),0)/IFERROR(--(INDEX('Reguler Class Availability'!$F:$F,L114)&amp;""),0),"0%")&amp;")","")&amp;CHAR(10)&amp;IF(INDEX('Reguler Class Availability'!$I:$I,L114)&amp;""="","coach: –",PROPER(INDEX('Reguler Class Availability'!$I:$I,L114)&amp;""))&amp;IF(INDEX('Reguler Class Availability'!$J:$J,L114)&amp;""="","",CHAR(10)&amp;"asst: "&amp;PROPER(INDEX('Reguler Class Availability'!$J:$J,L114)&amp;""))))</f>
        <v>–</v>
      </c>
      <c r="E114" s="40" t="str">
        <f aca="false">IF(M114="","",IF(U114="Tidak dibuka","–",IF(INDEX('Reguler Class Availability'!$B:$B,M114)&amp;""="","Kosong",PROPER(INDEX('Reguler Class Availability'!$B:$B,M114)&amp;""))&amp;"  "&amp;IFERROR(--(INDEX('Reguler Class Availability'!$G:$G,M114)&amp;""),0)&amp;"/"&amp;IFERROR(--(INDEX('Reguler Class Availability'!$F:$F,M114)&amp;""),0)&amp;IF(IFERROR(--(INDEX('Reguler Class Availability'!$F:$F,M114)&amp;""),0)&gt;0,"  ("&amp;TEXT(IFERROR(--(INDEX('Reguler Class Availability'!$G:$G,M114)&amp;""),0)/IFERROR(--(INDEX('Reguler Class Availability'!$F:$F,M114)&amp;""),0),"0%")&amp;")","")&amp;CHAR(10)&amp;IF(INDEX('Reguler Class Availability'!$I:$I,M114)&amp;""="","coach: –",PROPER(INDEX('Reguler Class Availability'!$I:$I,M114)&amp;""))&amp;IF(INDEX('Reguler Class Availability'!$J:$J,M114)&amp;""="","",CHAR(10)&amp;"asst: "&amp;PROPER(INDEX('Reguler Class Availability'!$J:$J,M114)&amp;""))))</f>
        <v>–</v>
      </c>
      <c r="F114" s="40" t="str">
        <f aca="false">IF(N114="","",IF(V114="Tidak dibuka","–",IF(INDEX('Reguler Class Availability'!$B:$B,N114)&amp;""="","Kosong",PROPER(INDEX('Reguler Class Availability'!$B:$B,N114)&amp;""))&amp;"  "&amp;IFERROR(--(INDEX('Reguler Class Availability'!$G:$G,N114)&amp;""),0)&amp;"/"&amp;IFERROR(--(INDEX('Reguler Class Availability'!$F:$F,N114)&amp;""),0)&amp;IF(IFERROR(--(INDEX('Reguler Class Availability'!$F:$F,N114)&amp;""),0)&gt;0,"  ("&amp;TEXT(IFERROR(--(INDEX('Reguler Class Availability'!$G:$G,N114)&amp;""),0)/IFERROR(--(INDEX('Reguler Class Availability'!$F:$F,N114)&amp;""),0),"0%")&amp;")","")&amp;CHAR(10)&amp;IF(INDEX('Reguler Class Availability'!$I:$I,N114)&amp;""="","coach: –",PROPER(INDEX('Reguler Class Availability'!$I:$I,N114)&amp;""))&amp;IF(INDEX('Reguler Class Availability'!$J:$J,N114)&amp;""="","",CHAR(10)&amp;"asst: "&amp;PROPER(INDEX('Reguler Class Availability'!$J:$J,N114)&amp;""))))</f>
        <v>–</v>
      </c>
      <c r="G114" s="40" t="str">
        <f aca="false">IF(O114="","",IF(W114="Tidak dibuka","–",IF(INDEX('Reguler Class Availability'!$B:$B,O114)&amp;""="","Kosong",PROPER(INDEX('Reguler Class Availability'!$B:$B,O114)&amp;""))&amp;"  "&amp;IFERROR(--(INDEX('Reguler Class Availability'!$G:$G,O114)&amp;""),0)&amp;"/"&amp;IFERROR(--(INDEX('Reguler Class Availability'!$F:$F,O114)&amp;""),0)&amp;IF(IFERROR(--(INDEX('Reguler Class Availability'!$F:$F,O114)&amp;""),0)&gt;0,"  ("&amp;TEXT(IFERROR(--(INDEX('Reguler Class Availability'!$G:$G,O114)&amp;""),0)/IFERROR(--(INDEX('Reguler Class Availability'!$F:$F,O114)&amp;""),0),"0%")&amp;")","")&amp;CHAR(10)&amp;IF(INDEX('Reguler Class Availability'!$I:$I,O114)&amp;""="","coach: –",PROPER(INDEX('Reguler Class Availability'!$I:$I,O114)&amp;""))&amp;IF(INDEX('Reguler Class Availability'!$J:$J,O114)&amp;""="","",CHAR(10)&amp;"asst: "&amp;PROPER(INDEX('Reguler Class Availability'!$J:$J,O114)&amp;""))))</f>
        <v>–</v>
      </c>
      <c r="H114" s="40" t="str">
        <f aca="false">IF(P114="","",IF(X114="Tidak dibuka","–",IF(INDEX('Reguler Class Availability'!$B:$B,P114)&amp;""="","Kosong",PROPER(INDEX('Reguler Class Availability'!$B:$B,P114)&amp;""))&amp;"  "&amp;IFERROR(--(INDEX('Reguler Class Availability'!$G:$G,P114)&amp;""),0)&amp;"/"&amp;IFERROR(--(INDEX('Reguler Class Availability'!$F:$F,P114)&amp;""),0)&amp;IF(IFERROR(--(INDEX('Reguler Class Availability'!$F:$F,P114)&amp;""),0)&gt;0,"  ("&amp;TEXT(IFERROR(--(INDEX('Reguler Class Availability'!$G:$G,P114)&amp;""),0)/IFERROR(--(INDEX('Reguler Class Availability'!$F:$F,P114)&amp;""),0),"0%")&amp;")","")&amp;CHAR(10)&amp;IF(INDEX('Reguler Class Availability'!$I:$I,P114)&amp;""="","coach: –",PROPER(INDEX('Reguler Class Availability'!$I:$I,P114)&amp;""))&amp;IF(INDEX('Reguler Class Availability'!$J:$J,P114)&amp;""="","",CHAR(10)&amp;"asst: "&amp;PROPER(INDEX('Reguler Class Availability'!$J:$J,P114)&amp;""))))</f>
        <v>–</v>
      </c>
      <c r="J114" s="4" t="n">
        <f aca="false">IF($A114="","",IFERROR(MATCH($B$4&amp;"|- Lane 6 - "&amp;B$105&amp;"|"&amp;$A114,'Reguler Class Availability'!$L:$L,0),""))</f>
        <v>444</v>
      </c>
      <c r="K114" s="4" t="n">
        <f aca="false">IF($A114="","",IFERROR(MATCH($B$4&amp;"|- Lane 6 - "&amp;C$105&amp;"|"&amp;$A114,'Reguler Class Availability'!$L:$L,0),""))</f>
        <v>456</v>
      </c>
      <c r="L114" s="4" t="n">
        <f aca="false">IF($A114="","",IFERROR(MATCH($B$4&amp;"|- Lane 6 - "&amp;D$105&amp;"|"&amp;$A114,'Reguler Class Availability'!$L:$L,0),""))</f>
        <v>468</v>
      </c>
      <c r="M114" s="4" t="n">
        <f aca="false">IF($A114="","",IFERROR(MATCH($B$4&amp;"|- Lane 6 - "&amp;E$105&amp;"|"&amp;$A114,'Reguler Class Availability'!$L:$L,0),""))</f>
        <v>480</v>
      </c>
      <c r="N114" s="4" t="n">
        <f aca="false">IF($A114="","",IFERROR(MATCH($B$4&amp;"|- Lane 6 - "&amp;F$105&amp;"|"&amp;$A114,'Reguler Class Availability'!$L:$L,0),""))</f>
        <v>492</v>
      </c>
      <c r="O114" s="4" t="n">
        <f aca="false">IF($A114="","",IFERROR(MATCH($B$4&amp;"|- Lane 6 - "&amp;G$105&amp;"|"&amp;$A114,'Reguler Class Availability'!$L:$L,0),""))</f>
        <v>504</v>
      </c>
      <c r="P114" s="4" t="n">
        <f aca="false">IF($A114="","",IFERROR(MATCH($B$4&amp;"|- Lane 6 - "&amp;H$105&amp;"|"&amp;$A114,'Reguler Class Availability'!$L:$L,0),""))</f>
        <v>516</v>
      </c>
      <c r="R114" s="0" t="str">
        <f aca="false">IF(J114="","",IF(AND(IFERROR(--(INDEX('Reguler Class Availability'!$F:$F,J114)&amp;""),0)=0,IFERROR(--(INDEX('Reguler Class Availability'!$G:$G,J114)&amp;""),0)=0),IF(OR(INDEX('Reguler Class Availability'!$B:$B,J114)&amp;""&lt;&gt;"",INDEX('Reguler Class Availability'!$I:$I,J114)&amp;""&lt;&gt;""),"Tutup","Tidak dibuka"),IF(IFERROR(--(INDEX('Reguler Class Availability'!$G:$G,J114)&amp;""),0)&gt;IFERROR(--(INDEX('Reguler Class Availability'!$F:$F,J114)&amp;""),0),"Lebih",IF(IFERROR(--(INDEX('Reguler Class Availability'!$G:$G,J114)&amp;""),0)=IFERROR(--(INDEX('Reguler Class Availability'!$F:$F,J114)&amp;""),0),"Penuh",IF(IFERROR(--(INDEX('Reguler Class Availability'!$G:$G,J114)&amp;""),0)=0,IF(INDEX('Reguler Class Availability'!$B:$B,J114)&amp;""="","Kosong","Belum terisi"),IF(IFERROR(--(INDEX('Reguler Class Availability'!$G:$G,J114)&amp;""),0)/IFERROR(--(INDEX('Reguler Class Availability'!$F:$F,J114)&amp;""),0)&gt;=0.6,"Tinggi","Sebagian"))))))</f>
        <v>Tidak dibuka</v>
      </c>
      <c r="S114" s="0" t="str">
        <f aca="false">IF(K114="","",IF(AND(IFERROR(--(INDEX('Reguler Class Availability'!$F:$F,K114)&amp;""),0)=0,IFERROR(--(INDEX('Reguler Class Availability'!$G:$G,K114)&amp;""),0)=0),IF(OR(INDEX('Reguler Class Availability'!$B:$B,K114)&amp;""&lt;&gt;"",INDEX('Reguler Class Availability'!$I:$I,K114)&amp;""&lt;&gt;""),"Tutup","Tidak dibuka"),IF(IFERROR(--(INDEX('Reguler Class Availability'!$G:$G,K114)&amp;""),0)&gt;IFERROR(--(INDEX('Reguler Class Availability'!$F:$F,K114)&amp;""),0),"Lebih",IF(IFERROR(--(INDEX('Reguler Class Availability'!$G:$G,K114)&amp;""),0)=IFERROR(--(INDEX('Reguler Class Availability'!$F:$F,K114)&amp;""),0),"Penuh",IF(IFERROR(--(INDEX('Reguler Class Availability'!$G:$G,K114)&amp;""),0)=0,IF(INDEX('Reguler Class Availability'!$B:$B,K114)&amp;""="","Kosong","Belum terisi"),IF(IFERROR(--(INDEX('Reguler Class Availability'!$G:$G,K114)&amp;""),0)/IFERROR(--(INDEX('Reguler Class Availability'!$F:$F,K114)&amp;""),0)&gt;=0.6,"Tinggi","Sebagian"))))))</f>
        <v>Tidak dibuka</v>
      </c>
      <c r="T114" s="0" t="str">
        <f aca="false">IF(L114="","",IF(AND(IFERROR(--(INDEX('Reguler Class Availability'!$F:$F,L114)&amp;""),0)=0,IFERROR(--(INDEX('Reguler Class Availability'!$G:$G,L114)&amp;""),0)=0),IF(OR(INDEX('Reguler Class Availability'!$B:$B,L114)&amp;""&lt;&gt;"",INDEX('Reguler Class Availability'!$I:$I,L114)&amp;""&lt;&gt;""),"Tutup","Tidak dibuka"),IF(IFERROR(--(INDEX('Reguler Class Availability'!$G:$G,L114)&amp;""),0)&gt;IFERROR(--(INDEX('Reguler Class Availability'!$F:$F,L114)&amp;""),0),"Lebih",IF(IFERROR(--(INDEX('Reguler Class Availability'!$G:$G,L114)&amp;""),0)=IFERROR(--(INDEX('Reguler Class Availability'!$F:$F,L114)&amp;""),0),"Penuh",IF(IFERROR(--(INDEX('Reguler Class Availability'!$G:$G,L114)&amp;""),0)=0,IF(INDEX('Reguler Class Availability'!$B:$B,L114)&amp;""="","Kosong","Belum terisi"),IF(IFERROR(--(INDEX('Reguler Class Availability'!$G:$G,L114)&amp;""),0)/IFERROR(--(INDEX('Reguler Class Availability'!$F:$F,L114)&amp;""),0)&gt;=0.6,"Tinggi","Sebagian"))))))</f>
        <v>Tidak dibuka</v>
      </c>
      <c r="U114" s="0" t="str">
        <f aca="false">IF(M114="","",IF(AND(IFERROR(--(INDEX('Reguler Class Availability'!$F:$F,M114)&amp;""),0)=0,IFERROR(--(INDEX('Reguler Class Availability'!$G:$G,M114)&amp;""),0)=0),IF(OR(INDEX('Reguler Class Availability'!$B:$B,M114)&amp;""&lt;&gt;"",INDEX('Reguler Class Availability'!$I:$I,M114)&amp;""&lt;&gt;""),"Tutup","Tidak dibuka"),IF(IFERROR(--(INDEX('Reguler Class Availability'!$G:$G,M114)&amp;""),0)&gt;IFERROR(--(INDEX('Reguler Class Availability'!$F:$F,M114)&amp;""),0),"Lebih",IF(IFERROR(--(INDEX('Reguler Class Availability'!$G:$G,M114)&amp;""),0)=IFERROR(--(INDEX('Reguler Class Availability'!$F:$F,M114)&amp;""),0),"Penuh",IF(IFERROR(--(INDEX('Reguler Class Availability'!$G:$G,M114)&amp;""),0)=0,IF(INDEX('Reguler Class Availability'!$B:$B,M114)&amp;""="","Kosong","Belum terisi"),IF(IFERROR(--(INDEX('Reguler Class Availability'!$G:$G,M114)&amp;""),0)/IFERROR(--(INDEX('Reguler Class Availability'!$F:$F,M114)&amp;""),0)&gt;=0.6,"Tinggi","Sebagian"))))))</f>
        <v>Tidak dibuka</v>
      </c>
      <c r="V114" s="0" t="str">
        <f aca="false">IF(N114="","",IF(AND(IFERROR(--(INDEX('Reguler Class Availability'!$F:$F,N114)&amp;""),0)=0,IFERROR(--(INDEX('Reguler Class Availability'!$G:$G,N114)&amp;""),0)=0),IF(OR(INDEX('Reguler Class Availability'!$B:$B,N114)&amp;""&lt;&gt;"",INDEX('Reguler Class Availability'!$I:$I,N114)&amp;""&lt;&gt;""),"Tutup","Tidak dibuka"),IF(IFERROR(--(INDEX('Reguler Class Availability'!$G:$G,N114)&amp;""),0)&gt;IFERROR(--(INDEX('Reguler Class Availability'!$F:$F,N114)&amp;""),0),"Lebih",IF(IFERROR(--(INDEX('Reguler Class Availability'!$G:$G,N114)&amp;""),0)=IFERROR(--(INDEX('Reguler Class Availability'!$F:$F,N114)&amp;""),0),"Penuh",IF(IFERROR(--(INDEX('Reguler Class Availability'!$G:$G,N114)&amp;""),0)=0,IF(INDEX('Reguler Class Availability'!$B:$B,N114)&amp;""="","Kosong","Belum terisi"),IF(IFERROR(--(INDEX('Reguler Class Availability'!$G:$G,N114)&amp;""),0)/IFERROR(--(INDEX('Reguler Class Availability'!$F:$F,N114)&amp;""),0)&gt;=0.6,"Tinggi","Sebagian"))))))</f>
        <v>Tidak dibuka</v>
      </c>
      <c r="W114" s="0" t="str">
        <f aca="false">IF(O114="","",IF(AND(IFERROR(--(INDEX('Reguler Class Availability'!$F:$F,O114)&amp;""),0)=0,IFERROR(--(INDEX('Reguler Class Availability'!$G:$G,O114)&amp;""),0)=0),IF(OR(INDEX('Reguler Class Availability'!$B:$B,O114)&amp;""&lt;&gt;"",INDEX('Reguler Class Availability'!$I:$I,O114)&amp;""&lt;&gt;""),"Tutup","Tidak dibuka"),IF(IFERROR(--(INDEX('Reguler Class Availability'!$G:$G,O114)&amp;""),0)&gt;IFERROR(--(INDEX('Reguler Class Availability'!$F:$F,O114)&amp;""),0),"Lebih",IF(IFERROR(--(INDEX('Reguler Class Availability'!$G:$G,O114)&amp;""),0)=IFERROR(--(INDEX('Reguler Class Availability'!$F:$F,O114)&amp;""),0),"Penuh",IF(IFERROR(--(INDEX('Reguler Class Availability'!$G:$G,O114)&amp;""),0)=0,IF(INDEX('Reguler Class Availability'!$B:$B,O114)&amp;""="","Kosong","Belum terisi"),IF(IFERROR(--(INDEX('Reguler Class Availability'!$G:$G,O114)&amp;""),0)/IFERROR(--(INDEX('Reguler Class Availability'!$F:$F,O114)&amp;""),0)&gt;=0.6,"Tinggi","Sebagian"))))))</f>
        <v>Tidak dibuka</v>
      </c>
      <c r="X114" s="0" t="str">
        <f aca="false">IF(P114="","",IF(AND(IFERROR(--(INDEX('Reguler Class Availability'!$F:$F,P114)&amp;""),0)=0,IFERROR(--(INDEX('Reguler Class Availability'!$G:$G,P114)&amp;""),0)=0),IF(OR(INDEX('Reguler Class Availability'!$B:$B,P114)&amp;""&lt;&gt;"",INDEX('Reguler Class Availability'!$I:$I,P114)&amp;""&lt;&gt;""),"Tutup","Tidak dibuka"),IF(IFERROR(--(INDEX('Reguler Class Availability'!$G:$G,P114)&amp;""),0)&gt;IFERROR(--(INDEX('Reguler Class Availability'!$F:$F,P114)&amp;""),0),"Lebih",IF(IFERROR(--(INDEX('Reguler Class Availability'!$G:$G,P114)&amp;""),0)=IFERROR(--(INDEX('Reguler Class Availability'!$F:$F,P114)&amp;""),0),"Penuh",IF(IFERROR(--(INDEX('Reguler Class Availability'!$G:$G,P114)&amp;""),0)=0,IF(INDEX('Reguler Class Availability'!$B:$B,P114)&amp;""="","Kosong","Belum terisi"),IF(IFERROR(--(INDEX('Reguler Class Availability'!$G:$G,P114)&amp;""),0)/IFERROR(--(INDEX('Reguler Class Availability'!$F:$F,P114)&amp;""),0)&gt;=0.6,"Tinggi","Sebagian"))))))</f>
        <v>Tidak dibuka</v>
      </c>
      <c r="Z114" s="4" t="s">
        <v>90</v>
      </c>
      <c r="AA114" s="4" t="n">
        <f aca="false">IF(COUNTIFS('Reguler Class Availability'!$L:$L,$B$4&amp;"|- Lane 2 - *|"&amp;Z114)&gt;0,1,0)</f>
        <v>0</v>
      </c>
      <c r="AB114" s="4" t="n">
        <f aca="false">AA114+AB113</f>
        <v>12</v>
      </c>
    </row>
    <row r="115" customFormat="false" ht="39.75" hidden="false" customHeight="true" outlineLevel="0" collapsed="false">
      <c r="A115" s="39" t="str">
        <f aca="false">IFERROR(INDEX($Z$302:$Z$361,MATCH(10,$AB$302:$AB$361,0)),"")</f>
        <v>15:30</v>
      </c>
      <c r="B115" s="40" t="str">
        <f aca="false">IF(J115="","",IF(R115="Tidak dibuka","–",IF(INDEX('Reguler Class Availability'!$B:$B,J115)&amp;""="","Kosong",PROPER(INDEX('Reguler Class Availability'!$B:$B,J115)&amp;""))&amp;"  "&amp;IFERROR(--(INDEX('Reguler Class Availability'!$G:$G,J115)&amp;""),0)&amp;"/"&amp;IFERROR(--(INDEX('Reguler Class Availability'!$F:$F,J115)&amp;""),0)&amp;IF(IFERROR(--(INDEX('Reguler Class Availability'!$F:$F,J115)&amp;""),0)&gt;0,"  ("&amp;TEXT(IFERROR(--(INDEX('Reguler Class Availability'!$G:$G,J115)&amp;""),0)/IFERROR(--(INDEX('Reguler Class Availability'!$F:$F,J115)&amp;""),0),"0%")&amp;")","")&amp;CHAR(10)&amp;IF(INDEX('Reguler Class Availability'!$I:$I,J115)&amp;""="","coach: –",PROPER(INDEX('Reguler Class Availability'!$I:$I,J115)&amp;""))&amp;IF(INDEX('Reguler Class Availability'!$J:$J,J115)&amp;""="","",CHAR(10)&amp;"asst: "&amp;PROPER(INDEX('Reguler Class Availability'!$J:$J,J115)&amp;""))))</f>
        <v>Kids  0/0
coach: –</v>
      </c>
      <c r="C115" s="40" t="str">
        <f aca="false">IF(K115="","",IF(S115="Tidak dibuka","–",IF(INDEX('Reguler Class Availability'!$B:$B,K115)&amp;""="","Kosong",PROPER(INDEX('Reguler Class Availability'!$B:$B,K115)&amp;""))&amp;"  "&amp;IFERROR(--(INDEX('Reguler Class Availability'!$G:$G,K115)&amp;""),0)&amp;"/"&amp;IFERROR(--(INDEX('Reguler Class Availability'!$F:$F,K115)&amp;""),0)&amp;IF(IFERROR(--(INDEX('Reguler Class Availability'!$F:$F,K115)&amp;""),0)&gt;0,"  ("&amp;TEXT(IFERROR(--(INDEX('Reguler Class Availability'!$G:$G,K115)&amp;""),0)/IFERROR(--(INDEX('Reguler Class Availability'!$F:$F,K115)&amp;""),0),"0%")&amp;")","")&amp;CHAR(10)&amp;IF(INDEX('Reguler Class Availability'!$I:$I,K115)&amp;""="","coach: –",PROPER(INDEX('Reguler Class Availability'!$I:$I,K115)&amp;""))&amp;IF(INDEX('Reguler Class Availability'!$J:$J,K115)&amp;""="","",CHAR(10)&amp;"asst: "&amp;PROPER(INDEX('Reguler Class Availability'!$J:$J,K115)&amp;""))))</f>
        <v>–</v>
      </c>
      <c r="D115" s="40" t="str">
        <f aca="false">IF(L115="","",IF(T115="Tidak dibuka","–",IF(INDEX('Reguler Class Availability'!$B:$B,L115)&amp;""="","Kosong",PROPER(INDEX('Reguler Class Availability'!$B:$B,L115)&amp;""))&amp;"  "&amp;IFERROR(--(INDEX('Reguler Class Availability'!$G:$G,L115)&amp;""),0)&amp;"/"&amp;IFERROR(--(INDEX('Reguler Class Availability'!$F:$F,L115)&amp;""),0)&amp;IF(IFERROR(--(INDEX('Reguler Class Availability'!$F:$F,L115)&amp;""),0)&gt;0,"  ("&amp;TEXT(IFERROR(--(INDEX('Reguler Class Availability'!$G:$G,L115)&amp;""),0)/IFERROR(--(INDEX('Reguler Class Availability'!$F:$F,L115)&amp;""),0),"0%")&amp;")","")&amp;CHAR(10)&amp;IF(INDEX('Reguler Class Availability'!$I:$I,L115)&amp;""="","coach: –",PROPER(INDEX('Reguler Class Availability'!$I:$I,L115)&amp;""))&amp;IF(INDEX('Reguler Class Availability'!$J:$J,L115)&amp;""="","",CHAR(10)&amp;"asst: "&amp;PROPER(INDEX('Reguler Class Availability'!$J:$J,L115)&amp;""))))</f>
        <v>–</v>
      </c>
      <c r="E115" s="40" t="str">
        <f aca="false">IF(M115="","",IF(U115="Tidak dibuka","–",IF(INDEX('Reguler Class Availability'!$B:$B,M115)&amp;""="","Kosong",PROPER(INDEX('Reguler Class Availability'!$B:$B,M115)&amp;""))&amp;"  "&amp;IFERROR(--(INDEX('Reguler Class Availability'!$G:$G,M115)&amp;""),0)&amp;"/"&amp;IFERROR(--(INDEX('Reguler Class Availability'!$F:$F,M115)&amp;""),0)&amp;IF(IFERROR(--(INDEX('Reguler Class Availability'!$F:$F,M115)&amp;""),0)&gt;0,"  ("&amp;TEXT(IFERROR(--(INDEX('Reguler Class Availability'!$G:$G,M115)&amp;""),0)/IFERROR(--(INDEX('Reguler Class Availability'!$F:$F,M115)&amp;""),0),"0%")&amp;")","")&amp;CHAR(10)&amp;IF(INDEX('Reguler Class Availability'!$I:$I,M115)&amp;""="","coach: –",PROPER(INDEX('Reguler Class Availability'!$I:$I,M115)&amp;""))&amp;IF(INDEX('Reguler Class Availability'!$J:$J,M115)&amp;""="","",CHAR(10)&amp;"asst: "&amp;PROPER(INDEX('Reguler Class Availability'!$J:$J,M115)&amp;""))))</f>
        <v>–</v>
      </c>
      <c r="F115" s="40" t="str">
        <f aca="false">IF(N115="","",IF(V115="Tidak dibuka","–",IF(INDEX('Reguler Class Availability'!$B:$B,N115)&amp;""="","Kosong",PROPER(INDEX('Reguler Class Availability'!$B:$B,N115)&amp;""))&amp;"  "&amp;IFERROR(--(INDEX('Reguler Class Availability'!$G:$G,N115)&amp;""),0)&amp;"/"&amp;IFERROR(--(INDEX('Reguler Class Availability'!$F:$F,N115)&amp;""),0)&amp;IF(IFERROR(--(INDEX('Reguler Class Availability'!$F:$F,N115)&amp;""),0)&gt;0,"  ("&amp;TEXT(IFERROR(--(INDEX('Reguler Class Availability'!$G:$G,N115)&amp;""),0)/IFERROR(--(INDEX('Reguler Class Availability'!$F:$F,N115)&amp;""),0),"0%")&amp;")","")&amp;CHAR(10)&amp;IF(INDEX('Reguler Class Availability'!$I:$I,N115)&amp;""="","coach: –",PROPER(INDEX('Reguler Class Availability'!$I:$I,N115)&amp;""))&amp;IF(INDEX('Reguler Class Availability'!$J:$J,N115)&amp;""="","",CHAR(10)&amp;"asst: "&amp;PROPER(INDEX('Reguler Class Availability'!$J:$J,N115)&amp;""))))</f>
        <v>–</v>
      </c>
      <c r="G115" s="40" t="str">
        <f aca="false">IF(O115="","",IF(W115="Tidak dibuka","–",IF(INDEX('Reguler Class Availability'!$B:$B,O115)&amp;""="","Kosong",PROPER(INDEX('Reguler Class Availability'!$B:$B,O115)&amp;""))&amp;"  "&amp;IFERROR(--(INDEX('Reguler Class Availability'!$G:$G,O115)&amp;""),0)&amp;"/"&amp;IFERROR(--(INDEX('Reguler Class Availability'!$F:$F,O115)&amp;""),0)&amp;IF(IFERROR(--(INDEX('Reguler Class Availability'!$F:$F,O115)&amp;""),0)&gt;0,"  ("&amp;TEXT(IFERROR(--(INDEX('Reguler Class Availability'!$G:$G,O115)&amp;""),0)/IFERROR(--(INDEX('Reguler Class Availability'!$F:$F,O115)&amp;""),0),"0%")&amp;")","")&amp;CHAR(10)&amp;IF(INDEX('Reguler Class Availability'!$I:$I,O115)&amp;""="","coach: –",PROPER(INDEX('Reguler Class Availability'!$I:$I,O115)&amp;""))&amp;IF(INDEX('Reguler Class Availability'!$J:$J,O115)&amp;""="","",CHAR(10)&amp;"asst: "&amp;PROPER(INDEX('Reguler Class Availability'!$J:$J,O115)&amp;""))))</f>
        <v>–</v>
      </c>
      <c r="H115" s="40" t="str">
        <f aca="false">IF(P115="","",IF(X115="Tidak dibuka","–",IF(INDEX('Reguler Class Availability'!$B:$B,P115)&amp;""="","Kosong",PROPER(INDEX('Reguler Class Availability'!$B:$B,P115)&amp;""))&amp;"  "&amp;IFERROR(--(INDEX('Reguler Class Availability'!$G:$G,P115)&amp;""),0)&amp;"/"&amp;IFERROR(--(INDEX('Reguler Class Availability'!$F:$F,P115)&amp;""),0)&amp;IF(IFERROR(--(INDEX('Reguler Class Availability'!$F:$F,P115)&amp;""),0)&gt;0,"  ("&amp;TEXT(IFERROR(--(INDEX('Reguler Class Availability'!$G:$G,P115)&amp;""),0)/IFERROR(--(INDEX('Reguler Class Availability'!$F:$F,P115)&amp;""),0),"0%")&amp;")","")&amp;CHAR(10)&amp;IF(INDEX('Reguler Class Availability'!$I:$I,P115)&amp;""="","coach: –",PROPER(INDEX('Reguler Class Availability'!$I:$I,P115)&amp;""))&amp;IF(INDEX('Reguler Class Availability'!$J:$J,P115)&amp;""="","",CHAR(10)&amp;"asst: "&amp;PROPER(INDEX('Reguler Class Availability'!$J:$J,P115)&amp;""))))</f>
        <v>–</v>
      </c>
      <c r="J115" s="4" t="n">
        <f aca="false">IF($A115="","",IFERROR(MATCH($B$4&amp;"|- Lane 6 - "&amp;B$105&amp;"|"&amp;$A115,'Reguler Class Availability'!$L:$L,0),""))</f>
        <v>445</v>
      </c>
      <c r="K115" s="4" t="n">
        <f aca="false">IF($A115="","",IFERROR(MATCH($B$4&amp;"|- Lane 6 - "&amp;C$105&amp;"|"&amp;$A115,'Reguler Class Availability'!$L:$L,0),""))</f>
        <v>457</v>
      </c>
      <c r="L115" s="4" t="n">
        <f aca="false">IF($A115="","",IFERROR(MATCH($B$4&amp;"|- Lane 6 - "&amp;D$105&amp;"|"&amp;$A115,'Reguler Class Availability'!$L:$L,0),""))</f>
        <v>469</v>
      </c>
      <c r="M115" s="4" t="n">
        <f aca="false">IF($A115="","",IFERROR(MATCH($B$4&amp;"|- Lane 6 - "&amp;E$105&amp;"|"&amp;$A115,'Reguler Class Availability'!$L:$L,0),""))</f>
        <v>481</v>
      </c>
      <c r="N115" s="4" t="n">
        <f aca="false">IF($A115="","",IFERROR(MATCH($B$4&amp;"|- Lane 6 - "&amp;F$105&amp;"|"&amp;$A115,'Reguler Class Availability'!$L:$L,0),""))</f>
        <v>493</v>
      </c>
      <c r="O115" s="4" t="n">
        <f aca="false">IF($A115="","",IFERROR(MATCH($B$4&amp;"|- Lane 6 - "&amp;G$105&amp;"|"&amp;$A115,'Reguler Class Availability'!$L:$L,0),""))</f>
        <v>505</v>
      </c>
      <c r="P115" s="4" t="n">
        <f aca="false">IF($A115="","",IFERROR(MATCH($B$4&amp;"|- Lane 6 - "&amp;H$105&amp;"|"&amp;$A115,'Reguler Class Availability'!$L:$L,0),""))</f>
        <v>517</v>
      </c>
      <c r="R115" s="0" t="str">
        <f aca="false">IF(J115="","",IF(AND(IFERROR(--(INDEX('Reguler Class Availability'!$F:$F,J115)&amp;""),0)=0,IFERROR(--(INDEX('Reguler Class Availability'!$G:$G,J115)&amp;""),0)=0),IF(OR(INDEX('Reguler Class Availability'!$B:$B,J115)&amp;""&lt;&gt;"",INDEX('Reguler Class Availability'!$I:$I,J115)&amp;""&lt;&gt;""),"Tutup","Tidak dibuka"),IF(IFERROR(--(INDEX('Reguler Class Availability'!$G:$G,J115)&amp;""),0)&gt;IFERROR(--(INDEX('Reguler Class Availability'!$F:$F,J115)&amp;""),0),"Lebih",IF(IFERROR(--(INDEX('Reguler Class Availability'!$G:$G,J115)&amp;""),0)=IFERROR(--(INDEX('Reguler Class Availability'!$F:$F,J115)&amp;""),0),"Penuh",IF(IFERROR(--(INDEX('Reguler Class Availability'!$G:$G,J115)&amp;""),0)=0,IF(INDEX('Reguler Class Availability'!$B:$B,J115)&amp;""="","Kosong","Belum terisi"),IF(IFERROR(--(INDEX('Reguler Class Availability'!$G:$G,J115)&amp;""),0)/IFERROR(--(INDEX('Reguler Class Availability'!$F:$F,J115)&amp;""),0)&gt;=0.6,"Tinggi","Sebagian"))))))</f>
        <v>Tutup</v>
      </c>
      <c r="S115" s="0" t="str">
        <f aca="false">IF(K115="","",IF(AND(IFERROR(--(INDEX('Reguler Class Availability'!$F:$F,K115)&amp;""),0)=0,IFERROR(--(INDEX('Reguler Class Availability'!$G:$G,K115)&amp;""),0)=0),IF(OR(INDEX('Reguler Class Availability'!$B:$B,K115)&amp;""&lt;&gt;"",INDEX('Reguler Class Availability'!$I:$I,K115)&amp;""&lt;&gt;""),"Tutup","Tidak dibuka"),IF(IFERROR(--(INDEX('Reguler Class Availability'!$G:$G,K115)&amp;""),0)&gt;IFERROR(--(INDEX('Reguler Class Availability'!$F:$F,K115)&amp;""),0),"Lebih",IF(IFERROR(--(INDEX('Reguler Class Availability'!$G:$G,K115)&amp;""),0)=IFERROR(--(INDEX('Reguler Class Availability'!$F:$F,K115)&amp;""),0),"Penuh",IF(IFERROR(--(INDEX('Reguler Class Availability'!$G:$G,K115)&amp;""),0)=0,IF(INDEX('Reguler Class Availability'!$B:$B,K115)&amp;""="","Kosong","Belum terisi"),IF(IFERROR(--(INDEX('Reguler Class Availability'!$G:$G,K115)&amp;""),0)/IFERROR(--(INDEX('Reguler Class Availability'!$F:$F,K115)&amp;""),0)&gt;=0.6,"Tinggi","Sebagian"))))))</f>
        <v>Tidak dibuka</v>
      </c>
      <c r="T115" s="0" t="str">
        <f aca="false">IF(L115="","",IF(AND(IFERROR(--(INDEX('Reguler Class Availability'!$F:$F,L115)&amp;""),0)=0,IFERROR(--(INDEX('Reguler Class Availability'!$G:$G,L115)&amp;""),0)=0),IF(OR(INDEX('Reguler Class Availability'!$B:$B,L115)&amp;""&lt;&gt;"",INDEX('Reguler Class Availability'!$I:$I,L115)&amp;""&lt;&gt;""),"Tutup","Tidak dibuka"),IF(IFERROR(--(INDEX('Reguler Class Availability'!$G:$G,L115)&amp;""),0)&gt;IFERROR(--(INDEX('Reguler Class Availability'!$F:$F,L115)&amp;""),0),"Lebih",IF(IFERROR(--(INDEX('Reguler Class Availability'!$G:$G,L115)&amp;""),0)=IFERROR(--(INDEX('Reguler Class Availability'!$F:$F,L115)&amp;""),0),"Penuh",IF(IFERROR(--(INDEX('Reguler Class Availability'!$G:$G,L115)&amp;""),0)=0,IF(INDEX('Reguler Class Availability'!$B:$B,L115)&amp;""="","Kosong","Belum terisi"),IF(IFERROR(--(INDEX('Reguler Class Availability'!$G:$G,L115)&amp;""),0)/IFERROR(--(INDEX('Reguler Class Availability'!$F:$F,L115)&amp;""),0)&gt;=0.6,"Tinggi","Sebagian"))))))</f>
        <v>Tidak dibuka</v>
      </c>
      <c r="U115" s="0" t="str">
        <f aca="false">IF(M115="","",IF(AND(IFERROR(--(INDEX('Reguler Class Availability'!$F:$F,M115)&amp;""),0)=0,IFERROR(--(INDEX('Reguler Class Availability'!$G:$G,M115)&amp;""),0)=0),IF(OR(INDEX('Reguler Class Availability'!$B:$B,M115)&amp;""&lt;&gt;"",INDEX('Reguler Class Availability'!$I:$I,M115)&amp;""&lt;&gt;""),"Tutup","Tidak dibuka"),IF(IFERROR(--(INDEX('Reguler Class Availability'!$G:$G,M115)&amp;""),0)&gt;IFERROR(--(INDEX('Reguler Class Availability'!$F:$F,M115)&amp;""),0),"Lebih",IF(IFERROR(--(INDEX('Reguler Class Availability'!$G:$G,M115)&amp;""),0)=IFERROR(--(INDEX('Reguler Class Availability'!$F:$F,M115)&amp;""),0),"Penuh",IF(IFERROR(--(INDEX('Reguler Class Availability'!$G:$G,M115)&amp;""),0)=0,IF(INDEX('Reguler Class Availability'!$B:$B,M115)&amp;""="","Kosong","Belum terisi"),IF(IFERROR(--(INDEX('Reguler Class Availability'!$G:$G,M115)&amp;""),0)/IFERROR(--(INDEX('Reguler Class Availability'!$F:$F,M115)&amp;""),0)&gt;=0.6,"Tinggi","Sebagian"))))))</f>
        <v>Tidak dibuka</v>
      </c>
      <c r="V115" s="0" t="str">
        <f aca="false">IF(N115="","",IF(AND(IFERROR(--(INDEX('Reguler Class Availability'!$F:$F,N115)&amp;""),0)=0,IFERROR(--(INDEX('Reguler Class Availability'!$G:$G,N115)&amp;""),0)=0),IF(OR(INDEX('Reguler Class Availability'!$B:$B,N115)&amp;""&lt;&gt;"",INDEX('Reguler Class Availability'!$I:$I,N115)&amp;""&lt;&gt;""),"Tutup","Tidak dibuka"),IF(IFERROR(--(INDEX('Reguler Class Availability'!$G:$G,N115)&amp;""),0)&gt;IFERROR(--(INDEX('Reguler Class Availability'!$F:$F,N115)&amp;""),0),"Lebih",IF(IFERROR(--(INDEX('Reguler Class Availability'!$G:$G,N115)&amp;""),0)=IFERROR(--(INDEX('Reguler Class Availability'!$F:$F,N115)&amp;""),0),"Penuh",IF(IFERROR(--(INDEX('Reguler Class Availability'!$G:$G,N115)&amp;""),0)=0,IF(INDEX('Reguler Class Availability'!$B:$B,N115)&amp;""="","Kosong","Belum terisi"),IF(IFERROR(--(INDEX('Reguler Class Availability'!$G:$G,N115)&amp;""),0)/IFERROR(--(INDEX('Reguler Class Availability'!$F:$F,N115)&amp;""),0)&gt;=0.6,"Tinggi","Sebagian"))))))</f>
        <v>Tidak dibuka</v>
      </c>
      <c r="W115" s="0" t="str">
        <f aca="false">IF(O115="","",IF(AND(IFERROR(--(INDEX('Reguler Class Availability'!$F:$F,O115)&amp;""),0)=0,IFERROR(--(INDEX('Reguler Class Availability'!$G:$G,O115)&amp;""),0)=0),IF(OR(INDEX('Reguler Class Availability'!$B:$B,O115)&amp;""&lt;&gt;"",INDEX('Reguler Class Availability'!$I:$I,O115)&amp;""&lt;&gt;""),"Tutup","Tidak dibuka"),IF(IFERROR(--(INDEX('Reguler Class Availability'!$G:$G,O115)&amp;""),0)&gt;IFERROR(--(INDEX('Reguler Class Availability'!$F:$F,O115)&amp;""),0),"Lebih",IF(IFERROR(--(INDEX('Reguler Class Availability'!$G:$G,O115)&amp;""),0)=IFERROR(--(INDEX('Reguler Class Availability'!$F:$F,O115)&amp;""),0),"Penuh",IF(IFERROR(--(INDEX('Reguler Class Availability'!$G:$G,O115)&amp;""),0)=0,IF(INDEX('Reguler Class Availability'!$B:$B,O115)&amp;""="","Kosong","Belum terisi"),IF(IFERROR(--(INDEX('Reguler Class Availability'!$G:$G,O115)&amp;""),0)/IFERROR(--(INDEX('Reguler Class Availability'!$F:$F,O115)&amp;""),0)&gt;=0.6,"Tinggi","Sebagian"))))))</f>
        <v>Tidak dibuka</v>
      </c>
      <c r="X115" s="0" t="str">
        <f aca="false">IF(P115="","",IF(AND(IFERROR(--(INDEX('Reguler Class Availability'!$F:$F,P115)&amp;""),0)=0,IFERROR(--(INDEX('Reguler Class Availability'!$G:$G,P115)&amp;""),0)=0),IF(OR(INDEX('Reguler Class Availability'!$B:$B,P115)&amp;""&lt;&gt;"",INDEX('Reguler Class Availability'!$I:$I,P115)&amp;""&lt;&gt;""),"Tutup","Tidak dibuka"),IF(IFERROR(--(INDEX('Reguler Class Availability'!$G:$G,P115)&amp;""),0)&gt;IFERROR(--(INDEX('Reguler Class Availability'!$F:$F,P115)&amp;""),0),"Lebih",IF(IFERROR(--(INDEX('Reguler Class Availability'!$G:$G,P115)&amp;""),0)=IFERROR(--(INDEX('Reguler Class Availability'!$F:$F,P115)&amp;""),0),"Penuh",IF(IFERROR(--(INDEX('Reguler Class Availability'!$G:$G,P115)&amp;""),0)=0,IF(INDEX('Reguler Class Availability'!$B:$B,P115)&amp;""="","Kosong","Belum terisi"),IF(IFERROR(--(INDEX('Reguler Class Availability'!$G:$G,P115)&amp;""),0)/IFERROR(--(INDEX('Reguler Class Availability'!$F:$F,P115)&amp;""),0)&gt;=0.6,"Tinggi","Sebagian"))))))</f>
        <v>Tidak dibuka</v>
      </c>
      <c r="Z115" s="4" t="s">
        <v>91</v>
      </c>
      <c r="AA115" s="4" t="n">
        <f aca="false">IF(COUNTIFS('Reguler Class Availability'!$L:$L,$B$4&amp;"|- Lane 2 - *|"&amp;Z115)&gt;0,1,0)</f>
        <v>0</v>
      </c>
      <c r="AB115" s="4" t="n">
        <f aca="false">AA115+AB114</f>
        <v>12</v>
      </c>
    </row>
    <row r="116" customFormat="false" ht="39.75" hidden="false" customHeight="true" outlineLevel="0" collapsed="false">
      <c r="A116" s="39" t="str">
        <f aca="false">IFERROR(INDEX($Z$302:$Z$361,MATCH(11,$AB$302:$AB$361,0)),"")</f>
        <v>16:15</v>
      </c>
      <c r="B116" s="40" t="str">
        <f aca="false">IF(J116="","",IF(R116="Tidak dibuka","–",IF(INDEX('Reguler Class Availability'!$B:$B,J116)&amp;""="","Kosong",PROPER(INDEX('Reguler Class Availability'!$B:$B,J116)&amp;""))&amp;"  "&amp;IFERROR(--(INDEX('Reguler Class Availability'!$G:$G,J116)&amp;""),0)&amp;"/"&amp;IFERROR(--(INDEX('Reguler Class Availability'!$F:$F,J116)&amp;""),0)&amp;IF(IFERROR(--(INDEX('Reguler Class Availability'!$F:$F,J116)&amp;""),0)&gt;0,"  ("&amp;TEXT(IFERROR(--(INDEX('Reguler Class Availability'!$G:$G,J116)&amp;""),0)/IFERROR(--(INDEX('Reguler Class Availability'!$F:$F,J116)&amp;""),0),"0%")&amp;")","")&amp;CHAR(10)&amp;IF(INDEX('Reguler Class Availability'!$I:$I,J116)&amp;""="","coach: –",PROPER(INDEX('Reguler Class Availability'!$I:$I,J116)&amp;""))&amp;IF(INDEX('Reguler Class Availability'!$J:$J,J116)&amp;""="","",CHAR(10)&amp;"asst: "&amp;PROPER(INDEX('Reguler Class Availability'!$J:$J,J116)&amp;""))))</f>
        <v>Kids  2/0
Zidane</v>
      </c>
      <c r="C116" s="40" t="str">
        <f aca="false">IF(K116="","",IF(S116="Tidak dibuka","–",IF(INDEX('Reguler Class Availability'!$B:$B,K116)&amp;""="","Kosong",PROPER(INDEX('Reguler Class Availability'!$B:$B,K116)&amp;""))&amp;"  "&amp;IFERROR(--(INDEX('Reguler Class Availability'!$G:$G,K116)&amp;""),0)&amp;"/"&amp;IFERROR(--(INDEX('Reguler Class Availability'!$F:$F,K116)&amp;""),0)&amp;IF(IFERROR(--(INDEX('Reguler Class Availability'!$F:$F,K116)&amp;""),0)&gt;0,"  ("&amp;TEXT(IFERROR(--(INDEX('Reguler Class Availability'!$G:$G,K116)&amp;""),0)/IFERROR(--(INDEX('Reguler Class Availability'!$F:$F,K116)&amp;""),0),"0%")&amp;")","")&amp;CHAR(10)&amp;IF(INDEX('Reguler Class Availability'!$I:$I,K116)&amp;""="","coach: –",PROPER(INDEX('Reguler Class Availability'!$I:$I,K116)&amp;""))&amp;IF(INDEX('Reguler Class Availability'!$J:$J,K116)&amp;""="","",CHAR(10)&amp;"asst: "&amp;PROPER(INDEX('Reguler Class Availability'!$J:$J,K116)&amp;""))))</f>
        <v>–</v>
      </c>
      <c r="D116" s="40" t="str">
        <f aca="false">IF(L116="","",IF(T116="Tidak dibuka","–",IF(INDEX('Reguler Class Availability'!$B:$B,L116)&amp;""="","Kosong",PROPER(INDEX('Reguler Class Availability'!$B:$B,L116)&amp;""))&amp;"  "&amp;IFERROR(--(INDEX('Reguler Class Availability'!$G:$G,L116)&amp;""),0)&amp;"/"&amp;IFERROR(--(INDEX('Reguler Class Availability'!$F:$F,L116)&amp;""),0)&amp;IF(IFERROR(--(INDEX('Reguler Class Availability'!$F:$F,L116)&amp;""),0)&gt;0,"  ("&amp;TEXT(IFERROR(--(INDEX('Reguler Class Availability'!$G:$G,L116)&amp;""),0)/IFERROR(--(INDEX('Reguler Class Availability'!$F:$F,L116)&amp;""),0),"0%")&amp;")","")&amp;CHAR(10)&amp;IF(INDEX('Reguler Class Availability'!$I:$I,L116)&amp;""="","coach: –",PROPER(INDEX('Reguler Class Availability'!$I:$I,L116)&amp;""))&amp;IF(INDEX('Reguler Class Availability'!$J:$J,L116)&amp;""="","",CHAR(10)&amp;"asst: "&amp;PROPER(INDEX('Reguler Class Availability'!$J:$J,L116)&amp;""))))</f>
        <v>–</v>
      </c>
      <c r="E116" s="40" t="str">
        <f aca="false">IF(M116="","",IF(U116="Tidak dibuka","–",IF(INDEX('Reguler Class Availability'!$B:$B,M116)&amp;""="","Kosong",PROPER(INDEX('Reguler Class Availability'!$B:$B,M116)&amp;""))&amp;"  "&amp;IFERROR(--(INDEX('Reguler Class Availability'!$G:$G,M116)&amp;""),0)&amp;"/"&amp;IFERROR(--(INDEX('Reguler Class Availability'!$F:$F,M116)&amp;""),0)&amp;IF(IFERROR(--(INDEX('Reguler Class Availability'!$F:$F,M116)&amp;""),0)&gt;0,"  ("&amp;TEXT(IFERROR(--(INDEX('Reguler Class Availability'!$G:$G,M116)&amp;""),0)/IFERROR(--(INDEX('Reguler Class Availability'!$F:$F,M116)&amp;""),0),"0%")&amp;")","")&amp;CHAR(10)&amp;IF(INDEX('Reguler Class Availability'!$I:$I,M116)&amp;""="","coach: –",PROPER(INDEX('Reguler Class Availability'!$I:$I,M116)&amp;""))&amp;IF(INDEX('Reguler Class Availability'!$J:$J,M116)&amp;""="","",CHAR(10)&amp;"asst: "&amp;PROPER(INDEX('Reguler Class Availability'!$J:$J,M116)&amp;""))))</f>
        <v>–</v>
      </c>
      <c r="F116" s="40" t="str">
        <f aca="false">IF(N116="","",IF(V116="Tidak dibuka","–",IF(INDEX('Reguler Class Availability'!$B:$B,N116)&amp;""="","Kosong",PROPER(INDEX('Reguler Class Availability'!$B:$B,N116)&amp;""))&amp;"  "&amp;IFERROR(--(INDEX('Reguler Class Availability'!$G:$G,N116)&amp;""),0)&amp;"/"&amp;IFERROR(--(INDEX('Reguler Class Availability'!$F:$F,N116)&amp;""),0)&amp;IF(IFERROR(--(INDEX('Reguler Class Availability'!$F:$F,N116)&amp;""),0)&gt;0,"  ("&amp;TEXT(IFERROR(--(INDEX('Reguler Class Availability'!$G:$G,N116)&amp;""),0)/IFERROR(--(INDEX('Reguler Class Availability'!$F:$F,N116)&amp;""),0),"0%")&amp;")","")&amp;CHAR(10)&amp;IF(INDEX('Reguler Class Availability'!$I:$I,N116)&amp;""="","coach: –",PROPER(INDEX('Reguler Class Availability'!$I:$I,N116)&amp;""))&amp;IF(INDEX('Reguler Class Availability'!$J:$J,N116)&amp;""="","",CHAR(10)&amp;"asst: "&amp;PROPER(INDEX('Reguler Class Availability'!$J:$J,N116)&amp;""))))</f>
        <v>–</v>
      </c>
      <c r="G116" s="40" t="str">
        <f aca="false">IF(O116="","",IF(W116="Tidak dibuka","–",IF(INDEX('Reguler Class Availability'!$B:$B,O116)&amp;""="","Kosong",PROPER(INDEX('Reguler Class Availability'!$B:$B,O116)&amp;""))&amp;"  "&amp;IFERROR(--(INDEX('Reguler Class Availability'!$G:$G,O116)&amp;""),0)&amp;"/"&amp;IFERROR(--(INDEX('Reguler Class Availability'!$F:$F,O116)&amp;""),0)&amp;IF(IFERROR(--(INDEX('Reguler Class Availability'!$F:$F,O116)&amp;""),0)&gt;0,"  ("&amp;TEXT(IFERROR(--(INDEX('Reguler Class Availability'!$G:$G,O116)&amp;""),0)/IFERROR(--(INDEX('Reguler Class Availability'!$F:$F,O116)&amp;""),0),"0%")&amp;")","")&amp;CHAR(10)&amp;IF(INDEX('Reguler Class Availability'!$I:$I,O116)&amp;""="","coach: –",PROPER(INDEX('Reguler Class Availability'!$I:$I,O116)&amp;""))&amp;IF(INDEX('Reguler Class Availability'!$J:$J,O116)&amp;""="","",CHAR(10)&amp;"asst: "&amp;PROPER(INDEX('Reguler Class Availability'!$J:$J,O116)&amp;""))))</f>
        <v>–</v>
      </c>
      <c r="H116" s="40" t="str">
        <f aca="false">IF(P116="","",IF(X116="Tidak dibuka","–",IF(INDEX('Reguler Class Availability'!$B:$B,P116)&amp;""="","Kosong",PROPER(INDEX('Reguler Class Availability'!$B:$B,P116)&amp;""))&amp;"  "&amp;IFERROR(--(INDEX('Reguler Class Availability'!$G:$G,P116)&amp;""),0)&amp;"/"&amp;IFERROR(--(INDEX('Reguler Class Availability'!$F:$F,P116)&amp;""),0)&amp;IF(IFERROR(--(INDEX('Reguler Class Availability'!$F:$F,P116)&amp;""),0)&gt;0,"  ("&amp;TEXT(IFERROR(--(INDEX('Reguler Class Availability'!$G:$G,P116)&amp;""),0)/IFERROR(--(INDEX('Reguler Class Availability'!$F:$F,P116)&amp;""),0),"0%")&amp;")","")&amp;CHAR(10)&amp;IF(INDEX('Reguler Class Availability'!$I:$I,P116)&amp;""="","coach: –",PROPER(INDEX('Reguler Class Availability'!$I:$I,P116)&amp;""))&amp;IF(INDEX('Reguler Class Availability'!$J:$J,P116)&amp;""="","",CHAR(10)&amp;"asst: "&amp;PROPER(INDEX('Reguler Class Availability'!$J:$J,P116)&amp;""))))</f>
        <v>Little  3/0
Gita</v>
      </c>
      <c r="J116" s="4" t="n">
        <f aca="false">IF($A116="","",IFERROR(MATCH($B$4&amp;"|- Lane 6 - "&amp;B$105&amp;"|"&amp;$A116,'Reguler Class Availability'!$L:$L,0),""))</f>
        <v>446</v>
      </c>
      <c r="K116" s="4" t="n">
        <f aca="false">IF($A116="","",IFERROR(MATCH($B$4&amp;"|- Lane 6 - "&amp;C$105&amp;"|"&amp;$A116,'Reguler Class Availability'!$L:$L,0),""))</f>
        <v>458</v>
      </c>
      <c r="L116" s="4" t="n">
        <f aca="false">IF($A116="","",IFERROR(MATCH($B$4&amp;"|- Lane 6 - "&amp;D$105&amp;"|"&amp;$A116,'Reguler Class Availability'!$L:$L,0),""))</f>
        <v>470</v>
      </c>
      <c r="M116" s="4" t="n">
        <f aca="false">IF($A116="","",IFERROR(MATCH($B$4&amp;"|- Lane 6 - "&amp;E$105&amp;"|"&amp;$A116,'Reguler Class Availability'!$L:$L,0),""))</f>
        <v>482</v>
      </c>
      <c r="N116" s="4" t="n">
        <f aca="false">IF($A116="","",IFERROR(MATCH($B$4&amp;"|- Lane 6 - "&amp;F$105&amp;"|"&amp;$A116,'Reguler Class Availability'!$L:$L,0),""))</f>
        <v>494</v>
      </c>
      <c r="O116" s="4" t="n">
        <f aca="false">IF($A116="","",IFERROR(MATCH($B$4&amp;"|- Lane 6 - "&amp;G$105&amp;"|"&amp;$A116,'Reguler Class Availability'!$L:$L,0),""))</f>
        <v>506</v>
      </c>
      <c r="P116" s="4" t="n">
        <f aca="false">IF($A116="","",IFERROR(MATCH($B$4&amp;"|- Lane 6 - "&amp;H$105&amp;"|"&amp;$A116,'Reguler Class Availability'!$L:$L,0),""))</f>
        <v>518</v>
      </c>
      <c r="R116" s="0" t="str">
        <f aca="false">IF(J116="","",IF(AND(IFERROR(--(INDEX('Reguler Class Availability'!$F:$F,J116)&amp;""),0)=0,IFERROR(--(INDEX('Reguler Class Availability'!$G:$G,J116)&amp;""),0)=0),IF(OR(INDEX('Reguler Class Availability'!$B:$B,J116)&amp;""&lt;&gt;"",INDEX('Reguler Class Availability'!$I:$I,J116)&amp;""&lt;&gt;""),"Tutup","Tidak dibuka"),IF(IFERROR(--(INDEX('Reguler Class Availability'!$G:$G,J116)&amp;""),0)&gt;IFERROR(--(INDEX('Reguler Class Availability'!$F:$F,J116)&amp;""),0),"Lebih",IF(IFERROR(--(INDEX('Reguler Class Availability'!$G:$G,J116)&amp;""),0)=IFERROR(--(INDEX('Reguler Class Availability'!$F:$F,J116)&amp;""),0),"Penuh",IF(IFERROR(--(INDEX('Reguler Class Availability'!$G:$G,J116)&amp;""),0)=0,IF(INDEX('Reguler Class Availability'!$B:$B,J116)&amp;""="","Kosong","Belum terisi"),IF(IFERROR(--(INDEX('Reguler Class Availability'!$G:$G,J116)&amp;""),0)/IFERROR(--(INDEX('Reguler Class Availability'!$F:$F,J116)&amp;""),0)&gt;=0.6,"Tinggi","Sebagian"))))))</f>
        <v>Lebih</v>
      </c>
      <c r="S116" s="0" t="str">
        <f aca="false">IF(K116="","",IF(AND(IFERROR(--(INDEX('Reguler Class Availability'!$F:$F,K116)&amp;""),0)=0,IFERROR(--(INDEX('Reguler Class Availability'!$G:$G,K116)&amp;""),0)=0),IF(OR(INDEX('Reguler Class Availability'!$B:$B,K116)&amp;""&lt;&gt;"",INDEX('Reguler Class Availability'!$I:$I,K116)&amp;""&lt;&gt;""),"Tutup","Tidak dibuka"),IF(IFERROR(--(INDEX('Reguler Class Availability'!$G:$G,K116)&amp;""),0)&gt;IFERROR(--(INDEX('Reguler Class Availability'!$F:$F,K116)&amp;""),0),"Lebih",IF(IFERROR(--(INDEX('Reguler Class Availability'!$G:$G,K116)&amp;""),0)=IFERROR(--(INDEX('Reguler Class Availability'!$F:$F,K116)&amp;""),0),"Penuh",IF(IFERROR(--(INDEX('Reguler Class Availability'!$G:$G,K116)&amp;""),0)=0,IF(INDEX('Reguler Class Availability'!$B:$B,K116)&amp;""="","Kosong","Belum terisi"),IF(IFERROR(--(INDEX('Reguler Class Availability'!$G:$G,K116)&amp;""),0)/IFERROR(--(INDEX('Reguler Class Availability'!$F:$F,K116)&amp;""),0)&gt;=0.6,"Tinggi","Sebagian"))))))</f>
        <v>Tidak dibuka</v>
      </c>
      <c r="T116" s="0" t="str">
        <f aca="false">IF(L116="","",IF(AND(IFERROR(--(INDEX('Reguler Class Availability'!$F:$F,L116)&amp;""),0)=0,IFERROR(--(INDEX('Reguler Class Availability'!$G:$G,L116)&amp;""),0)=0),IF(OR(INDEX('Reguler Class Availability'!$B:$B,L116)&amp;""&lt;&gt;"",INDEX('Reguler Class Availability'!$I:$I,L116)&amp;""&lt;&gt;""),"Tutup","Tidak dibuka"),IF(IFERROR(--(INDEX('Reguler Class Availability'!$G:$G,L116)&amp;""),0)&gt;IFERROR(--(INDEX('Reguler Class Availability'!$F:$F,L116)&amp;""),0),"Lebih",IF(IFERROR(--(INDEX('Reguler Class Availability'!$G:$G,L116)&amp;""),0)=IFERROR(--(INDEX('Reguler Class Availability'!$F:$F,L116)&amp;""),0),"Penuh",IF(IFERROR(--(INDEX('Reguler Class Availability'!$G:$G,L116)&amp;""),0)=0,IF(INDEX('Reguler Class Availability'!$B:$B,L116)&amp;""="","Kosong","Belum terisi"),IF(IFERROR(--(INDEX('Reguler Class Availability'!$G:$G,L116)&amp;""),0)/IFERROR(--(INDEX('Reguler Class Availability'!$F:$F,L116)&amp;""),0)&gt;=0.6,"Tinggi","Sebagian"))))))</f>
        <v>Tidak dibuka</v>
      </c>
      <c r="U116" s="0" t="str">
        <f aca="false">IF(M116="","",IF(AND(IFERROR(--(INDEX('Reguler Class Availability'!$F:$F,M116)&amp;""),0)=0,IFERROR(--(INDEX('Reguler Class Availability'!$G:$G,M116)&amp;""),0)=0),IF(OR(INDEX('Reguler Class Availability'!$B:$B,M116)&amp;""&lt;&gt;"",INDEX('Reguler Class Availability'!$I:$I,M116)&amp;""&lt;&gt;""),"Tutup","Tidak dibuka"),IF(IFERROR(--(INDEX('Reguler Class Availability'!$G:$G,M116)&amp;""),0)&gt;IFERROR(--(INDEX('Reguler Class Availability'!$F:$F,M116)&amp;""),0),"Lebih",IF(IFERROR(--(INDEX('Reguler Class Availability'!$G:$G,M116)&amp;""),0)=IFERROR(--(INDEX('Reguler Class Availability'!$F:$F,M116)&amp;""),0),"Penuh",IF(IFERROR(--(INDEX('Reguler Class Availability'!$G:$G,M116)&amp;""),0)=0,IF(INDEX('Reguler Class Availability'!$B:$B,M116)&amp;""="","Kosong","Belum terisi"),IF(IFERROR(--(INDEX('Reguler Class Availability'!$G:$G,M116)&amp;""),0)/IFERROR(--(INDEX('Reguler Class Availability'!$F:$F,M116)&amp;""),0)&gt;=0.6,"Tinggi","Sebagian"))))))</f>
        <v>Tidak dibuka</v>
      </c>
      <c r="V116" s="0" t="str">
        <f aca="false">IF(N116="","",IF(AND(IFERROR(--(INDEX('Reguler Class Availability'!$F:$F,N116)&amp;""),0)=0,IFERROR(--(INDEX('Reguler Class Availability'!$G:$G,N116)&amp;""),0)=0),IF(OR(INDEX('Reguler Class Availability'!$B:$B,N116)&amp;""&lt;&gt;"",INDEX('Reguler Class Availability'!$I:$I,N116)&amp;""&lt;&gt;""),"Tutup","Tidak dibuka"),IF(IFERROR(--(INDEX('Reguler Class Availability'!$G:$G,N116)&amp;""),0)&gt;IFERROR(--(INDEX('Reguler Class Availability'!$F:$F,N116)&amp;""),0),"Lebih",IF(IFERROR(--(INDEX('Reguler Class Availability'!$G:$G,N116)&amp;""),0)=IFERROR(--(INDEX('Reguler Class Availability'!$F:$F,N116)&amp;""),0),"Penuh",IF(IFERROR(--(INDEX('Reguler Class Availability'!$G:$G,N116)&amp;""),0)=0,IF(INDEX('Reguler Class Availability'!$B:$B,N116)&amp;""="","Kosong","Belum terisi"),IF(IFERROR(--(INDEX('Reguler Class Availability'!$G:$G,N116)&amp;""),0)/IFERROR(--(INDEX('Reguler Class Availability'!$F:$F,N116)&amp;""),0)&gt;=0.6,"Tinggi","Sebagian"))))))</f>
        <v>Tidak dibuka</v>
      </c>
      <c r="W116" s="0" t="str">
        <f aca="false">IF(O116="","",IF(AND(IFERROR(--(INDEX('Reguler Class Availability'!$F:$F,O116)&amp;""),0)=0,IFERROR(--(INDEX('Reguler Class Availability'!$G:$G,O116)&amp;""),0)=0),IF(OR(INDEX('Reguler Class Availability'!$B:$B,O116)&amp;""&lt;&gt;"",INDEX('Reguler Class Availability'!$I:$I,O116)&amp;""&lt;&gt;""),"Tutup","Tidak dibuka"),IF(IFERROR(--(INDEX('Reguler Class Availability'!$G:$G,O116)&amp;""),0)&gt;IFERROR(--(INDEX('Reguler Class Availability'!$F:$F,O116)&amp;""),0),"Lebih",IF(IFERROR(--(INDEX('Reguler Class Availability'!$G:$G,O116)&amp;""),0)=IFERROR(--(INDEX('Reguler Class Availability'!$F:$F,O116)&amp;""),0),"Penuh",IF(IFERROR(--(INDEX('Reguler Class Availability'!$G:$G,O116)&amp;""),0)=0,IF(INDEX('Reguler Class Availability'!$B:$B,O116)&amp;""="","Kosong","Belum terisi"),IF(IFERROR(--(INDEX('Reguler Class Availability'!$G:$G,O116)&amp;""),0)/IFERROR(--(INDEX('Reguler Class Availability'!$F:$F,O116)&amp;""),0)&gt;=0.6,"Tinggi","Sebagian"))))))</f>
        <v>Tidak dibuka</v>
      </c>
      <c r="X116" s="0" t="str">
        <f aca="false">IF(P116="","",IF(AND(IFERROR(--(INDEX('Reguler Class Availability'!$F:$F,P116)&amp;""),0)=0,IFERROR(--(INDEX('Reguler Class Availability'!$G:$G,P116)&amp;""),0)=0),IF(OR(INDEX('Reguler Class Availability'!$B:$B,P116)&amp;""&lt;&gt;"",INDEX('Reguler Class Availability'!$I:$I,P116)&amp;""&lt;&gt;""),"Tutup","Tidak dibuka"),IF(IFERROR(--(INDEX('Reguler Class Availability'!$G:$G,P116)&amp;""),0)&gt;IFERROR(--(INDEX('Reguler Class Availability'!$F:$F,P116)&amp;""),0),"Lebih",IF(IFERROR(--(INDEX('Reguler Class Availability'!$G:$G,P116)&amp;""),0)=IFERROR(--(INDEX('Reguler Class Availability'!$F:$F,P116)&amp;""),0),"Penuh",IF(IFERROR(--(INDEX('Reguler Class Availability'!$G:$G,P116)&amp;""),0)=0,IF(INDEX('Reguler Class Availability'!$B:$B,P116)&amp;""="","Kosong","Belum terisi"),IF(IFERROR(--(INDEX('Reguler Class Availability'!$G:$G,P116)&amp;""),0)/IFERROR(--(INDEX('Reguler Class Availability'!$F:$F,P116)&amp;""),0)&gt;=0.6,"Tinggi","Sebagian"))))))</f>
        <v>Lebih</v>
      </c>
      <c r="Z116" s="4" t="s">
        <v>92</v>
      </c>
      <c r="AA116" s="4" t="n">
        <f aca="false">IF(COUNTIFS('Reguler Class Availability'!$L:$L,$B$4&amp;"|- Lane 2 - *|"&amp;Z116)&gt;0,1,0)</f>
        <v>0</v>
      </c>
      <c r="AB116" s="4" t="n">
        <f aca="false">AA116+AB115</f>
        <v>12</v>
      </c>
    </row>
    <row r="117" customFormat="false" ht="39.75" hidden="false" customHeight="true" outlineLevel="0" collapsed="false">
      <c r="A117" s="39" t="str">
        <f aca="false">IFERROR(INDEX($Z$302:$Z$361,MATCH(12,$AB$302:$AB$361,0)),"")</f>
        <v>17:00</v>
      </c>
      <c r="B117" s="40" t="str">
        <f aca="false">IF(J117="","",IF(R117="Tidak dibuka","–",IF(INDEX('Reguler Class Availability'!$B:$B,J117)&amp;""="","Kosong",PROPER(INDEX('Reguler Class Availability'!$B:$B,J117)&amp;""))&amp;"  "&amp;IFERROR(--(INDEX('Reguler Class Availability'!$G:$G,J117)&amp;""),0)&amp;"/"&amp;IFERROR(--(INDEX('Reguler Class Availability'!$F:$F,J117)&amp;""),0)&amp;IF(IFERROR(--(INDEX('Reguler Class Availability'!$F:$F,J117)&amp;""),0)&gt;0,"  ("&amp;TEXT(IFERROR(--(INDEX('Reguler Class Availability'!$G:$G,J117)&amp;""),0)/IFERROR(--(INDEX('Reguler Class Availability'!$F:$F,J117)&amp;""),0),"0%")&amp;")","")&amp;CHAR(10)&amp;IF(INDEX('Reguler Class Availability'!$I:$I,J117)&amp;""="","coach: –",PROPER(INDEX('Reguler Class Availability'!$I:$I,J117)&amp;""))&amp;IF(INDEX('Reguler Class Availability'!$J:$J,J117)&amp;""="","",CHAR(10)&amp;"asst: "&amp;PROPER(INDEX('Reguler Class Availability'!$J:$J,J117)&amp;""))))</f>
        <v>Tiny  0/0
Zidane</v>
      </c>
      <c r="C117" s="40" t="str">
        <f aca="false">IF(K117="","",IF(S117="Tidak dibuka","–",IF(INDEX('Reguler Class Availability'!$B:$B,K117)&amp;""="","Kosong",PROPER(INDEX('Reguler Class Availability'!$B:$B,K117)&amp;""))&amp;"  "&amp;IFERROR(--(INDEX('Reguler Class Availability'!$G:$G,K117)&amp;""),0)&amp;"/"&amp;IFERROR(--(INDEX('Reguler Class Availability'!$F:$F,K117)&amp;""),0)&amp;IF(IFERROR(--(INDEX('Reguler Class Availability'!$F:$F,K117)&amp;""),0)&gt;0,"  ("&amp;TEXT(IFERROR(--(INDEX('Reguler Class Availability'!$G:$G,K117)&amp;""),0)/IFERROR(--(INDEX('Reguler Class Availability'!$F:$F,K117)&amp;""),0),"0%")&amp;")","")&amp;CHAR(10)&amp;IF(INDEX('Reguler Class Availability'!$I:$I,K117)&amp;""="","coach: –",PROPER(INDEX('Reguler Class Availability'!$I:$I,K117)&amp;""))&amp;IF(INDEX('Reguler Class Availability'!$J:$J,K117)&amp;""="","",CHAR(10)&amp;"asst: "&amp;PROPER(INDEX('Reguler Class Availability'!$J:$J,K117)&amp;""))))</f>
        <v>–</v>
      </c>
      <c r="D117" s="40" t="str">
        <f aca="false">IF(L117="","",IF(T117="Tidak dibuka","–",IF(INDEX('Reguler Class Availability'!$B:$B,L117)&amp;""="","Kosong",PROPER(INDEX('Reguler Class Availability'!$B:$B,L117)&amp;""))&amp;"  "&amp;IFERROR(--(INDEX('Reguler Class Availability'!$G:$G,L117)&amp;""),0)&amp;"/"&amp;IFERROR(--(INDEX('Reguler Class Availability'!$F:$F,L117)&amp;""),0)&amp;IF(IFERROR(--(INDEX('Reguler Class Availability'!$F:$F,L117)&amp;""),0)&gt;0,"  ("&amp;TEXT(IFERROR(--(INDEX('Reguler Class Availability'!$G:$G,L117)&amp;""),0)/IFERROR(--(INDEX('Reguler Class Availability'!$F:$F,L117)&amp;""),0),"0%")&amp;")","")&amp;CHAR(10)&amp;IF(INDEX('Reguler Class Availability'!$I:$I,L117)&amp;""="","coach: –",PROPER(INDEX('Reguler Class Availability'!$I:$I,L117)&amp;""))&amp;IF(INDEX('Reguler Class Availability'!$J:$J,L117)&amp;""="","",CHAR(10)&amp;"asst: "&amp;PROPER(INDEX('Reguler Class Availability'!$J:$J,L117)&amp;""))))</f>
        <v>–</v>
      </c>
      <c r="E117" s="40" t="str">
        <f aca="false">IF(M117="","",IF(U117="Tidak dibuka","–",IF(INDEX('Reguler Class Availability'!$B:$B,M117)&amp;""="","Kosong",PROPER(INDEX('Reguler Class Availability'!$B:$B,M117)&amp;""))&amp;"  "&amp;IFERROR(--(INDEX('Reguler Class Availability'!$G:$G,M117)&amp;""),0)&amp;"/"&amp;IFERROR(--(INDEX('Reguler Class Availability'!$F:$F,M117)&amp;""),0)&amp;IF(IFERROR(--(INDEX('Reguler Class Availability'!$F:$F,M117)&amp;""),0)&gt;0,"  ("&amp;TEXT(IFERROR(--(INDEX('Reguler Class Availability'!$G:$G,M117)&amp;""),0)/IFERROR(--(INDEX('Reguler Class Availability'!$F:$F,M117)&amp;""),0),"0%")&amp;")","")&amp;CHAR(10)&amp;IF(INDEX('Reguler Class Availability'!$I:$I,M117)&amp;""="","coach: –",PROPER(INDEX('Reguler Class Availability'!$I:$I,M117)&amp;""))&amp;IF(INDEX('Reguler Class Availability'!$J:$J,M117)&amp;""="","",CHAR(10)&amp;"asst: "&amp;PROPER(INDEX('Reguler Class Availability'!$J:$J,M117)&amp;""))))</f>
        <v>–</v>
      </c>
      <c r="F117" s="40" t="str">
        <f aca="false">IF(N117="","",IF(V117="Tidak dibuka","–",IF(INDEX('Reguler Class Availability'!$B:$B,N117)&amp;""="","Kosong",PROPER(INDEX('Reguler Class Availability'!$B:$B,N117)&amp;""))&amp;"  "&amp;IFERROR(--(INDEX('Reguler Class Availability'!$G:$G,N117)&amp;""),0)&amp;"/"&amp;IFERROR(--(INDEX('Reguler Class Availability'!$F:$F,N117)&amp;""),0)&amp;IF(IFERROR(--(INDEX('Reguler Class Availability'!$F:$F,N117)&amp;""),0)&gt;0,"  ("&amp;TEXT(IFERROR(--(INDEX('Reguler Class Availability'!$G:$G,N117)&amp;""),0)/IFERROR(--(INDEX('Reguler Class Availability'!$F:$F,N117)&amp;""),0),"0%")&amp;")","")&amp;CHAR(10)&amp;IF(INDEX('Reguler Class Availability'!$I:$I,N117)&amp;""="","coach: –",PROPER(INDEX('Reguler Class Availability'!$I:$I,N117)&amp;""))&amp;IF(INDEX('Reguler Class Availability'!$J:$J,N117)&amp;""="","",CHAR(10)&amp;"asst: "&amp;PROPER(INDEX('Reguler Class Availability'!$J:$J,N117)&amp;""))))</f>
        <v>Kids  4/0
Gita</v>
      </c>
      <c r="G117" s="40" t="str">
        <f aca="false">IF(O117="","",IF(W117="Tidak dibuka","–",IF(INDEX('Reguler Class Availability'!$B:$B,O117)&amp;""="","Kosong",PROPER(INDEX('Reguler Class Availability'!$B:$B,O117)&amp;""))&amp;"  "&amp;IFERROR(--(INDEX('Reguler Class Availability'!$G:$G,O117)&amp;""),0)&amp;"/"&amp;IFERROR(--(INDEX('Reguler Class Availability'!$F:$F,O117)&amp;""),0)&amp;IF(IFERROR(--(INDEX('Reguler Class Availability'!$F:$F,O117)&amp;""),0)&gt;0,"  ("&amp;TEXT(IFERROR(--(INDEX('Reguler Class Availability'!$G:$G,O117)&amp;""),0)/IFERROR(--(INDEX('Reguler Class Availability'!$F:$F,O117)&amp;""),0),"0%")&amp;")","")&amp;CHAR(10)&amp;IF(INDEX('Reguler Class Availability'!$I:$I,O117)&amp;""="","coach: –",PROPER(INDEX('Reguler Class Availability'!$I:$I,O117)&amp;""))&amp;IF(INDEX('Reguler Class Availability'!$J:$J,O117)&amp;""="","",CHAR(10)&amp;"asst: "&amp;PROPER(INDEX('Reguler Class Availability'!$J:$J,O117)&amp;""))))</f>
        <v>–</v>
      </c>
      <c r="H117" s="40" t="str">
        <f aca="false">IF(P117="","",IF(X117="Tidak dibuka","–",IF(INDEX('Reguler Class Availability'!$B:$B,P117)&amp;""="","Kosong",PROPER(INDEX('Reguler Class Availability'!$B:$B,P117)&amp;""))&amp;"  "&amp;IFERROR(--(INDEX('Reguler Class Availability'!$G:$G,P117)&amp;""),0)&amp;"/"&amp;IFERROR(--(INDEX('Reguler Class Availability'!$F:$F,P117)&amp;""),0)&amp;IF(IFERROR(--(INDEX('Reguler Class Availability'!$F:$F,P117)&amp;""),0)&gt;0,"  ("&amp;TEXT(IFERROR(--(INDEX('Reguler Class Availability'!$G:$G,P117)&amp;""),0)/IFERROR(--(INDEX('Reguler Class Availability'!$F:$F,P117)&amp;""),0),"0%")&amp;")","")&amp;CHAR(10)&amp;IF(INDEX('Reguler Class Availability'!$I:$I,P117)&amp;""="","coach: –",PROPER(INDEX('Reguler Class Availability'!$I:$I,P117)&amp;""))&amp;IF(INDEX('Reguler Class Availability'!$J:$J,P117)&amp;""="","",CHAR(10)&amp;"asst: "&amp;PROPER(INDEX('Reguler Class Availability'!$J:$J,P117)&amp;""))))</f>
        <v>–</v>
      </c>
      <c r="J117" s="4" t="n">
        <f aca="false">IF($A117="","",IFERROR(MATCH($B$4&amp;"|- Lane 6 - "&amp;B$105&amp;"|"&amp;$A117,'Reguler Class Availability'!$L:$L,0),""))</f>
        <v>447</v>
      </c>
      <c r="K117" s="4" t="n">
        <f aca="false">IF($A117="","",IFERROR(MATCH($B$4&amp;"|- Lane 6 - "&amp;C$105&amp;"|"&amp;$A117,'Reguler Class Availability'!$L:$L,0),""))</f>
        <v>459</v>
      </c>
      <c r="L117" s="4" t="n">
        <f aca="false">IF($A117="","",IFERROR(MATCH($B$4&amp;"|- Lane 6 - "&amp;D$105&amp;"|"&amp;$A117,'Reguler Class Availability'!$L:$L,0),""))</f>
        <v>471</v>
      </c>
      <c r="M117" s="4" t="n">
        <f aca="false">IF($A117="","",IFERROR(MATCH($B$4&amp;"|- Lane 6 - "&amp;E$105&amp;"|"&amp;$A117,'Reguler Class Availability'!$L:$L,0),""))</f>
        <v>483</v>
      </c>
      <c r="N117" s="4" t="n">
        <f aca="false">IF($A117="","",IFERROR(MATCH($B$4&amp;"|- Lane 6 - "&amp;F$105&amp;"|"&amp;$A117,'Reguler Class Availability'!$L:$L,0),""))</f>
        <v>495</v>
      </c>
      <c r="O117" s="4" t="n">
        <f aca="false">IF($A117="","",IFERROR(MATCH($B$4&amp;"|- Lane 6 - "&amp;G$105&amp;"|"&amp;$A117,'Reguler Class Availability'!$L:$L,0),""))</f>
        <v>507</v>
      </c>
      <c r="P117" s="4" t="n">
        <f aca="false">IF($A117="","",IFERROR(MATCH($B$4&amp;"|- Lane 6 - "&amp;H$105&amp;"|"&amp;$A117,'Reguler Class Availability'!$L:$L,0),""))</f>
        <v>519</v>
      </c>
      <c r="R117" s="0" t="str">
        <f aca="false">IF(J117="","",IF(AND(IFERROR(--(INDEX('Reguler Class Availability'!$F:$F,J117)&amp;""),0)=0,IFERROR(--(INDEX('Reguler Class Availability'!$G:$G,J117)&amp;""),0)=0),IF(OR(INDEX('Reguler Class Availability'!$B:$B,J117)&amp;""&lt;&gt;"",INDEX('Reguler Class Availability'!$I:$I,J117)&amp;""&lt;&gt;""),"Tutup","Tidak dibuka"),IF(IFERROR(--(INDEX('Reguler Class Availability'!$G:$G,J117)&amp;""),0)&gt;IFERROR(--(INDEX('Reguler Class Availability'!$F:$F,J117)&amp;""),0),"Lebih",IF(IFERROR(--(INDEX('Reguler Class Availability'!$G:$G,J117)&amp;""),0)=IFERROR(--(INDEX('Reguler Class Availability'!$F:$F,J117)&amp;""),0),"Penuh",IF(IFERROR(--(INDEX('Reguler Class Availability'!$G:$G,J117)&amp;""),0)=0,IF(INDEX('Reguler Class Availability'!$B:$B,J117)&amp;""="","Kosong","Belum terisi"),IF(IFERROR(--(INDEX('Reguler Class Availability'!$G:$G,J117)&amp;""),0)/IFERROR(--(INDEX('Reguler Class Availability'!$F:$F,J117)&amp;""),0)&gt;=0.6,"Tinggi","Sebagian"))))))</f>
        <v>Tutup</v>
      </c>
      <c r="S117" s="0" t="str">
        <f aca="false">IF(K117="","",IF(AND(IFERROR(--(INDEX('Reguler Class Availability'!$F:$F,K117)&amp;""),0)=0,IFERROR(--(INDEX('Reguler Class Availability'!$G:$G,K117)&amp;""),0)=0),IF(OR(INDEX('Reguler Class Availability'!$B:$B,K117)&amp;""&lt;&gt;"",INDEX('Reguler Class Availability'!$I:$I,K117)&amp;""&lt;&gt;""),"Tutup","Tidak dibuka"),IF(IFERROR(--(INDEX('Reguler Class Availability'!$G:$G,K117)&amp;""),0)&gt;IFERROR(--(INDEX('Reguler Class Availability'!$F:$F,K117)&amp;""),0),"Lebih",IF(IFERROR(--(INDEX('Reguler Class Availability'!$G:$G,K117)&amp;""),0)=IFERROR(--(INDEX('Reguler Class Availability'!$F:$F,K117)&amp;""),0),"Penuh",IF(IFERROR(--(INDEX('Reguler Class Availability'!$G:$G,K117)&amp;""),0)=0,IF(INDEX('Reguler Class Availability'!$B:$B,K117)&amp;""="","Kosong","Belum terisi"),IF(IFERROR(--(INDEX('Reguler Class Availability'!$G:$G,K117)&amp;""),0)/IFERROR(--(INDEX('Reguler Class Availability'!$F:$F,K117)&amp;""),0)&gt;=0.6,"Tinggi","Sebagian"))))))</f>
        <v>Tidak dibuka</v>
      </c>
      <c r="T117" s="0" t="str">
        <f aca="false">IF(L117="","",IF(AND(IFERROR(--(INDEX('Reguler Class Availability'!$F:$F,L117)&amp;""),0)=0,IFERROR(--(INDEX('Reguler Class Availability'!$G:$G,L117)&amp;""),0)=0),IF(OR(INDEX('Reguler Class Availability'!$B:$B,L117)&amp;""&lt;&gt;"",INDEX('Reguler Class Availability'!$I:$I,L117)&amp;""&lt;&gt;""),"Tutup","Tidak dibuka"),IF(IFERROR(--(INDEX('Reguler Class Availability'!$G:$G,L117)&amp;""),0)&gt;IFERROR(--(INDEX('Reguler Class Availability'!$F:$F,L117)&amp;""),0),"Lebih",IF(IFERROR(--(INDEX('Reguler Class Availability'!$G:$G,L117)&amp;""),0)=IFERROR(--(INDEX('Reguler Class Availability'!$F:$F,L117)&amp;""),0),"Penuh",IF(IFERROR(--(INDEX('Reguler Class Availability'!$G:$G,L117)&amp;""),0)=0,IF(INDEX('Reguler Class Availability'!$B:$B,L117)&amp;""="","Kosong","Belum terisi"),IF(IFERROR(--(INDEX('Reguler Class Availability'!$G:$G,L117)&amp;""),0)/IFERROR(--(INDEX('Reguler Class Availability'!$F:$F,L117)&amp;""),0)&gt;=0.6,"Tinggi","Sebagian"))))))</f>
        <v>Tidak dibuka</v>
      </c>
      <c r="U117" s="0" t="str">
        <f aca="false">IF(M117="","",IF(AND(IFERROR(--(INDEX('Reguler Class Availability'!$F:$F,M117)&amp;""),0)=0,IFERROR(--(INDEX('Reguler Class Availability'!$G:$G,M117)&amp;""),0)=0),IF(OR(INDEX('Reguler Class Availability'!$B:$B,M117)&amp;""&lt;&gt;"",INDEX('Reguler Class Availability'!$I:$I,M117)&amp;""&lt;&gt;""),"Tutup","Tidak dibuka"),IF(IFERROR(--(INDEX('Reguler Class Availability'!$G:$G,M117)&amp;""),0)&gt;IFERROR(--(INDEX('Reguler Class Availability'!$F:$F,M117)&amp;""),0),"Lebih",IF(IFERROR(--(INDEX('Reguler Class Availability'!$G:$G,M117)&amp;""),0)=IFERROR(--(INDEX('Reguler Class Availability'!$F:$F,M117)&amp;""),0),"Penuh",IF(IFERROR(--(INDEX('Reguler Class Availability'!$G:$G,M117)&amp;""),0)=0,IF(INDEX('Reguler Class Availability'!$B:$B,M117)&amp;""="","Kosong","Belum terisi"),IF(IFERROR(--(INDEX('Reguler Class Availability'!$G:$G,M117)&amp;""),0)/IFERROR(--(INDEX('Reguler Class Availability'!$F:$F,M117)&amp;""),0)&gt;=0.6,"Tinggi","Sebagian"))))))</f>
        <v>Tidak dibuka</v>
      </c>
      <c r="V117" s="0" t="str">
        <f aca="false">IF(N117="","",IF(AND(IFERROR(--(INDEX('Reguler Class Availability'!$F:$F,N117)&amp;""),0)=0,IFERROR(--(INDEX('Reguler Class Availability'!$G:$G,N117)&amp;""),0)=0),IF(OR(INDEX('Reguler Class Availability'!$B:$B,N117)&amp;""&lt;&gt;"",INDEX('Reguler Class Availability'!$I:$I,N117)&amp;""&lt;&gt;""),"Tutup","Tidak dibuka"),IF(IFERROR(--(INDEX('Reguler Class Availability'!$G:$G,N117)&amp;""),0)&gt;IFERROR(--(INDEX('Reguler Class Availability'!$F:$F,N117)&amp;""),0),"Lebih",IF(IFERROR(--(INDEX('Reguler Class Availability'!$G:$G,N117)&amp;""),0)=IFERROR(--(INDEX('Reguler Class Availability'!$F:$F,N117)&amp;""),0),"Penuh",IF(IFERROR(--(INDEX('Reguler Class Availability'!$G:$G,N117)&amp;""),0)=0,IF(INDEX('Reguler Class Availability'!$B:$B,N117)&amp;""="","Kosong","Belum terisi"),IF(IFERROR(--(INDEX('Reguler Class Availability'!$G:$G,N117)&amp;""),0)/IFERROR(--(INDEX('Reguler Class Availability'!$F:$F,N117)&amp;""),0)&gt;=0.6,"Tinggi","Sebagian"))))))</f>
        <v>Lebih</v>
      </c>
      <c r="W117" s="0" t="str">
        <f aca="false">IF(O117="","",IF(AND(IFERROR(--(INDEX('Reguler Class Availability'!$F:$F,O117)&amp;""),0)=0,IFERROR(--(INDEX('Reguler Class Availability'!$G:$G,O117)&amp;""),0)=0),IF(OR(INDEX('Reguler Class Availability'!$B:$B,O117)&amp;""&lt;&gt;"",INDEX('Reguler Class Availability'!$I:$I,O117)&amp;""&lt;&gt;""),"Tutup","Tidak dibuka"),IF(IFERROR(--(INDEX('Reguler Class Availability'!$G:$G,O117)&amp;""),0)&gt;IFERROR(--(INDEX('Reguler Class Availability'!$F:$F,O117)&amp;""),0),"Lebih",IF(IFERROR(--(INDEX('Reguler Class Availability'!$G:$G,O117)&amp;""),0)=IFERROR(--(INDEX('Reguler Class Availability'!$F:$F,O117)&amp;""),0),"Penuh",IF(IFERROR(--(INDEX('Reguler Class Availability'!$G:$G,O117)&amp;""),0)=0,IF(INDEX('Reguler Class Availability'!$B:$B,O117)&amp;""="","Kosong","Belum terisi"),IF(IFERROR(--(INDEX('Reguler Class Availability'!$G:$G,O117)&amp;""),0)/IFERROR(--(INDEX('Reguler Class Availability'!$F:$F,O117)&amp;""),0)&gt;=0.6,"Tinggi","Sebagian"))))))</f>
        <v>Tidak dibuka</v>
      </c>
      <c r="X117" s="0" t="str">
        <f aca="false">IF(P117="","",IF(AND(IFERROR(--(INDEX('Reguler Class Availability'!$F:$F,P117)&amp;""),0)=0,IFERROR(--(INDEX('Reguler Class Availability'!$G:$G,P117)&amp;""),0)=0),IF(OR(INDEX('Reguler Class Availability'!$B:$B,P117)&amp;""&lt;&gt;"",INDEX('Reguler Class Availability'!$I:$I,P117)&amp;""&lt;&gt;""),"Tutup","Tidak dibuka"),IF(IFERROR(--(INDEX('Reguler Class Availability'!$G:$G,P117)&amp;""),0)&gt;IFERROR(--(INDEX('Reguler Class Availability'!$F:$F,P117)&amp;""),0),"Lebih",IF(IFERROR(--(INDEX('Reguler Class Availability'!$G:$G,P117)&amp;""),0)=IFERROR(--(INDEX('Reguler Class Availability'!$F:$F,P117)&amp;""),0),"Penuh",IF(IFERROR(--(INDEX('Reguler Class Availability'!$G:$G,P117)&amp;""),0)=0,IF(INDEX('Reguler Class Availability'!$B:$B,P117)&amp;""="","Kosong","Belum terisi"),IF(IFERROR(--(INDEX('Reguler Class Availability'!$G:$G,P117)&amp;""),0)/IFERROR(--(INDEX('Reguler Class Availability'!$F:$F,P117)&amp;""),0)&gt;=0.6,"Tinggi","Sebagian"))))))</f>
        <v>Tidak dibuka</v>
      </c>
      <c r="Z117" s="4" t="s">
        <v>93</v>
      </c>
      <c r="AA117" s="4" t="n">
        <f aca="false">IF(COUNTIFS('Reguler Class Availability'!$L:$L,$B$4&amp;"|- Lane 2 - *|"&amp;Z117)&gt;0,1,0)</f>
        <v>0</v>
      </c>
      <c r="AB117" s="4" t="n">
        <f aca="false">AA117+AB116</f>
        <v>12</v>
      </c>
    </row>
    <row r="118" customFormat="false" ht="39.75" hidden="false" customHeight="true" outlineLevel="0" collapsed="false">
      <c r="A118" s="39" t="str">
        <f aca="false">IFERROR(INDEX($Z$302:$Z$361,MATCH(13,$AB$302:$AB$361,0)),"")</f>
        <v/>
      </c>
      <c r="B118" s="40" t="str">
        <f aca="false">IF(J118="","",IF(R118="Tidak dibuka","–",IF(INDEX('Reguler Class Availability'!$B:$B,J118)&amp;""="","Kosong",PROPER(INDEX('Reguler Class Availability'!$B:$B,J118)&amp;""))&amp;"  "&amp;IFERROR(--(INDEX('Reguler Class Availability'!$G:$G,J118)&amp;""),0)&amp;"/"&amp;IFERROR(--(INDEX('Reguler Class Availability'!$F:$F,J118)&amp;""),0)&amp;IF(IFERROR(--(INDEX('Reguler Class Availability'!$F:$F,J118)&amp;""),0)&gt;0,"  ("&amp;TEXT(IFERROR(--(INDEX('Reguler Class Availability'!$G:$G,J118)&amp;""),0)/IFERROR(--(INDEX('Reguler Class Availability'!$F:$F,J118)&amp;""),0),"0%")&amp;")","")&amp;CHAR(10)&amp;IF(INDEX('Reguler Class Availability'!$I:$I,J118)&amp;""="","coach: –",PROPER(INDEX('Reguler Class Availability'!$I:$I,J118)&amp;""))&amp;IF(INDEX('Reguler Class Availability'!$J:$J,J118)&amp;""="","",CHAR(10)&amp;"asst: "&amp;PROPER(INDEX('Reguler Class Availability'!$J:$J,J118)&amp;""))))</f>
        <v/>
      </c>
      <c r="C118" s="40" t="str">
        <f aca="false">IF(K118="","",IF(S118="Tidak dibuka","–",IF(INDEX('Reguler Class Availability'!$B:$B,K118)&amp;""="","Kosong",PROPER(INDEX('Reguler Class Availability'!$B:$B,K118)&amp;""))&amp;"  "&amp;IFERROR(--(INDEX('Reguler Class Availability'!$G:$G,K118)&amp;""),0)&amp;"/"&amp;IFERROR(--(INDEX('Reguler Class Availability'!$F:$F,K118)&amp;""),0)&amp;IF(IFERROR(--(INDEX('Reguler Class Availability'!$F:$F,K118)&amp;""),0)&gt;0,"  ("&amp;TEXT(IFERROR(--(INDEX('Reguler Class Availability'!$G:$G,K118)&amp;""),0)/IFERROR(--(INDEX('Reguler Class Availability'!$F:$F,K118)&amp;""),0),"0%")&amp;")","")&amp;CHAR(10)&amp;IF(INDEX('Reguler Class Availability'!$I:$I,K118)&amp;""="","coach: –",PROPER(INDEX('Reguler Class Availability'!$I:$I,K118)&amp;""))&amp;IF(INDEX('Reguler Class Availability'!$J:$J,K118)&amp;""="","",CHAR(10)&amp;"asst: "&amp;PROPER(INDEX('Reguler Class Availability'!$J:$J,K118)&amp;""))))</f>
        <v/>
      </c>
      <c r="D118" s="40" t="str">
        <f aca="false">IF(L118="","",IF(T118="Tidak dibuka","–",IF(INDEX('Reguler Class Availability'!$B:$B,L118)&amp;""="","Kosong",PROPER(INDEX('Reguler Class Availability'!$B:$B,L118)&amp;""))&amp;"  "&amp;IFERROR(--(INDEX('Reguler Class Availability'!$G:$G,L118)&amp;""),0)&amp;"/"&amp;IFERROR(--(INDEX('Reguler Class Availability'!$F:$F,L118)&amp;""),0)&amp;IF(IFERROR(--(INDEX('Reguler Class Availability'!$F:$F,L118)&amp;""),0)&gt;0,"  ("&amp;TEXT(IFERROR(--(INDEX('Reguler Class Availability'!$G:$G,L118)&amp;""),0)/IFERROR(--(INDEX('Reguler Class Availability'!$F:$F,L118)&amp;""),0),"0%")&amp;")","")&amp;CHAR(10)&amp;IF(INDEX('Reguler Class Availability'!$I:$I,L118)&amp;""="","coach: –",PROPER(INDEX('Reguler Class Availability'!$I:$I,L118)&amp;""))&amp;IF(INDEX('Reguler Class Availability'!$J:$J,L118)&amp;""="","",CHAR(10)&amp;"asst: "&amp;PROPER(INDEX('Reguler Class Availability'!$J:$J,L118)&amp;""))))</f>
        <v/>
      </c>
      <c r="E118" s="40" t="str">
        <f aca="false">IF(M118="","",IF(U118="Tidak dibuka","–",IF(INDEX('Reguler Class Availability'!$B:$B,M118)&amp;""="","Kosong",PROPER(INDEX('Reguler Class Availability'!$B:$B,M118)&amp;""))&amp;"  "&amp;IFERROR(--(INDEX('Reguler Class Availability'!$G:$G,M118)&amp;""),0)&amp;"/"&amp;IFERROR(--(INDEX('Reguler Class Availability'!$F:$F,M118)&amp;""),0)&amp;IF(IFERROR(--(INDEX('Reguler Class Availability'!$F:$F,M118)&amp;""),0)&gt;0,"  ("&amp;TEXT(IFERROR(--(INDEX('Reguler Class Availability'!$G:$G,M118)&amp;""),0)/IFERROR(--(INDEX('Reguler Class Availability'!$F:$F,M118)&amp;""),0),"0%")&amp;")","")&amp;CHAR(10)&amp;IF(INDEX('Reguler Class Availability'!$I:$I,M118)&amp;""="","coach: –",PROPER(INDEX('Reguler Class Availability'!$I:$I,M118)&amp;""))&amp;IF(INDEX('Reguler Class Availability'!$J:$J,M118)&amp;""="","",CHAR(10)&amp;"asst: "&amp;PROPER(INDEX('Reguler Class Availability'!$J:$J,M118)&amp;""))))</f>
        <v/>
      </c>
      <c r="F118" s="40" t="str">
        <f aca="false">IF(N118="","",IF(V118="Tidak dibuka","–",IF(INDEX('Reguler Class Availability'!$B:$B,N118)&amp;""="","Kosong",PROPER(INDEX('Reguler Class Availability'!$B:$B,N118)&amp;""))&amp;"  "&amp;IFERROR(--(INDEX('Reguler Class Availability'!$G:$G,N118)&amp;""),0)&amp;"/"&amp;IFERROR(--(INDEX('Reguler Class Availability'!$F:$F,N118)&amp;""),0)&amp;IF(IFERROR(--(INDEX('Reguler Class Availability'!$F:$F,N118)&amp;""),0)&gt;0,"  ("&amp;TEXT(IFERROR(--(INDEX('Reguler Class Availability'!$G:$G,N118)&amp;""),0)/IFERROR(--(INDEX('Reguler Class Availability'!$F:$F,N118)&amp;""),0),"0%")&amp;")","")&amp;CHAR(10)&amp;IF(INDEX('Reguler Class Availability'!$I:$I,N118)&amp;""="","coach: –",PROPER(INDEX('Reguler Class Availability'!$I:$I,N118)&amp;""))&amp;IF(INDEX('Reguler Class Availability'!$J:$J,N118)&amp;""="","",CHAR(10)&amp;"asst: "&amp;PROPER(INDEX('Reguler Class Availability'!$J:$J,N118)&amp;""))))</f>
        <v/>
      </c>
      <c r="G118" s="40" t="str">
        <f aca="false">IF(O118="","",IF(W118="Tidak dibuka","–",IF(INDEX('Reguler Class Availability'!$B:$B,O118)&amp;""="","Kosong",PROPER(INDEX('Reguler Class Availability'!$B:$B,O118)&amp;""))&amp;"  "&amp;IFERROR(--(INDEX('Reguler Class Availability'!$G:$G,O118)&amp;""),0)&amp;"/"&amp;IFERROR(--(INDEX('Reguler Class Availability'!$F:$F,O118)&amp;""),0)&amp;IF(IFERROR(--(INDEX('Reguler Class Availability'!$F:$F,O118)&amp;""),0)&gt;0,"  ("&amp;TEXT(IFERROR(--(INDEX('Reguler Class Availability'!$G:$G,O118)&amp;""),0)/IFERROR(--(INDEX('Reguler Class Availability'!$F:$F,O118)&amp;""),0),"0%")&amp;")","")&amp;CHAR(10)&amp;IF(INDEX('Reguler Class Availability'!$I:$I,O118)&amp;""="","coach: –",PROPER(INDEX('Reguler Class Availability'!$I:$I,O118)&amp;""))&amp;IF(INDEX('Reguler Class Availability'!$J:$J,O118)&amp;""="","",CHAR(10)&amp;"asst: "&amp;PROPER(INDEX('Reguler Class Availability'!$J:$J,O118)&amp;""))))</f>
        <v/>
      </c>
      <c r="H118" s="40" t="str">
        <f aca="false">IF(P118="","",IF(X118="Tidak dibuka","–",IF(INDEX('Reguler Class Availability'!$B:$B,P118)&amp;""="","Kosong",PROPER(INDEX('Reguler Class Availability'!$B:$B,P118)&amp;""))&amp;"  "&amp;IFERROR(--(INDEX('Reguler Class Availability'!$G:$G,P118)&amp;""),0)&amp;"/"&amp;IFERROR(--(INDEX('Reguler Class Availability'!$F:$F,P118)&amp;""),0)&amp;IF(IFERROR(--(INDEX('Reguler Class Availability'!$F:$F,P118)&amp;""),0)&gt;0,"  ("&amp;TEXT(IFERROR(--(INDEX('Reguler Class Availability'!$G:$G,P118)&amp;""),0)/IFERROR(--(INDEX('Reguler Class Availability'!$F:$F,P118)&amp;""),0),"0%")&amp;")","")&amp;CHAR(10)&amp;IF(INDEX('Reguler Class Availability'!$I:$I,P118)&amp;""="","coach: –",PROPER(INDEX('Reguler Class Availability'!$I:$I,P118)&amp;""))&amp;IF(INDEX('Reguler Class Availability'!$J:$J,P118)&amp;""="","",CHAR(10)&amp;"asst: "&amp;PROPER(INDEX('Reguler Class Availability'!$J:$J,P118)&amp;""))))</f>
        <v/>
      </c>
      <c r="J118" s="0" t="str">
        <f aca="false">IF($A118="","",IFERROR(MATCH($B$4&amp;"|- Lane 6 - "&amp;B$105&amp;"|"&amp;$A118,'Reguler Class Availability'!$L:$L,0),""))</f>
        <v/>
      </c>
      <c r="K118" s="0" t="str">
        <f aca="false">IF($A118="","",IFERROR(MATCH($B$4&amp;"|- Lane 6 - "&amp;C$105&amp;"|"&amp;$A118,'Reguler Class Availability'!$L:$L,0),""))</f>
        <v/>
      </c>
      <c r="L118" s="0" t="str">
        <f aca="false">IF($A118="","",IFERROR(MATCH($B$4&amp;"|- Lane 6 - "&amp;D$105&amp;"|"&amp;$A118,'Reguler Class Availability'!$L:$L,0),""))</f>
        <v/>
      </c>
      <c r="M118" s="0" t="str">
        <f aca="false">IF($A118="","",IFERROR(MATCH($B$4&amp;"|- Lane 6 - "&amp;E$105&amp;"|"&amp;$A118,'Reguler Class Availability'!$L:$L,0),""))</f>
        <v/>
      </c>
      <c r="N118" s="0" t="str">
        <f aca="false">IF($A118="","",IFERROR(MATCH($B$4&amp;"|- Lane 6 - "&amp;F$105&amp;"|"&amp;$A118,'Reguler Class Availability'!$L:$L,0),""))</f>
        <v/>
      </c>
      <c r="O118" s="0" t="str">
        <f aca="false">IF($A118="","",IFERROR(MATCH($B$4&amp;"|- Lane 6 - "&amp;G$105&amp;"|"&amp;$A118,'Reguler Class Availability'!$L:$L,0),""))</f>
        <v/>
      </c>
      <c r="P118" s="0" t="str">
        <f aca="false">IF($A118="","",IFERROR(MATCH($B$4&amp;"|- Lane 6 - "&amp;H$105&amp;"|"&amp;$A118,'Reguler Class Availability'!$L:$L,0),""))</f>
        <v/>
      </c>
      <c r="R118" s="0" t="str">
        <f aca="false">IF(J118="","",IF(AND(IFERROR(--(INDEX('Reguler Class Availability'!$F:$F,J118)&amp;""),0)=0,IFERROR(--(INDEX('Reguler Class Availability'!$G:$G,J118)&amp;""),0)=0),IF(OR(INDEX('Reguler Class Availability'!$B:$B,J118)&amp;""&lt;&gt;"",INDEX('Reguler Class Availability'!$I:$I,J118)&amp;""&lt;&gt;""),"Tutup","Tidak dibuka"),IF(IFERROR(--(INDEX('Reguler Class Availability'!$G:$G,J118)&amp;""),0)&gt;IFERROR(--(INDEX('Reguler Class Availability'!$F:$F,J118)&amp;""),0),"Lebih",IF(IFERROR(--(INDEX('Reguler Class Availability'!$G:$G,J118)&amp;""),0)=IFERROR(--(INDEX('Reguler Class Availability'!$F:$F,J118)&amp;""),0),"Penuh",IF(IFERROR(--(INDEX('Reguler Class Availability'!$G:$G,J118)&amp;""),0)=0,IF(INDEX('Reguler Class Availability'!$B:$B,J118)&amp;""="","Kosong","Belum terisi"),IF(IFERROR(--(INDEX('Reguler Class Availability'!$G:$G,J118)&amp;""),0)/IFERROR(--(INDEX('Reguler Class Availability'!$F:$F,J118)&amp;""),0)&gt;=0.6,"Tinggi","Sebagian"))))))</f>
        <v/>
      </c>
      <c r="S118" s="0" t="str">
        <f aca="false">IF(K118="","",IF(AND(IFERROR(--(INDEX('Reguler Class Availability'!$F:$F,K118)&amp;""),0)=0,IFERROR(--(INDEX('Reguler Class Availability'!$G:$G,K118)&amp;""),0)=0),IF(OR(INDEX('Reguler Class Availability'!$B:$B,K118)&amp;""&lt;&gt;"",INDEX('Reguler Class Availability'!$I:$I,K118)&amp;""&lt;&gt;""),"Tutup","Tidak dibuka"),IF(IFERROR(--(INDEX('Reguler Class Availability'!$G:$G,K118)&amp;""),0)&gt;IFERROR(--(INDEX('Reguler Class Availability'!$F:$F,K118)&amp;""),0),"Lebih",IF(IFERROR(--(INDEX('Reguler Class Availability'!$G:$G,K118)&amp;""),0)=IFERROR(--(INDEX('Reguler Class Availability'!$F:$F,K118)&amp;""),0),"Penuh",IF(IFERROR(--(INDEX('Reguler Class Availability'!$G:$G,K118)&amp;""),0)=0,IF(INDEX('Reguler Class Availability'!$B:$B,K118)&amp;""="","Kosong","Belum terisi"),IF(IFERROR(--(INDEX('Reguler Class Availability'!$G:$G,K118)&amp;""),0)/IFERROR(--(INDEX('Reguler Class Availability'!$F:$F,K118)&amp;""),0)&gt;=0.6,"Tinggi","Sebagian"))))))</f>
        <v/>
      </c>
      <c r="T118" s="0" t="str">
        <f aca="false">IF(L118="","",IF(AND(IFERROR(--(INDEX('Reguler Class Availability'!$F:$F,L118)&amp;""),0)=0,IFERROR(--(INDEX('Reguler Class Availability'!$G:$G,L118)&amp;""),0)=0),IF(OR(INDEX('Reguler Class Availability'!$B:$B,L118)&amp;""&lt;&gt;"",INDEX('Reguler Class Availability'!$I:$I,L118)&amp;""&lt;&gt;""),"Tutup","Tidak dibuka"),IF(IFERROR(--(INDEX('Reguler Class Availability'!$G:$G,L118)&amp;""),0)&gt;IFERROR(--(INDEX('Reguler Class Availability'!$F:$F,L118)&amp;""),0),"Lebih",IF(IFERROR(--(INDEX('Reguler Class Availability'!$G:$G,L118)&amp;""),0)=IFERROR(--(INDEX('Reguler Class Availability'!$F:$F,L118)&amp;""),0),"Penuh",IF(IFERROR(--(INDEX('Reguler Class Availability'!$G:$G,L118)&amp;""),0)=0,IF(INDEX('Reguler Class Availability'!$B:$B,L118)&amp;""="","Kosong","Belum terisi"),IF(IFERROR(--(INDEX('Reguler Class Availability'!$G:$G,L118)&amp;""),0)/IFERROR(--(INDEX('Reguler Class Availability'!$F:$F,L118)&amp;""),0)&gt;=0.6,"Tinggi","Sebagian"))))))</f>
        <v/>
      </c>
      <c r="U118" s="0" t="str">
        <f aca="false">IF(M118="","",IF(AND(IFERROR(--(INDEX('Reguler Class Availability'!$F:$F,M118)&amp;""),0)=0,IFERROR(--(INDEX('Reguler Class Availability'!$G:$G,M118)&amp;""),0)=0),IF(OR(INDEX('Reguler Class Availability'!$B:$B,M118)&amp;""&lt;&gt;"",INDEX('Reguler Class Availability'!$I:$I,M118)&amp;""&lt;&gt;""),"Tutup","Tidak dibuka"),IF(IFERROR(--(INDEX('Reguler Class Availability'!$G:$G,M118)&amp;""),0)&gt;IFERROR(--(INDEX('Reguler Class Availability'!$F:$F,M118)&amp;""),0),"Lebih",IF(IFERROR(--(INDEX('Reguler Class Availability'!$G:$G,M118)&amp;""),0)=IFERROR(--(INDEX('Reguler Class Availability'!$F:$F,M118)&amp;""),0),"Penuh",IF(IFERROR(--(INDEX('Reguler Class Availability'!$G:$G,M118)&amp;""),0)=0,IF(INDEX('Reguler Class Availability'!$B:$B,M118)&amp;""="","Kosong","Belum terisi"),IF(IFERROR(--(INDEX('Reguler Class Availability'!$G:$G,M118)&amp;""),0)/IFERROR(--(INDEX('Reguler Class Availability'!$F:$F,M118)&amp;""),0)&gt;=0.6,"Tinggi","Sebagian"))))))</f>
        <v/>
      </c>
      <c r="V118" s="0" t="str">
        <f aca="false">IF(N118="","",IF(AND(IFERROR(--(INDEX('Reguler Class Availability'!$F:$F,N118)&amp;""),0)=0,IFERROR(--(INDEX('Reguler Class Availability'!$G:$G,N118)&amp;""),0)=0),IF(OR(INDEX('Reguler Class Availability'!$B:$B,N118)&amp;""&lt;&gt;"",INDEX('Reguler Class Availability'!$I:$I,N118)&amp;""&lt;&gt;""),"Tutup","Tidak dibuka"),IF(IFERROR(--(INDEX('Reguler Class Availability'!$G:$G,N118)&amp;""),0)&gt;IFERROR(--(INDEX('Reguler Class Availability'!$F:$F,N118)&amp;""),0),"Lebih",IF(IFERROR(--(INDEX('Reguler Class Availability'!$G:$G,N118)&amp;""),0)=IFERROR(--(INDEX('Reguler Class Availability'!$F:$F,N118)&amp;""),0),"Penuh",IF(IFERROR(--(INDEX('Reguler Class Availability'!$G:$G,N118)&amp;""),0)=0,IF(INDEX('Reguler Class Availability'!$B:$B,N118)&amp;""="","Kosong","Belum terisi"),IF(IFERROR(--(INDEX('Reguler Class Availability'!$G:$G,N118)&amp;""),0)/IFERROR(--(INDEX('Reguler Class Availability'!$F:$F,N118)&amp;""),0)&gt;=0.6,"Tinggi","Sebagian"))))))</f>
        <v/>
      </c>
      <c r="W118" s="0" t="str">
        <f aca="false">IF(O118="","",IF(AND(IFERROR(--(INDEX('Reguler Class Availability'!$F:$F,O118)&amp;""),0)=0,IFERROR(--(INDEX('Reguler Class Availability'!$G:$G,O118)&amp;""),0)=0),IF(OR(INDEX('Reguler Class Availability'!$B:$B,O118)&amp;""&lt;&gt;"",INDEX('Reguler Class Availability'!$I:$I,O118)&amp;""&lt;&gt;""),"Tutup","Tidak dibuka"),IF(IFERROR(--(INDEX('Reguler Class Availability'!$G:$G,O118)&amp;""),0)&gt;IFERROR(--(INDEX('Reguler Class Availability'!$F:$F,O118)&amp;""),0),"Lebih",IF(IFERROR(--(INDEX('Reguler Class Availability'!$G:$G,O118)&amp;""),0)=IFERROR(--(INDEX('Reguler Class Availability'!$F:$F,O118)&amp;""),0),"Penuh",IF(IFERROR(--(INDEX('Reguler Class Availability'!$G:$G,O118)&amp;""),0)=0,IF(INDEX('Reguler Class Availability'!$B:$B,O118)&amp;""="","Kosong","Belum terisi"),IF(IFERROR(--(INDEX('Reguler Class Availability'!$G:$G,O118)&amp;""),0)/IFERROR(--(INDEX('Reguler Class Availability'!$F:$F,O118)&amp;""),0)&gt;=0.6,"Tinggi","Sebagian"))))))</f>
        <v/>
      </c>
      <c r="X118" s="0" t="str">
        <f aca="false">IF(P118="","",IF(AND(IFERROR(--(INDEX('Reguler Class Availability'!$F:$F,P118)&amp;""),0)=0,IFERROR(--(INDEX('Reguler Class Availability'!$G:$G,P118)&amp;""),0)=0),IF(OR(INDEX('Reguler Class Availability'!$B:$B,P118)&amp;""&lt;&gt;"",INDEX('Reguler Class Availability'!$I:$I,P118)&amp;""&lt;&gt;""),"Tutup","Tidak dibuka"),IF(IFERROR(--(INDEX('Reguler Class Availability'!$G:$G,P118)&amp;""),0)&gt;IFERROR(--(INDEX('Reguler Class Availability'!$F:$F,P118)&amp;""),0),"Lebih",IF(IFERROR(--(INDEX('Reguler Class Availability'!$G:$G,P118)&amp;""),0)=IFERROR(--(INDEX('Reguler Class Availability'!$F:$F,P118)&amp;""),0),"Penuh",IF(IFERROR(--(INDEX('Reguler Class Availability'!$G:$G,P118)&amp;""),0)=0,IF(INDEX('Reguler Class Availability'!$B:$B,P118)&amp;""="","Kosong","Belum terisi"),IF(IFERROR(--(INDEX('Reguler Class Availability'!$G:$G,P118)&amp;""),0)/IFERROR(--(INDEX('Reguler Class Availability'!$F:$F,P118)&amp;""),0)&gt;=0.6,"Tinggi","Sebagian"))))))</f>
        <v/>
      </c>
      <c r="Z118" s="4" t="s">
        <v>94</v>
      </c>
      <c r="AA118" s="4" t="n">
        <f aca="false">IF(COUNTIFS('Reguler Class Availability'!$L:$L,$B$4&amp;"|- Lane 2 - *|"&amp;Z118)&gt;0,1,0)</f>
        <v>0</v>
      </c>
      <c r="AB118" s="4" t="n">
        <f aca="false">AA118+AB117</f>
        <v>12</v>
      </c>
    </row>
    <row r="119" customFormat="false" ht="39.75" hidden="false" customHeight="true" outlineLevel="0" collapsed="false">
      <c r="A119" s="39" t="str">
        <f aca="false">IFERROR(INDEX($Z$302:$Z$361,MATCH(14,$AB$302:$AB$361,0)),"")</f>
        <v/>
      </c>
      <c r="B119" s="40" t="str">
        <f aca="false">IF(J119="","",IF(R119="Tidak dibuka","–",IF(INDEX('Reguler Class Availability'!$B:$B,J119)&amp;""="","Kosong",PROPER(INDEX('Reguler Class Availability'!$B:$B,J119)&amp;""))&amp;"  "&amp;IFERROR(--(INDEX('Reguler Class Availability'!$G:$G,J119)&amp;""),0)&amp;"/"&amp;IFERROR(--(INDEX('Reguler Class Availability'!$F:$F,J119)&amp;""),0)&amp;IF(IFERROR(--(INDEX('Reguler Class Availability'!$F:$F,J119)&amp;""),0)&gt;0,"  ("&amp;TEXT(IFERROR(--(INDEX('Reguler Class Availability'!$G:$G,J119)&amp;""),0)/IFERROR(--(INDEX('Reguler Class Availability'!$F:$F,J119)&amp;""),0),"0%")&amp;")","")&amp;CHAR(10)&amp;IF(INDEX('Reguler Class Availability'!$I:$I,J119)&amp;""="","coach: –",PROPER(INDEX('Reguler Class Availability'!$I:$I,J119)&amp;""))&amp;IF(INDEX('Reguler Class Availability'!$J:$J,J119)&amp;""="","",CHAR(10)&amp;"asst: "&amp;PROPER(INDEX('Reguler Class Availability'!$J:$J,J119)&amp;""))))</f>
        <v/>
      </c>
      <c r="C119" s="40" t="str">
        <f aca="false">IF(K119="","",IF(S119="Tidak dibuka","–",IF(INDEX('Reguler Class Availability'!$B:$B,K119)&amp;""="","Kosong",PROPER(INDEX('Reguler Class Availability'!$B:$B,K119)&amp;""))&amp;"  "&amp;IFERROR(--(INDEX('Reguler Class Availability'!$G:$G,K119)&amp;""),0)&amp;"/"&amp;IFERROR(--(INDEX('Reguler Class Availability'!$F:$F,K119)&amp;""),0)&amp;IF(IFERROR(--(INDEX('Reguler Class Availability'!$F:$F,K119)&amp;""),0)&gt;0,"  ("&amp;TEXT(IFERROR(--(INDEX('Reguler Class Availability'!$G:$G,K119)&amp;""),0)/IFERROR(--(INDEX('Reguler Class Availability'!$F:$F,K119)&amp;""),0),"0%")&amp;")","")&amp;CHAR(10)&amp;IF(INDEX('Reguler Class Availability'!$I:$I,K119)&amp;""="","coach: –",PROPER(INDEX('Reguler Class Availability'!$I:$I,K119)&amp;""))&amp;IF(INDEX('Reguler Class Availability'!$J:$J,K119)&amp;""="","",CHAR(10)&amp;"asst: "&amp;PROPER(INDEX('Reguler Class Availability'!$J:$J,K119)&amp;""))))</f>
        <v/>
      </c>
      <c r="D119" s="40" t="str">
        <f aca="false">IF(L119="","",IF(T119="Tidak dibuka","–",IF(INDEX('Reguler Class Availability'!$B:$B,L119)&amp;""="","Kosong",PROPER(INDEX('Reguler Class Availability'!$B:$B,L119)&amp;""))&amp;"  "&amp;IFERROR(--(INDEX('Reguler Class Availability'!$G:$G,L119)&amp;""),0)&amp;"/"&amp;IFERROR(--(INDEX('Reguler Class Availability'!$F:$F,L119)&amp;""),0)&amp;IF(IFERROR(--(INDEX('Reguler Class Availability'!$F:$F,L119)&amp;""),0)&gt;0,"  ("&amp;TEXT(IFERROR(--(INDEX('Reguler Class Availability'!$G:$G,L119)&amp;""),0)/IFERROR(--(INDEX('Reguler Class Availability'!$F:$F,L119)&amp;""),0),"0%")&amp;")","")&amp;CHAR(10)&amp;IF(INDEX('Reguler Class Availability'!$I:$I,L119)&amp;""="","coach: –",PROPER(INDEX('Reguler Class Availability'!$I:$I,L119)&amp;""))&amp;IF(INDEX('Reguler Class Availability'!$J:$J,L119)&amp;""="","",CHAR(10)&amp;"asst: "&amp;PROPER(INDEX('Reguler Class Availability'!$J:$J,L119)&amp;""))))</f>
        <v/>
      </c>
      <c r="E119" s="40" t="str">
        <f aca="false">IF(M119="","",IF(U119="Tidak dibuka","–",IF(INDEX('Reguler Class Availability'!$B:$B,M119)&amp;""="","Kosong",PROPER(INDEX('Reguler Class Availability'!$B:$B,M119)&amp;""))&amp;"  "&amp;IFERROR(--(INDEX('Reguler Class Availability'!$G:$G,M119)&amp;""),0)&amp;"/"&amp;IFERROR(--(INDEX('Reguler Class Availability'!$F:$F,M119)&amp;""),0)&amp;IF(IFERROR(--(INDEX('Reguler Class Availability'!$F:$F,M119)&amp;""),0)&gt;0,"  ("&amp;TEXT(IFERROR(--(INDEX('Reguler Class Availability'!$G:$G,M119)&amp;""),0)/IFERROR(--(INDEX('Reguler Class Availability'!$F:$F,M119)&amp;""),0),"0%")&amp;")","")&amp;CHAR(10)&amp;IF(INDEX('Reguler Class Availability'!$I:$I,M119)&amp;""="","coach: –",PROPER(INDEX('Reguler Class Availability'!$I:$I,M119)&amp;""))&amp;IF(INDEX('Reguler Class Availability'!$J:$J,M119)&amp;""="","",CHAR(10)&amp;"asst: "&amp;PROPER(INDEX('Reguler Class Availability'!$J:$J,M119)&amp;""))))</f>
        <v/>
      </c>
      <c r="F119" s="40" t="str">
        <f aca="false">IF(N119="","",IF(V119="Tidak dibuka","–",IF(INDEX('Reguler Class Availability'!$B:$B,N119)&amp;""="","Kosong",PROPER(INDEX('Reguler Class Availability'!$B:$B,N119)&amp;""))&amp;"  "&amp;IFERROR(--(INDEX('Reguler Class Availability'!$G:$G,N119)&amp;""),0)&amp;"/"&amp;IFERROR(--(INDEX('Reguler Class Availability'!$F:$F,N119)&amp;""),0)&amp;IF(IFERROR(--(INDEX('Reguler Class Availability'!$F:$F,N119)&amp;""),0)&gt;0,"  ("&amp;TEXT(IFERROR(--(INDEX('Reguler Class Availability'!$G:$G,N119)&amp;""),0)/IFERROR(--(INDEX('Reguler Class Availability'!$F:$F,N119)&amp;""),0),"0%")&amp;")","")&amp;CHAR(10)&amp;IF(INDEX('Reguler Class Availability'!$I:$I,N119)&amp;""="","coach: –",PROPER(INDEX('Reguler Class Availability'!$I:$I,N119)&amp;""))&amp;IF(INDEX('Reguler Class Availability'!$J:$J,N119)&amp;""="","",CHAR(10)&amp;"asst: "&amp;PROPER(INDEX('Reguler Class Availability'!$J:$J,N119)&amp;""))))</f>
        <v/>
      </c>
      <c r="G119" s="40" t="str">
        <f aca="false">IF(O119="","",IF(W119="Tidak dibuka","–",IF(INDEX('Reguler Class Availability'!$B:$B,O119)&amp;""="","Kosong",PROPER(INDEX('Reguler Class Availability'!$B:$B,O119)&amp;""))&amp;"  "&amp;IFERROR(--(INDEX('Reguler Class Availability'!$G:$G,O119)&amp;""),0)&amp;"/"&amp;IFERROR(--(INDEX('Reguler Class Availability'!$F:$F,O119)&amp;""),0)&amp;IF(IFERROR(--(INDEX('Reguler Class Availability'!$F:$F,O119)&amp;""),0)&gt;0,"  ("&amp;TEXT(IFERROR(--(INDEX('Reguler Class Availability'!$G:$G,O119)&amp;""),0)/IFERROR(--(INDEX('Reguler Class Availability'!$F:$F,O119)&amp;""),0),"0%")&amp;")","")&amp;CHAR(10)&amp;IF(INDEX('Reguler Class Availability'!$I:$I,O119)&amp;""="","coach: –",PROPER(INDEX('Reguler Class Availability'!$I:$I,O119)&amp;""))&amp;IF(INDEX('Reguler Class Availability'!$J:$J,O119)&amp;""="","",CHAR(10)&amp;"asst: "&amp;PROPER(INDEX('Reguler Class Availability'!$J:$J,O119)&amp;""))))</f>
        <v/>
      </c>
      <c r="H119" s="40" t="str">
        <f aca="false">IF(P119="","",IF(X119="Tidak dibuka","–",IF(INDEX('Reguler Class Availability'!$B:$B,P119)&amp;""="","Kosong",PROPER(INDEX('Reguler Class Availability'!$B:$B,P119)&amp;""))&amp;"  "&amp;IFERROR(--(INDEX('Reguler Class Availability'!$G:$G,P119)&amp;""),0)&amp;"/"&amp;IFERROR(--(INDEX('Reguler Class Availability'!$F:$F,P119)&amp;""),0)&amp;IF(IFERROR(--(INDEX('Reguler Class Availability'!$F:$F,P119)&amp;""),0)&gt;0,"  ("&amp;TEXT(IFERROR(--(INDEX('Reguler Class Availability'!$G:$G,P119)&amp;""),0)/IFERROR(--(INDEX('Reguler Class Availability'!$F:$F,P119)&amp;""),0),"0%")&amp;")","")&amp;CHAR(10)&amp;IF(INDEX('Reguler Class Availability'!$I:$I,P119)&amp;""="","coach: –",PROPER(INDEX('Reguler Class Availability'!$I:$I,P119)&amp;""))&amp;IF(INDEX('Reguler Class Availability'!$J:$J,P119)&amp;""="","",CHAR(10)&amp;"asst: "&amp;PROPER(INDEX('Reguler Class Availability'!$J:$J,P119)&amp;""))))</f>
        <v/>
      </c>
      <c r="J119" s="0" t="str">
        <f aca="false">IF($A119="","",IFERROR(MATCH($B$4&amp;"|- Lane 6 - "&amp;B$105&amp;"|"&amp;$A119,'Reguler Class Availability'!$L:$L,0),""))</f>
        <v/>
      </c>
      <c r="K119" s="0" t="str">
        <f aca="false">IF($A119="","",IFERROR(MATCH($B$4&amp;"|- Lane 6 - "&amp;C$105&amp;"|"&amp;$A119,'Reguler Class Availability'!$L:$L,0),""))</f>
        <v/>
      </c>
      <c r="L119" s="0" t="str">
        <f aca="false">IF($A119="","",IFERROR(MATCH($B$4&amp;"|- Lane 6 - "&amp;D$105&amp;"|"&amp;$A119,'Reguler Class Availability'!$L:$L,0),""))</f>
        <v/>
      </c>
      <c r="M119" s="0" t="str">
        <f aca="false">IF($A119="","",IFERROR(MATCH($B$4&amp;"|- Lane 6 - "&amp;E$105&amp;"|"&amp;$A119,'Reguler Class Availability'!$L:$L,0),""))</f>
        <v/>
      </c>
      <c r="N119" s="0" t="str">
        <f aca="false">IF($A119="","",IFERROR(MATCH($B$4&amp;"|- Lane 6 - "&amp;F$105&amp;"|"&amp;$A119,'Reguler Class Availability'!$L:$L,0),""))</f>
        <v/>
      </c>
      <c r="O119" s="0" t="str">
        <f aca="false">IF($A119="","",IFERROR(MATCH($B$4&amp;"|- Lane 6 - "&amp;G$105&amp;"|"&amp;$A119,'Reguler Class Availability'!$L:$L,0),""))</f>
        <v/>
      </c>
      <c r="P119" s="0" t="str">
        <f aca="false">IF($A119="","",IFERROR(MATCH($B$4&amp;"|- Lane 6 - "&amp;H$105&amp;"|"&amp;$A119,'Reguler Class Availability'!$L:$L,0),""))</f>
        <v/>
      </c>
      <c r="R119" s="0" t="str">
        <f aca="false">IF(J119="","",IF(AND(IFERROR(--(INDEX('Reguler Class Availability'!$F:$F,J119)&amp;""),0)=0,IFERROR(--(INDEX('Reguler Class Availability'!$G:$G,J119)&amp;""),0)=0),IF(OR(INDEX('Reguler Class Availability'!$B:$B,J119)&amp;""&lt;&gt;"",INDEX('Reguler Class Availability'!$I:$I,J119)&amp;""&lt;&gt;""),"Tutup","Tidak dibuka"),IF(IFERROR(--(INDEX('Reguler Class Availability'!$G:$G,J119)&amp;""),0)&gt;IFERROR(--(INDEX('Reguler Class Availability'!$F:$F,J119)&amp;""),0),"Lebih",IF(IFERROR(--(INDEX('Reguler Class Availability'!$G:$G,J119)&amp;""),0)=IFERROR(--(INDEX('Reguler Class Availability'!$F:$F,J119)&amp;""),0),"Penuh",IF(IFERROR(--(INDEX('Reguler Class Availability'!$G:$G,J119)&amp;""),0)=0,IF(INDEX('Reguler Class Availability'!$B:$B,J119)&amp;""="","Kosong","Belum terisi"),IF(IFERROR(--(INDEX('Reguler Class Availability'!$G:$G,J119)&amp;""),0)/IFERROR(--(INDEX('Reguler Class Availability'!$F:$F,J119)&amp;""),0)&gt;=0.6,"Tinggi","Sebagian"))))))</f>
        <v/>
      </c>
      <c r="S119" s="0" t="str">
        <f aca="false">IF(K119="","",IF(AND(IFERROR(--(INDEX('Reguler Class Availability'!$F:$F,K119)&amp;""),0)=0,IFERROR(--(INDEX('Reguler Class Availability'!$G:$G,K119)&amp;""),0)=0),IF(OR(INDEX('Reguler Class Availability'!$B:$B,K119)&amp;""&lt;&gt;"",INDEX('Reguler Class Availability'!$I:$I,K119)&amp;""&lt;&gt;""),"Tutup","Tidak dibuka"),IF(IFERROR(--(INDEX('Reguler Class Availability'!$G:$G,K119)&amp;""),0)&gt;IFERROR(--(INDEX('Reguler Class Availability'!$F:$F,K119)&amp;""),0),"Lebih",IF(IFERROR(--(INDEX('Reguler Class Availability'!$G:$G,K119)&amp;""),0)=IFERROR(--(INDEX('Reguler Class Availability'!$F:$F,K119)&amp;""),0),"Penuh",IF(IFERROR(--(INDEX('Reguler Class Availability'!$G:$G,K119)&amp;""),0)=0,IF(INDEX('Reguler Class Availability'!$B:$B,K119)&amp;""="","Kosong","Belum terisi"),IF(IFERROR(--(INDEX('Reguler Class Availability'!$G:$G,K119)&amp;""),0)/IFERROR(--(INDEX('Reguler Class Availability'!$F:$F,K119)&amp;""),0)&gt;=0.6,"Tinggi","Sebagian"))))))</f>
        <v/>
      </c>
      <c r="T119" s="0" t="str">
        <f aca="false">IF(L119="","",IF(AND(IFERROR(--(INDEX('Reguler Class Availability'!$F:$F,L119)&amp;""),0)=0,IFERROR(--(INDEX('Reguler Class Availability'!$G:$G,L119)&amp;""),0)=0),IF(OR(INDEX('Reguler Class Availability'!$B:$B,L119)&amp;""&lt;&gt;"",INDEX('Reguler Class Availability'!$I:$I,L119)&amp;""&lt;&gt;""),"Tutup","Tidak dibuka"),IF(IFERROR(--(INDEX('Reguler Class Availability'!$G:$G,L119)&amp;""),0)&gt;IFERROR(--(INDEX('Reguler Class Availability'!$F:$F,L119)&amp;""),0),"Lebih",IF(IFERROR(--(INDEX('Reguler Class Availability'!$G:$G,L119)&amp;""),0)=IFERROR(--(INDEX('Reguler Class Availability'!$F:$F,L119)&amp;""),0),"Penuh",IF(IFERROR(--(INDEX('Reguler Class Availability'!$G:$G,L119)&amp;""),0)=0,IF(INDEX('Reguler Class Availability'!$B:$B,L119)&amp;""="","Kosong","Belum terisi"),IF(IFERROR(--(INDEX('Reguler Class Availability'!$G:$G,L119)&amp;""),0)/IFERROR(--(INDEX('Reguler Class Availability'!$F:$F,L119)&amp;""),0)&gt;=0.6,"Tinggi","Sebagian"))))))</f>
        <v/>
      </c>
      <c r="U119" s="0" t="str">
        <f aca="false">IF(M119="","",IF(AND(IFERROR(--(INDEX('Reguler Class Availability'!$F:$F,M119)&amp;""),0)=0,IFERROR(--(INDEX('Reguler Class Availability'!$G:$G,M119)&amp;""),0)=0),IF(OR(INDEX('Reguler Class Availability'!$B:$B,M119)&amp;""&lt;&gt;"",INDEX('Reguler Class Availability'!$I:$I,M119)&amp;""&lt;&gt;""),"Tutup","Tidak dibuka"),IF(IFERROR(--(INDEX('Reguler Class Availability'!$G:$G,M119)&amp;""),0)&gt;IFERROR(--(INDEX('Reguler Class Availability'!$F:$F,M119)&amp;""),0),"Lebih",IF(IFERROR(--(INDEX('Reguler Class Availability'!$G:$G,M119)&amp;""),0)=IFERROR(--(INDEX('Reguler Class Availability'!$F:$F,M119)&amp;""),0),"Penuh",IF(IFERROR(--(INDEX('Reguler Class Availability'!$G:$G,M119)&amp;""),0)=0,IF(INDEX('Reguler Class Availability'!$B:$B,M119)&amp;""="","Kosong","Belum terisi"),IF(IFERROR(--(INDEX('Reguler Class Availability'!$G:$G,M119)&amp;""),0)/IFERROR(--(INDEX('Reguler Class Availability'!$F:$F,M119)&amp;""),0)&gt;=0.6,"Tinggi","Sebagian"))))))</f>
        <v/>
      </c>
      <c r="V119" s="0" t="str">
        <f aca="false">IF(N119="","",IF(AND(IFERROR(--(INDEX('Reguler Class Availability'!$F:$F,N119)&amp;""),0)=0,IFERROR(--(INDEX('Reguler Class Availability'!$G:$G,N119)&amp;""),0)=0),IF(OR(INDEX('Reguler Class Availability'!$B:$B,N119)&amp;""&lt;&gt;"",INDEX('Reguler Class Availability'!$I:$I,N119)&amp;""&lt;&gt;""),"Tutup","Tidak dibuka"),IF(IFERROR(--(INDEX('Reguler Class Availability'!$G:$G,N119)&amp;""),0)&gt;IFERROR(--(INDEX('Reguler Class Availability'!$F:$F,N119)&amp;""),0),"Lebih",IF(IFERROR(--(INDEX('Reguler Class Availability'!$G:$G,N119)&amp;""),0)=IFERROR(--(INDEX('Reguler Class Availability'!$F:$F,N119)&amp;""),0),"Penuh",IF(IFERROR(--(INDEX('Reguler Class Availability'!$G:$G,N119)&amp;""),0)=0,IF(INDEX('Reguler Class Availability'!$B:$B,N119)&amp;""="","Kosong","Belum terisi"),IF(IFERROR(--(INDEX('Reguler Class Availability'!$G:$G,N119)&amp;""),0)/IFERROR(--(INDEX('Reguler Class Availability'!$F:$F,N119)&amp;""),0)&gt;=0.6,"Tinggi","Sebagian"))))))</f>
        <v/>
      </c>
      <c r="W119" s="0" t="str">
        <f aca="false">IF(O119="","",IF(AND(IFERROR(--(INDEX('Reguler Class Availability'!$F:$F,O119)&amp;""),0)=0,IFERROR(--(INDEX('Reguler Class Availability'!$G:$G,O119)&amp;""),0)=0),IF(OR(INDEX('Reguler Class Availability'!$B:$B,O119)&amp;""&lt;&gt;"",INDEX('Reguler Class Availability'!$I:$I,O119)&amp;""&lt;&gt;""),"Tutup","Tidak dibuka"),IF(IFERROR(--(INDEX('Reguler Class Availability'!$G:$G,O119)&amp;""),0)&gt;IFERROR(--(INDEX('Reguler Class Availability'!$F:$F,O119)&amp;""),0),"Lebih",IF(IFERROR(--(INDEX('Reguler Class Availability'!$G:$G,O119)&amp;""),0)=IFERROR(--(INDEX('Reguler Class Availability'!$F:$F,O119)&amp;""),0),"Penuh",IF(IFERROR(--(INDEX('Reguler Class Availability'!$G:$G,O119)&amp;""),0)=0,IF(INDEX('Reguler Class Availability'!$B:$B,O119)&amp;""="","Kosong","Belum terisi"),IF(IFERROR(--(INDEX('Reguler Class Availability'!$G:$G,O119)&amp;""),0)/IFERROR(--(INDEX('Reguler Class Availability'!$F:$F,O119)&amp;""),0)&gt;=0.6,"Tinggi","Sebagian"))))))</f>
        <v/>
      </c>
      <c r="X119" s="0" t="str">
        <f aca="false">IF(P119="","",IF(AND(IFERROR(--(INDEX('Reguler Class Availability'!$F:$F,P119)&amp;""),0)=0,IFERROR(--(INDEX('Reguler Class Availability'!$G:$G,P119)&amp;""),0)=0),IF(OR(INDEX('Reguler Class Availability'!$B:$B,P119)&amp;""&lt;&gt;"",INDEX('Reguler Class Availability'!$I:$I,P119)&amp;""&lt;&gt;""),"Tutup","Tidak dibuka"),IF(IFERROR(--(INDEX('Reguler Class Availability'!$G:$G,P119)&amp;""),0)&gt;IFERROR(--(INDEX('Reguler Class Availability'!$F:$F,P119)&amp;""),0),"Lebih",IF(IFERROR(--(INDEX('Reguler Class Availability'!$G:$G,P119)&amp;""),0)=IFERROR(--(INDEX('Reguler Class Availability'!$F:$F,P119)&amp;""),0),"Penuh",IF(IFERROR(--(INDEX('Reguler Class Availability'!$G:$G,P119)&amp;""),0)=0,IF(INDEX('Reguler Class Availability'!$B:$B,P119)&amp;""="","Kosong","Belum terisi"),IF(IFERROR(--(INDEX('Reguler Class Availability'!$G:$G,P119)&amp;""),0)/IFERROR(--(INDEX('Reguler Class Availability'!$F:$F,P119)&amp;""),0)&gt;=0.6,"Tinggi","Sebagian"))))))</f>
        <v/>
      </c>
      <c r="Z119" s="4" t="s">
        <v>95</v>
      </c>
      <c r="AA119" s="4" t="n">
        <f aca="false">IF(COUNTIFS('Reguler Class Availability'!$L:$L,$B$4&amp;"|- Lane 2 - *|"&amp;Z119)&gt;0,1,0)</f>
        <v>0</v>
      </c>
      <c r="AB119" s="4" t="n">
        <f aca="false">AA119+AB118</f>
        <v>12</v>
      </c>
    </row>
    <row r="120" customFormat="false" ht="15" hidden="false" customHeight="false" outlineLevel="0" collapsed="false">
      <c r="A120" s="41" t="s">
        <v>63</v>
      </c>
      <c r="B120" s="42" t="str">
        <f aca="false">IFERROR(TEXT(SUMIFS('Reguler Class Availability'!$G:$G,'Reguler Class Availability'!$A:$A,$B$4,'Reguler Class Availability'!$C:$C,"- Lane 6 - "&amp;B$105,'Reguler Class Availability'!$F:$F,"&gt;0")/SUMIFS('Reguler Class Availability'!$F:$F,'Reguler Class Availability'!$A:$A,$B$4,'Reguler Class Availability'!$C:$C,"- Lane 6 - "&amp;B$105,'Reguler Class Availability'!$F:$F,"&gt;0"),"0%"),"–")</f>
        <v>–</v>
      </c>
      <c r="C120" s="42" t="str">
        <f aca="false">IFERROR(TEXT(SUMIFS('Reguler Class Availability'!$G:$G,'Reguler Class Availability'!$A:$A,$B$4,'Reguler Class Availability'!$C:$C,"- Lane 6 - "&amp;C$105,'Reguler Class Availability'!$F:$F,"&gt;0")/SUMIFS('Reguler Class Availability'!$F:$F,'Reguler Class Availability'!$A:$A,$B$4,'Reguler Class Availability'!$C:$C,"- Lane 6 - "&amp;C$105,'Reguler Class Availability'!$F:$F,"&gt;0"),"0%"),"–")</f>
        <v>–</v>
      </c>
      <c r="D120" s="42" t="str">
        <f aca="false">IFERROR(TEXT(SUMIFS('Reguler Class Availability'!$G:$G,'Reguler Class Availability'!$A:$A,$B$4,'Reguler Class Availability'!$C:$C,"- Lane 6 - "&amp;D$105,'Reguler Class Availability'!$F:$F,"&gt;0")/SUMIFS('Reguler Class Availability'!$F:$F,'Reguler Class Availability'!$A:$A,$B$4,'Reguler Class Availability'!$C:$C,"- Lane 6 - "&amp;D$105,'Reguler Class Availability'!$F:$F,"&gt;0"),"0%"),"–")</f>
        <v>–</v>
      </c>
      <c r="E120" s="42" t="str">
        <f aca="false">IFERROR(TEXT(SUMIFS('Reguler Class Availability'!$G:$G,'Reguler Class Availability'!$A:$A,$B$4,'Reguler Class Availability'!$C:$C,"- Lane 6 - "&amp;E$105,'Reguler Class Availability'!$F:$F,"&gt;0")/SUMIFS('Reguler Class Availability'!$F:$F,'Reguler Class Availability'!$A:$A,$B$4,'Reguler Class Availability'!$C:$C,"- Lane 6 - "&amp;E$105,'Reguler Class Availability'!$F:$F,"&gt;0"),"0%"),"–")</f>
        <v>–</v>
      </c>
      <c r="F120" s="42" t="str">
        <f aca="false">IFERROR(TEXT(SUMIFS('Reguler Class Availability'!$G:$G,'Reguler Class Availability'!$A:$A,$B$4,'Reguler Class Availability'!$C:$C,"- Lane 6 - "&amp;F$105,'Reguler Class Availability'!$F:$F,"&gt;0")/SUMIFS('Reguler Class Availability'!$F:$F,'Reguler Class Availability'!$A:$A,$B$4,'Reguler Class Availability'!$C:$C,"- Lane 6 - "&amp;F$105,'Reguler Class Availability'!$F:$F,"&gt;0"),"0%"),"–")</f>
        <v>–</v>
      </c>
      <c r="G120" s="42" t="str">
        <f aca="false">IFERROR(TEXT(SUMIFS('Reguler Class Availability'!$G:$G,'Reguler Class Availability'!$A:$A,$B$4,'Reguler Class Availability'!$C:$C,"- Lane 6 - "&amp;G$105,'Reguler Class Availability'!$F:$F,"&gt;0")/SUMIFS('Reguler Class Availability'!$F:$F,'Reguler Class Availability'!$A:$A,$B$4,'Reguler Class Availability'!$C:$C,"- Lane 6 - "&amp;G$105,'Reguler Class Availability'!$F:$F,"&gt;0"),"0%"),"–")</f>
        <v>–</v>
      </c>
      <c r="H120" s="42" t="str">
        <f aca="false">IFERROR(TEXT(SUMIFS('Reguler Class Availability'!$G:$G,'Reguler Class Availability'!$A:$A,$B$4,'Reguler Class Availability'!$C:$C,"- Lane 6 - "&amp;H$105,'Reguler Class Availability'!$F:$F,"&gt;0")/SUMIFS('Reguler Class Availability'!$F:$F,'Reguler Class Availability'!$A:$A,$B$4,'Reguler Class Availability'!$C:$C,"- Lane 6 - "&amp;H$105,'Reguler Class Availability'!$F:$F,"&gt;0"),"0%"),"–")</f>
        <v>–</v>
      </c>
      <c r="Z120" s="4" t="s">
        <v>96</v>
      </c>
      <c r="AA120" s="4" t="n">
        <f aca="false">IF(COUNTIFS('Reguler Class Availability'!$L:$L,$B$4&amp;"|- Lane 2 - *|"&amp;Z120)&gt;0,1,0)</f>
        <v>0</v>
      </c>
      <c r="AB120" s="4" t="n">
        <f aca="false">AA120+AB119</f>
        <v>12</v>
      </c>
    </row>
    <row r="121" customFormat="false" ht="15" hidden="false" customHeight="false" outlineLevel="0" collapsed="false">
      <c r="Z121" s="0" t="s">
        <v>97</v>
      </c>
      <c r="AA121" s="0" t="n">
        <f aca="false">IF(COUNTIFS('Reguler Class Availability'!$L:$L,$B$4&amp;"|- Lane 2 - *|"&amp;Z121)&gt;0,1,0)</f>
        <v>0</v>
      </c>
      <c r="AB121" s="0" t="n">
        <f aca="false">AA121+AB120</f>
        <v>12</v>
      </c>
    </row>
    <row r="122" customFormat="false" ht="15" hidden="false" customHeight="false" outlineLevel="0" collapsed="false">
      <c r="A122" s="43" t="s">
        <v>101</v>
      </c>
      <c r="Z122" s="4" t="s">
        <v>3</v>
      </c>
      <c r="AA122" s="4" t="n">
        <f aca="false">IF(COUNTIFS('Reguler Class Availability'!$L:$L,$B$4&amp;"|- Lane 3 - *|"&amp;Z122)&gt;0,1,0)</f>
        <v>0</v>
      </c>
      <c r="AB122" s="4" t="n">
        <f aca="false">AA122</f>
        <v>0</v>
      </c>
    </row>
    <row r="123" customFormat="false" ht="15" hidden="false" customHeight="false" outlineLevel="0" collapsed="false">
      <c r="Z123" s="0" t="s">
        <v>4</v>
      </c>
      <c r="AA123" s="0" t="n">
        <f aca="false">IF(COUNTIFS('Reguler Class Availability'!$L:$L,$B$4&amp;"|- Lane 3 - *|"&amp;Z123)&gt;0,1,0)</f>
        <v>0</v>
      </c>
      <c r="AB123" s="0" t="n">
        <f aca="false">AA123+AB122</f>
        <v>0</v>
      </c>
    </row>
    <row r="124" customFormat="false" ht="15" hidden="false" customHeight="false" outlineLevel="0" collapsed="false">
      <c r="Z124" s="0" t="s">
        <v>8</v>
      </c>
      <c r="AA124" s="0" t="n">
        <f aca="false">IF(COUNTIFS('Reguler Class Availability'!$L:$L,$B$4&amp;"|- Lane 3 - *|"&amp;Z124)&gt;0,1,0)</f>
        <v>0</v>
      </c>
      <c r="AB124" s="0" t="n">
        <f aca="false">AA124+AB123</f>
        <v>0</v>
      </c>
    </row>
    <row r="125" customFormat="false" ht="15" hidden="false" customHeight="false" outlineLevel="0" collapsed="false">
      <c r="Z125" s="0" t="s">
        <v>9</v>
      </c>
      <c r="AA125" s="0" t="n">
        <f aca="false">IF(COUNTIFS('Reguler Class Availability'!$L:$L,$B$4&amp;"|- Lane 3 - *|"&amp;Z125)&gt;0,1,0)</f>
        <v>0</v>
      </c>
      <c r="AB125" s="0" t="n">
        <f aca="false">AA125+AB124</f>
        <v>0</v>
      </c>
    </row>
    <row r="126" customFormat="false" ht="15" hidden="false" customHeight="false" outlineLevel="0" collapsed="false">
      <c r="Z126" s="0" t="s">
        <v>18</v>
      </c>
      <c r="AA126" s="0" t="n">
        <f aca="false">IF(COUNTIFS('Reguler Class Availability'!$L:$L,$B$4&amp;"|- Lane 3 - *|"&amp;Z126)&gt;0,1,0)</f>
        <v>0</v>
      </c>
      <c r="AB126" s="0" t="n">
        <f aca="false">AA126+AB125</f>
        <v>0</v>
      </c>
    </row>
    <row r="127" customFormat="false" ht="15" hidden="false" customHeight="false" outlineLevel="0" collapsed="false">
      <c r="Z127" s="0" t="s">
        <v>19</v>
      </c>
      <c r="AA127" s="0" t="n">
        <f aca="false">IF(COUNTIFS('Reguler Class Availability'!$L:$L,$B$4&amp;"|- Lane 3 - *|"&amp;Z127)&gt;0,1,0)</f>
        <v>0</v>
      </c>
      <c r="AB127" s="0" t="n">
        <f aca="false">AA127+AB126</f>
        <v>0</v>
      </c>
    </row>
    <row r="128" customFormat="false" ht="15" hidden="false" customHeight="false" outlineLevel="0" collapsed="false">
      <c r="Z128" s="0" t="s">
        <v>20</v>
      </c>
      <c r="AA128" s="0" t="n">
        <f aca="false">IF(COUNTIFS('Reguler Class Availability'!$L:$L,$B$4&amp;"|- Lane 3 - *|"&amp;Z128)&gt;0,1,0)</f>
        <v>0</v>
      </c>
      <c r="AB128" s="0" t="n">
        <f aca="false">AA128+AB127</f>
        <v>0</v>
      </c>
    </row>
    <row r="129" customFormat="false" ht="15" hidden="false" customHeight="false" outlineLevel="0" collapsed="false">
      <c r="Z129" s="0" t="s">
        <v>27</v>
      </c>
      <c r="AA129" s="0" t="n">
        <f aca="false">IF(COUNTIFS('Reguler Class Availability'!$L:$L,$B$4&amp;"|- Lane 3 - *|"&amp;Z129)&gt;0,1,0)</f>
        <v>0</v>
      </c>
      <c r="AB129" s="0" t="n">
        <f aca="false">AA129+AB128</f>
        <v>0</v>
      </c>
    </row>
    <row r="130" customFormat="false" ht="15" hidden="false" customHeight="false" outlineLevel="0" collapsed="false">
      <c r="Z130" s="0" t="s">
        <v>34</v>
      </c>
      <c r="AA130" s="0" t="n">
        <f aca="false">IF(COUNTIFS('Reguler Class Availability'!$L:$L,$B$4&amp;"|- Lane 3 - *|"&amp;Z130)&gt;0,1,0)</f>
        <v>1</v>
      </c>
      <c r="AB130" s="0" t="n">
        <f aca="false">AA130+AB129</f>
        <v>1</v>
      </c>
    </row>
    <row r="131" customFormat="false" ht="15" hidden="false" customHeight="false" outlineLevel="0" collapsed="false">
      <c r="Z131" s="0" t="s">
        <v>35</v>
      </c>
      <c r="AA131" s="0" t="n">
        <f aca="false">IF(COUNTIFS('Reguler Class Availability'!$L:$L,$B$4&amp;"|- Lane 3 - *|"&amp;Z131)&gt;0,1,0)</f>
        <v>0</v>
      </c>
      <c r="AB131" s="0" t="n">
        <f aca="false">AA131+AB130</f>
        <v>1</v>
      </c>
    </row>
    <row r="132" customFormat="false" ht="15" hidden="false" customHeight="false" outlineLevel="0" collapsed="false">
      <c r="Z132" s="0" t="s">
        <v>37</v>
      </c>
      <c r="AA132" s="0" t="n">
        <f aca="false">IF(COUNTIFS('Reguler Class Availability'!$L:$L,$B$4&amp;"|- Lane 3 - *|"&amp;Z132)&gt;0,1,0)</f>
        <v>0</v>
      </c>
      <c r="AB132" s="0" t="n">
        <f aca="false">AA132+AB131</f>
        <v>1</v>
      </c>
    </row>
    <row r="133" customFormat="false" ht="15" hidden="false" customHeight="false" outlineLevel="0" collapsed="false">
      <c r="Z133" s="0" t="s">
        <v>46</v>
      </c>
      <c r="AA133" s="0" t="n">
        <f aca="false">IF(COUNTIFS('Reguler Class Availability'!$L:$L,$B$4&amp;"|- Lane 3 - *|"&amp;Z133)&gt;0,1,0)</f>
        <v>1</v>
      </c>
      <c r="AB133" s="0" t="n">
        <f aca="false">AA133+AB132</f>
        <v>2</v>
      </c>
    </row>
    <row r="134" customFormat="false" ht="15" hidden="false" customHeight="false" outlineLevel="0" collapsed="false">
      <c r="Z134" s="0" t="s">
        <v>47</v>
      </c>
      <c r="AA134" s="0" t="n">
        <f aca="false">IF(COUNTIFS('Reguler Class Availability'!$L:$L,$B$4&amp;"|- Lane 3 - *|"&amp;Z134)&gt;0,1,0)</f>
        <v>0</v>
      </c>
      <c r="AB134" s="0" t="n">
        <f aca="false">AA134+AB133</f>
        <v>2</v>
      </c>
    </row>
    <row r="135" customFormat="false" ht="15" hidden="false" customHeight="false" outlineLevel="0" collapsed="false">
      <c r="Z135" s="0" t="s">
        <v>48</v>
      </c>
      <c r="AA135" s="0" t="n">
        <f aca="false">IF(COUNTIFS('Reguler Class Availability'!$L:$L,$B$4&amp;"|- Lane 3 - *|"&amp;Z135)&gt;0,1,0)</f>
        <v>0</v>
      </c>
      <c r="AB135" s="0" t="n">
        <f aca="false">AA135+AB134</f>
        <v>2</v>
      </c>
    </row>
    <row r="136" customFormat="false" ht="15" hidden="false" customHeight="false" outlineLevel="0" collapsed="false">
      <c r="Z136" s="0" t="s">
        <v>49</v>
      </c>
      <c r="AA136" s="0" t="n">
        <f aca="false">IF(COUNTIFS('Reguler Class Availability'!$L:$L,$B$4&amp;"|- Lane 3 - *|"&amp;Z136)&gt;0,1,0)</f>
        <v>1</v>
      </c>
      <c r="AB136" s="0" t="n">
        <f aca="false">AA136+AB135</f>
        <v>3</v>
      </c>
    </row>
    <row r="137" customFormat="false" ht="15" hidden="false" customHeight="false" outlineLevel="0" collapsed="false">
      <c r="Z137" s="0" t="s">
        <v>50</v>
      </c>
      <c r="AA137" s="0" t="n">
        <f aca="false">IF(COUNTIFS('Reguler Class Availability'!$L:$L,$B$4&amp;"|- Lane 3 - *|"&amp;Z137)&gt;0,1,0)</f>
        <v>0</v>
      </c>
      <c r="AB137" s="0" t="n">
        <f aca="false">AA137+AB136</f>
        <v>3</v>
      </c>
    </row>
    <row r="138" customFormat="false" ht="15" hidden="false" customHeight="false" outlineLevel="0" collapsed="false">
      <c r="Z138" s="0" t="s">
        <v>51</v>
      </c>
      <c r="AA138" s="0" t="n">
        <f aca="false">IF(COUNTIFS('Reguler Class Availability'!$L:$L,$B$4&amp;"|- Lane 3 - *|"&amp;Z138)&gt;0,1,0)</f>
        <v>0</v>
      </c>
      <c r="AB138" s="0" t="n">
        <f aca="false">AA138+AB137</f>
        <v>3</v>
      </c>
    </row>
    <row r="139" customFormat="false" ht="15" hidden="false" customHeight="false" outlineLevel="0" collapsed="false">
      <c r="Z139" s="0" t="s">
        <v>52</v>
      </c>
      <c r="AA139" s="0" t="n">
        <f aca="false">IF(COUNTIFS('Reguler Class Availability'!$L:$L,$B$4&amp;"|- Lane 3 - *|"&amp;Z139)&gt;0,1,0)</f>
        <v>1</v>
      </c>
      <c r="AB139" s="0" t="n">
        <f aca="false">AA139+AB138</f>
        <v>4</v>
      </c>
    </row>
    <row r="140" customFormat="false" ht="15" hidden="false" customHeight="false" outlineLevel="0" collapsed="false">
      <c r="Z140" s="0" t="s">
        <v>53</v>
      </c>
      <c r="AA140" s="0" t="n">
        <f aca="false">IF(COUNTIFS('Reguler Class Availability'!$L:$L,$B$4&amp;"|- Lane 3 - *|"&amp;Z140)&gt;0,1,0)</f>
        <v>0</v>
      </c>
      <c r="AB140" s="0" t="n">
        <f aca="false">AA140+AB139</f>
        <v>4</v>
      </c>
    </row>
    <row r="141" customFormat="false" ht="15" hidden="false" customHeight="false" outlineLevel="0" collapsed="false">
      <c r="Z141" s="0" t="s">
        <v>54</v>
      </c>
      <c r="AA141" s="0" t="n">
        <f aca="false">IF(COUNTIFS('Reguler Class Availability'!$L:$L,$B$4&amp;"|- Lane 3 - *|"&amp;Z141)&gt;0,1,0)</f>
        <v>0</v>
      </c>
      <c r="AB141" s="0" t="n">
        <f aca="false">AA141+AB140</f>
        <v>4</v>
      </c>
    </row>
    <row r="142" customFormat="false" ht="15" hidden="false" customHeight="false" outlineLevel="0" collapsed="false">
      <c r="Z142" s="0" t="s">
        <v>55</v>
      </c>
      <c r="AA142" s="0" t="n">
        <f aca="false">IF(COUNTIFS('Reguler Class Availability'!$L:$L,$B$4&amp;"|- Lane 3 - *|"&amp;Z142)&gt;0,1,0)</f>
        <v>1</v>
      </c>
      <c r="AB142" s="0" t="n">
        <f aca="false">AA142+AB141</f>
        <v>5</v>
      </c>
    </row>
    <row r="143" customFormat="false" ht="15" hidden="false" customHeight="false" outlineLevel="0" collapsed="false">
      <c r="Z143" s="0" t="s">
        <v>56</v>
      </c>
      <c r="AA143" s="0" t="n">
        <f aca="false">IF(COUNTIFS('Reguler Class Availability'!$L:$L,$B$4&amp;"|- Lane 3 - *|"&amp;Z143)&gt;0,1,0)</f>
        <v>0</v>
      </c>
      <c r="AB143" s="0" t="n">
        <f aca="false">AA143+AB142</f>
        <v>5</v>
      </c>
    </row>
    <row r="144" customFormat="false" ht="15" hidden="false" customHeight="false" outlineLevel="0" collapsed="false">
      <c r="Z144" s="0" t="s">
        <v>57</v>
      </c>
      <c r="AA144" s="0" t="n">
        <f aca="false">IF(COUNTIFS('Reguler Class Availability'!$L:$L,$B$4&amp;"|- Lane 3 - *|"&amp;Z144)&gt;0,1,0)</f>
        <v>0</v>
      </c>
      <c r="AB144" s="0" t="n">
        <f aca="false">AA144+AB143</f>
        <v>5</v>
      </c>
    </row>
    <row r="145" customFormat="false" ht="15" hidden="false" customHeight="false" outlineLevel="0" collapsed="false">
      <c r="Z145" s="0" t="s">
        <v>58</v>
      </c>
      <c r="AA145" s="0" t="n">
        <f aca="false">IF(COUNTIFS('Reguler Class Availability'!$L:$L,$B$4&amp;"|- Lane 3 - *|"&amp;Z145)&gt;0,1,0)</f>
        <v>1</v>
      </c>
      <c r="AB145" s="0" t="n">
        <f aca="false">AA145+AB144</f>
        <v>6</v>
      </c>
    </row>
    <row r="146" customFormat="false" ht="15" hidden="false" customHeight="false" outlineLevel="0" collapsed="false">
      <c r="Z146" s="0" t="s">
        <v>59</v>
      </c>
      <c r="AA146" s="0" t="n">
        <f aca="false">IF(COUNTIFS('Reguler Class Availability'!$L:$L,$B$4&amp;"|- Lane 3 - *|"&amp;Z146)&gt;0,1,0)</f>
        <v>0</v>
      </c>
      <c r="AB146" s="0" t="n">
        <f aca="false">AA146+AB145</f>
        <v>6</v>
      </c>
    </row>
    <row r="147" customFormat="false" ht="15" hidden="false" customHeight="false" outlineLevel="0" collapsed="false">
      <c r="Z147" s="0" t="s">
        <v>60</v>
      </c>
      <c r="AA147" s="0" t="n">
        <f aca="false">IF(COUNTIFS('Reguler Class Availability'!$L:$L,$B$4&amp;"|- Lane 3 - *|"&amp;Z147)&gt;0,1,0)</f>
        <v>0</v>
      </c>
      <c r="AB147" s="0" t="n">
        <f aca="false">AA147+AB146</f>
        <v>6</v>
      </c>
    </row>
    <row r="148" customFormat="false" ht="15" hidden="false" customHeight="false" outlineLevel="0" collapsed="false">
      <c r="Z148" s="0" t="s">
        <v>61</v>
      </c>
      <c r="AA148" s="0" t="n">
        <f aca="false">IF(COUNTIFS('Reguler Class Availability'!$L:$L,$B$4&amp;"|- Lane 3 - *|"&amp;Z148)&gt;0,1,0)</f>
        <v>0</v>
      </c>
      <c r="AB148" s="0" t="n">
        <f aca="false">AA148+AB147</f>
        <v>6</v>
      </c>
    </row>
    <row r="149" customFormat="false" ht="15" hidden="false" customHeight="false" outlineLevel="0" collapsed="false">
      <c r="Z149" s="0" t="s">
        <v>62</v>
      </c>
      <c r="AA149" s="0" t="n">
        <f aca="false">IF(COUNTIFS('Reguler Class Availability'!$L:$L,$B$4&amp;"|- Lane 3 - *|"&amp;Z149)&gt;0,1,0)</f>
        <v>0</v>
      </c>
      <c r="AB149" s="0" t="n">
        <f aca="false">AA149+AB148</f>
        <v>6</v>
      </c>
    </row>
    <row r="150" customFormat="false" ht="15" hidden="false" customHeight="false" outlineLevel="0" collapsed="false">
      <c r="Z150" s="0" t="s">
        <v>64</v>
      </c>
      <c r="AA150" s="0" t="n">
        <f aca="false">IF(COUNTIFS('Reguler Class Availability'!$L:$L,$B$4&amp;"|- Lane 3 - *|"&amp;Z150)&gt;0,1,0)</f>
        <v>0</v>
      </c>
      <c r="AB150" s="0" t="n">
        <f aca="false">AA150+AB149</f>
        <v>6</v>
      </c>
    </row>
    <row r="151" customFormat="false" ht="15" hidden="false" customHeight="false" outlineLevel="0" collapsed="false">
      <c r="Z151" s="0" t="s">
        <v>65</v>
      </c>
      <c r="AA151" s="0" t="n">
        <f aca="false">IF(COUNTIFS('Reguler Class Availability'!$L:$L,$B$4&amp;"|- Lane 3 - *|"&amp;Z151)&gt;0,1,0)</f>
        <v>1</v>
      </c>
      <c r="AB151" s="0" t="n">
        <f aca="false">AA151+AB150</f>
        <v>7</v>
      </c>
    </row>
    <row r="152" customFormat="false" ht="15" hidden="false" customHeight="false" outlineLevel="0" collapsed="false">
      <c r="Z152" s="0" t="s">
        <v>67</v>
      </c>
      <c r="AA152" s="0" t="n">
        <f aca="false">IF(COUNTIFS('Reguler Class Availability'!$L:$L,$B$4&amp;"|- Lane 3 - *|"&amp;Z152)&gt;0,1,0)</f>
        <v>0</v>
      </c>
      <c r="AB152" s="0" t="n">
        <f aca="false">AA152+AB151</f>
        <v>7</v>
      </c>
    </row>
    <row r="153" customFormat="false" ht="15" hidden="false" customHeight="false" outlineLevel="0" collapsed="false">
      <c r="Z153" s="0" t="s">
        <v>68</v>
      </c>
      <c r="AA153" s="0" t="n">
        <f aca="false">IF(COUNTIFS('Reguler Class Availability'!$L:$L,$B$4&amp;"|- Lane 3 - *|"&amp;Z153)&gt;0,1,0)</f>
        <v>0</v>
      </c>
      <c r="AB153" s="0" t="n">
        <f aca="false">AA153+AB152</f>
        <v>7</v>
      </c>
    </row>
    <row r="154" customFormat="false" ht="15" hidden="false" customHeight="false" outlineLevel="0" collapsed="false">
      <c r="Z154" s="0" t="s">
        <v>69</v>
      </c>
      <c r="AA154" s="0" t="n">
        <f aca="false">IF(COUNTIFS('Reguler Class Availability'!$L:$L,$B$4&amp;"|- Lane 3 - *|"&amp;Z154)&gt;0,1,0)</f>
        <v>1</v>
      </c>
      <c r="AB154" s="0" t="n">
        <f aca="false">AA154+AB153</f>
        <v>8</v>
      </c>
    </row>
    <row r="155" customFormat="false" ht="15" hidden="false" customHeight="false" outlineLevel="0" collapsed="false">
      <c r="Z155" s="0" t="s">
        <v>70</v>
      </c>
      <c r="AA155" s="0" t="n">
        <f aca="false">IF(COUNTIFS('Reguler Class Availability'!$L:$L,$B$4&amp;"|- Lane 3 - *|"&amp;Z155)&gt;0,1,0)</f>
        <v>0</v>
      </c>
      <c r="AB155" s="0" t="n">
        <f aca="false">AA155+AB154</f>
        <v>8</v>
      </c>
    </row>
    <row r="156" customFormat="false" ht="15" hidden="false" customHeight="false" outlineLevel="0" collapsed="false">
      <c r="Z156" s="0" t="s">
        <v>71</v>
      </c>
      <c r="AA156" s="0" t="n">
        <f aca="false">IF(COUNTIFS('Reguler Class Availability'!$L:$L,$B$4&amp;"|- Lane 3 - *|"&amp;Z156)&gt;0,1,0)</f>
        <v>0</v>
      </c>
      <c r="AB156" s="0" t="n">
        <f aca="false">AA156+AB155</f>
        <v>8</v>
      </c>
    </row>
    <row r="157" customFormat="false" ht="15" hidden="false" customHeight="false" outlineLevel="0" collapsed="false">
      <c r="Z157" s="0" t="s">
        <v>72</v>
      </c>
      <c r="AA157" s="0" t="n">
        <f aca="false">IF(COUNTIFS('Reguler Class Availability'!$L:$L,$B$4&amp;"|- Lane 3 - *|"&amp;Z157)&gt;0,1,0)</f>
        <v>1</v>
      </c>
      <c r="AB157" s="0" t="n">
        <f aca="false">AA157+AB156</f>
        <v>9</v>
      </c>
    </row>
    <row r="158" customFormat="false" ht="15" hidden="false" customHeight="false" outlineLevel="0" collapsed="false">
      <c r="Z158" s="0" t="s">
        <v>73</v>
      </c>
      <c r="AA158" s="0" t="n">
        <f aca="false">IF(COUNTIFS('Reguler Class Availability'!$L:$L,$B$4&amp;"|- Lane 3 - *|"&amp;Z158)&gt;0,1,0)</f>
        <v>0</v>
      </c>
      <c r="AB158" s="0" t="n">
        <f aca="false">AA158+AB157</f>
        <v>9</v>
      </c>
    </row>
    <row r="159" customFormat="false" ht="15" hidden="false" customHeight="false" outlineLevel="0" collapsed="false">
      <c r="Z159" s="0" t="s">
        <v>74</v>
      </c>
      <c r="AA159" s="0" t="n">
        <f aca="false">IF(COUNTIFS('Reguler Class Availability'!$L:$L,$B$4&amp;"|- Lane 3 - *|"&amp;Z159)&gt;0,1,0)</f>
        <v>0</v>
      </c>
      <c r="AB159" s="0" t="n">
        <f aca="false">AA159+AB158</f>
        <v>9</v>
      </c>
    </row>
    <row r="160" customFormat="false" ht="15" hidden="false" customHeight="false" outlineLevel="0" collapsed="false">
      <c r="Z160" s="0" t="s">
        <v>75</v>
      </c>
      <c r="AA160" s="0" t="n">
        <f aca="false">IF(COUNTIFS('Reguler Class Availability'!$L:$L,$B$4&amp;"|- Lane 3 - *|"&amp;Z160)&gt;0,1,0)</f>
        <v>1</v>
      </c>
      <c r="AB160" s="0" t="n">
        <f aca="false">AA160+AB159</f>
        <v>10</v>
      </c>
    </row>
    <row r="161" customFormat="false" ht="15" hidden="false" customHeight="false" outlineLevel="0" collapsed="false">
      <c r="Z161" s="0" t="s">
        <v>76</v>
      </c>
      <c r="AA161" s="0" t="n">
        <f aca="false">IF(COUNTIFS('Reguler Class Availability'!$L:$L,$B$4&amp;"|- Lane 3 - *|"&amp;Z161)&gt;0,1,0)</f>
        <v>0</v>
      </c>
      <c r="AB161" s="0" t="n">
        <f aca="false">AA161+AB160</f>
        <v>10</v>
      </c>
    </row>
    <row r="162" customFormat="false" ht="15" hidden="false" customHeight="false" outlineLevel="0" collapsed="false">
      <c r="Z162" s="0" t="s">
        <v>77</v>
      </c>
      <c r="AA162" s="0" t="n">
        <f aca="false">IF(COUNTIFS('Reguler Class Availability'!$L:$L,$B$4&amp;"|- Lane 3 - *|"&amp;Z162)&gt;0,1,0)</f>
        <v>0</v>
      </c>
      <c r="AB162" s="0" t="n">
        <f aca="false">AA162+AB161</f>
        <v>10</v>
      </c>
    </row>
    <row r="163" customFormat="false" ht="15" hidden="false" customHeight="false" outlineLevel="0" collapsed="false">
      <c r="Z163" s="0" t="s">
        <v>78</v>
      </c>
      <c r="AA163" s="0" t="n">
        <f aca="false">IF(COUNTIFS('Reguler Class Availability'!$L:$L,$B$4&amp;"|- Lane 3 - *|"&amp;Z163)&gt;0,1,0)</f>
        <v>1</v>
      </c>
      <c r="AB163" s="0" t="n">
        <f aca="false">AA163+AB162</f>
        <v>11</v>
      </c>
    </row>
    <row r="164" customFormat="false" ht="15" hidden="false" customHeight="false" outlineLevel="0" collapsed="false">
      <c r="Z164" s="0" t="s">
        <v>79</v>
      </c>
      <c r="AA164" s="0" t="n">
        <f aca="false">IF(COUNTIFS('Reguler Class Availability'!$L:$L,$B$4&amp;"|- Lane 3 - *|"&amp;Z164)&gt;0,1,0)</f>
        <v>0</v>
      </c>
      <c r="AB164" s="0" t="n">
        <f aca="false">AA164+AB163</f>
        <v>11</v>
      </c>
    </row>
    <row r="165" customFormat="false" ht="15" hidden="false" customHeight="false" outlineLevel="0" collapsed="false">
      <c r="Z165" s="0" t="s">
        <v>80</v>
      </c>
      <c r="AA165" s="0" t="n">
        <f aca="false">IF(COUNTIFS('Reguler Class Availability'!$L:$L,$B$4&amp;"|- Lane 3 - *|"&amp;Z165)&gt;0,1,0)</f>
        <v>0</v>
      </c>
      <c r="AB165" s="0" t="n">
        <f aca="false">AA165+AB164</f>
        <v>11</v>
      </c>
    </row>
    <row r="166" customFormat="false" ht="15" hidden="false" customHeight="false" outlineLevel="0" collapsed="false">
      <c r="Z166" s="0" t="s">
        <v>81</v>
      </c>
      <c r="AA166" s="0" t="n">
        <f aca="false">IF(COUNTIFS('Reguler Class Availability'!$L:$L,$B$4&amp;"|- Lane 3 - *|"&amp;Z166)&gt;0,1,0)</f>
        <v>1</v>
      </c>
      <c r="AB166" s="0" t="n">
        <f aca="false">AA166+AB165</f>
        <v>12</v>
      </c>
    </row>
    <row r="167" customFormat="false" ht="15" hidden="false" customHeight="false" outlineLevel="0" collapsed="false">
      <c r="Z167" s="0" t="s">
        <v>82</v>
      </c>
      <c r="AA167" s="0" t="n">
        <f aca="false">IF(COUNTIFS('Reguler Class Availability'!$L:$L,$B$4&amp;"|- Lane 3 - *|"&amp;Z167)&gt;0,1,0)</f>
        <v>0</v>
      </c>
      <c r="AB167" s="0" t="n">
        <f aca="false">AA167+AB166</f>
        <v>12</v>
      </c>
    </row>
    <row r="168" customFormat="false" ht="15" hidden="false" customHeight="false" outlineLevel="0" collapsed="false">
      <c r="Z168" s="0" t="s">
        <v>83</v>
      </c>
      <c r="AA168" s="0" t="n">
        <f aca="false">IF(COUNTIFS('Reguler Class Availability'!$L:$L,$B$4&amp;"|- Lane 3 - *|"&amp;Z168)&gt;0,1,0)</f>
        <v>0</v>
      </c>
      <c r="AB168" s="0" t="n">
        <f aca="false">AA168+AB167</f>
        <v>12</v>
      </c>
    </row>
    <row r="169" customFormat="false" ht="15" hidden="false" customHeight="false" outlineLevel="0" collapsed="false">
      <c r="Z169" s="0" t="s">
        <v>84</v>
      </c>
      <c r="AA169" s="0" t="n">
        <f aca="false">IF(COUNTIFS('Reguler Class Availability'!$L:$L,$B$4&amp;"|- Lane 3 - *|"&amp;Z169)&gt;0,1,0)</f>
        <v>0</v>
      </c>
      <c r="AB169" s="0" t="n">
        <f aca="false">AA169+AB168</f>
        <v>12</v>
      </c>
    </row>
    <row r="170" customFormat="false" ht="15" hidden="false" customHeight="false" outlineLevel="0" collapsed="false">
      <c r="Z170" s="0" t="s">
        <v>86</v>
      </c>
      <c r="AA170" s="0" t="n">
        <f aca="false">IF(COUNTIFS('Reguler Class Availability'!$L:$L,$B$4&amp;"|- Lane 3 - *|"&amp;Z170)&gt;0,1,0)</f>
        <v>0</v>
      </c>
      <c r="AB170" s="0" t="n">
        <f aca="false">AA170+AB169</f>
        <v>12</v>
      </c>
    </row>
    <row r="171" customFormat="false" ht="15" hidden="false" customHeight="false" outlineLevel="0" collapsed="false">
      <c r="Z171" s="0" t="s">
        <v>87</v>
      </c>
      <c r="AA171" s="0" t="n">
        <f aca="false">IF(COUNTIFS('Reguler Class Availability'!$L:$L,$B$4&amp;"|- Lane 3 - *|"&amp;Z171)&gt;0,1,0)</f>
        <v>0</v>
      </c>
      <c r="AB171" s="0" t="n">
        <f aca="false">AA171+AB170</f>
        <v>12</v>
      </c>
    </row>
    <row r="172" customFormat="false" ht="15" hidden="false" customHeight="false" outlineLevel="0" collapsed="false">
      <c r="Z172" s="0" t="s">
        <v>88</v>
      </c>
      <c r="AA172" s="0" t="n">
        <f aca="false">IF(COUNTIFS('Reguler Class Availability'!$L:$L,$B$4&amp;"|- Lane 3 - *|"&amp;Z172)&gt;0,1,0)</f>
        <v>0</v>
      </c>
      <c r="AB172" s="0" t="n">
        <f aca="false">AA172+AB171</f>
        <v>12</v>
      </c>
    </row>
    <row r="173" customFormat="false" ht="15" hidden="false" customHeight="false" outlineLevel="0" collapsed="false">
      <c r="Z173" s="0" t="s">
        <v>89</v>
      </c>
      <c r="AA173" s="0" t="n">
        <f aca="false">IF(COUNTIFS('Reguler Class Availability'!$L:$L,$B$4&amp;"|- Lane 3 - *|"&amp;Z173)&gt;0,1,0)</f>
        <v>0</v>
      </c>
      <c r="AB173" s="0" t="n">
        <f aca="false">AA173+AB172</f>
        <v>12</v>
      </c>
    </row>
    <row r="174" customFormat="false" ht="15" hidden="false" customHeight="false" outlineLevel="0" collapsed="false">
      <c r="Z174" s="0" t="s">
        <v>90</v>
      </c>
      <c r="AA174" s="0" t="n">
        <f aca="false">IF(COUNTIFS('Reguler Class Availability'!$L:$L,$B$4&amp;"|- Lane 3 - *|"&amp;Z174)&gt;0,1,0)</f>
        <v>0</v>
      </c>
      <c r="AB174" s="0" t="n">
        <f aca="false">AA174+AB173</f>
        <v>12</v>
      </c>
    </row>
    <row r="175" customFormat="false" ht="15" hidden="false" customHeight="false" outlineLevel="0" collapsed="false">
      <c r="Z175" s="0" t="s">
        <v>91</v>
      </c>
      <c r="AA175" s="0" t="n">
        <f aca="false">IF(COUNTIFS('Reguler Class Availability'!$L:$L,$B$4&amp;"|- Lane 3 - *|"&amp;Z175)&gt;0,1,0)</f>
        <v>0</v>
      </c>
      <c r="AB175" s="0" t="n">
        <f aca="false">AA175+AB174</f>
        <v>12</v>
      </c>
    </row>
    <row r="176" customFormat="false" ht="15" hidden="false" customHeight="false" outlineLevel="0" collapsed="false">
      <c r="Z176" s="0" t="s">
        <v>92</v>
      </c>
      <c r="AA176" s="0" t="n">
        <f aca="false">IF(COUNTIFS('Reguler Class Availability'!$L:$L,$B$4&amp;"|- Lane 3 - *|"&amp;Z176)&gt;0,1,0)</f>
        <v>0</v>
      </c>
      <c r="AB176" s="0" t="n">
        <f aca="false">AA176+AB175</f>
        <v>12</v>
      </c>
    </row>
    <row r="177" customFormat="false" ht="15" hidden="false" customHeight="false" outlineLevel="0" collapsed="false">
      <c r="Z177" s="0" t="s">
        <v>93</v>
      </c>
      <c r="AA177" s="0" t="n">
        <f aca="false">IF(COUNTIFS('Reguler Class Availability'!$L:$L,$B$4&amp;"|- Lane 3 - *|"&amp;Z177)&gt;0,1,0)</f>
        <v>0</v>
      </c>
      <c r="AB177" s="0" t="n">
        <f aca="false">AA177+AB176</f>
        <v>12</v>
      </c>
    </row>
    <row r="178" customFormat="false" ht="15" hidden="false" customHeight="false" outlineLevel="0" collapsed="false">
      <c r="Z178" s="0" t="s">
        <v>94</v>
      </c>
      <c r="AA178" s="0" t="n">
        <f aca="false">IF(COUNTIFS('Reguler Class Availability'!$L:$L,$B$4&amp;"|- Lane 3 - *|"&amp;Z178)&gt;0,1,0)</f>
        <v>0</v>
      </c>
      <c r="AB178" s="0" t="n">
        <f aca="false">AA178+AB177</f>
        <v>12</v>
      </c>
    </row>
    <row r="179" customFormat="false" ht="15" hidden="false" customHeight="false" outlineLevel="0" collapsed="false">
      <c r="Z179" s="0" t="s">
        <v>95</v>
      </c>
      <c r="AA179" s="0" t="n">
        <f aca="false">IF(COUNTIFS('Reguler Class Availability'!$L:$L,$B$4&amp;"|- Lane 3 - *|"&amp;Z179)&gt;0,1,0)</f>
        <v>0</v>
      </c>
      <c r="AB179" s="0" t="n">
        <f aca="false">AA179+AB178</f>
        <v>12</v>
      </c>
    </row>
    <row r="180" customFormat="false" ht="15" hidden="false" customHeight="false" outlineLevel="0" collapsed="false">
      <c r="Z180" s="0" t="s">
        <v>96</v>
      </c>
      <c r="AA180" s="0" t="n">
        <f aca="false">IF(COUNTIFS('Reguler Class Availability'!$L:$L,$B$4&amp;"|- Lane 3 - *|"&amp;Z180)&gt;0,1,0)</f>
        <v>0</v>
      </c>
      <c r="AB180" s="0" t="n">
        <f aca="false">AA180+AB179</f>
        <v>12</v>
      </c>
    </row>
    <row r="181" customFormat="false" ht="15" hidden="false" customHeight="false" outlineLevel="0" collapsed="false">
      <c r="Z181" s="0" t="s">
        <v>97</v>
      </c>
      <c r="AA181" s="0" t="n">
        <f aca="false">IF(COUNTIFS('Reguler Class Availability'!$L:$L,$B$4&amp;"|- Lane 3 - *|"&amp;Z181)&gt;0,1,0)</f>
        <v>0</v>
      </c>
      <c r="AB181" s="0" t="n">
        <f aca="false">AA181+AB180</f>
        <v>12</v>
      </c>
    </row>
    <row r="182" customFormat="false" ht="15" hidden="false" customHeight="false" outlineLevel="0" collapsed="false">
      <c r="Z182" s="0" t="s">
        <v>3</v>
      </c>
      <c r="AA182" s="0" t="n">
        <f aca="false">IF(COUNTIFS('Reguler Class Availability'!$L:$L,$B$4&amp;"|- Lane 4 - *|"&amp;Z182)&gt;0,1,0)</f>
        <v>0</v>
      </c>
      <c r="AB182" s="0" t="n">
        <f aca="false">AA182</f>
        <v>0</v>
      </c>
    </row>
    <row r="183" customFormat="false" ht="15" hidden="false" customHeight="false" outlineLevel="0" collapsed="false">
      <c r="Z183" s="0" t="s">
        <v>4</v>
      </c>
      <c r="AA183" s="0" t="n">
        <f aca="false">IF(COUNTIFS('Reguler Class Availability'!$L:$L,$B$4&amp;"|- Lane 4 - *|"&amp;Z183)&gt;0,1,0)</f>
        <v>0</v>
      </c>
      <c r="AB183" s="0" t="n">
        <f aca="false">AA183+AB182</f>
        <v>0</v>
      </c>
    </row>
    <row r="184" customFormat="false" ht="15" hidden="false" customHeight="false" outlineLevel="0" collapsed="false">
      <c r="Z184" s="0" t="s">
        <v>8</v>
      </c>
      <c r="AA184" s="0" t="n">
        <f aca="false">IF(COUNTIFS('Reguler Class Availability'!$L:$L,$B$4&amp;"|- Lane 4 - *|"&amp;Z184)&gt;0,1,0)</f>
        <v>0</v>
      </c>
      <c r="AB184" s="0" t="n">
        <f aca="false">AA184+AB183</f>
        <v>0</v>
      </c>
    </row>
    <row r="185" customFormat="false" ht="15" hidden="false" customHeight="false" outlineLevel="0" collapsed="false">
      <c r="Z185" s="0" t="s">
        <v>9</v>
      </c>
      <c r="AA185" s="0" t="n">
        <f aca="false">IF(COUNTIFS('Reguler Class Availability'!$L:$L,$B$4&amp;"|- Lane 4 - *|"&amp;Z185)&gt;0,1,0)</f>
        <v>0</v>
      </c>
      <c r="AB185" s="0" t="n">
        <f aca="false">AA185+AB184</f>
        <v>0</v>
      </c>
    </row>
    <row r="186" customFormat="false" ht="15" hidden="false" customHeight="false" outlineLevel="0" collapsed="false">
      <c r="Z186" s="0" t="s">
        <v>18</v>
      </c>
      <c r="AA186" s="0" t="n">
        <f aca="false">IF(COUNTIFS('Reguler Class Availability'!$L:$L,$B$4&amp;"|- Lane 4 - *|"&amp;Z186)&gt;0,1,0)</f>
        <v>0</v>
      </c>
      <c r="AB186" s="0" t="n">
        <f aca="false">AA186+AB185</f>
        <v>0</v>
      </c>
    </row>
    <row r="187" customFormat="false" ht="15" hidden="false" customHeight="false" outlineLevel="0" collapsed="false">
      <c r="Z187" s="0" t="s">
        <v>19</v>
      </c>
      <c r="AA187" s="0" t="n">
        <f aca="false">IF(COUNTIFS('Reguler Class Availability'!$L:$L,$B$4&amp;"|- Lane 4 - *|"&amp;Z187)&gt;0,1,0)</f>
        <v>0</v>
      </c>
      <c r="AB187" s="0" t="n">
        <f aca="false">AA187+AB186</f>
        <v>0</v>
      </c>
    </row>
    <row r="188" customFormat="false" ht="15" hidden="false" customHeight="false" outlineLevel="0" collapsed="false">
      <c r="Z188" s="0" t="s">
        <v>20</v>
      </c>
      <c r="AA188" s="0" t="n">
        <f aca="false">IF(COUNTIFS('Reguler Class Availability'!$L:$L,$B$4&amp;"|- Lane 4 - *|"&amp;Z188)&gt;0,1,0)</f>
        <v>0</v>
      </c>
      <c r="AB188" s="0" t="n">
        <f aca="false">AA188+AB187</f>
        <v>0</v>
      </c>
    </row>
    <row r="189" customFormat="false" ht="15" hidden="false" customHeight="false" outlineLevel="0" collapsed="false">
      <c r="Z189" s="0" t="s">
        <v>27</v>
      </c>
      <c r="AA189" s="0" t="n">
        <f aca="false">IF(COUNTIFS('Reguler Class Availability'!$L:$L,$B$4&amp;"|- Lane 4 - *|"&amp;Z189)&gt;0,1,0)</f>
        <v>0</v>
      </c>
      <c r="AB189" s="0" t="n">
        <f aca="false">AA189+AB188</f>
        <v>0</v>
      </c>
    </row>
    <row r="190" customFormat="false" ht="15" hidden="false" customHeight="false" outlineLevel="0" collapsed="false">
      <c r="Z190" s="0" t="s">
        <v>34</v>
      </c>
      <c r="AA190" s="0" t="n">
        <f aca="false">IF(COUNTIFS('Reguler Class Availability'!$L:$L,$B$4&amp;"|- Lane 4 - *|"&amp;Z190)&gt;0,1,0)</f>
        <v>1</v>
      </c>
      <c r="AB190" s="0" t="n">
        <f aca="false">AA190+AB189</f>
        <v>1</v>
      </c>
    </row>
    <row r="191" customFormat="false" ht="15" hidden="false" customHeight="false" outlineLevel="0" collapsed="false">
      <c r="Z191" s="0" t="s">
        <v>35</v>
      </c>
      <c r="AA191" s="0" t="n">
        <f aca="false">IF(COUNTIFS('Reguler Class Availability'!$L:$L,$B$4&amp;"|- Lane 4 - *|"&amp;Z191)&gt;0,1,0)</f>
        <v>0</v>
      </c>
      <c r="AB191" s="0" t="n">
        <f aca="false">AA191+AB190</f>
        <v>1</v>
      </c>
    </row>
    <row r="192" customFormat="false" ht="15" hidden="false" customHeight="false" outlineLevel="0" collapsed="false">
      <c r="Z192" s="0" t="s">
        <v>37</v>
      </c>
      <c r="AA192" s="0" t="n">
        <f aca="false">IF(COUNTIFS('Reguler Class Availability'!$L:$L,$B$4&amp;"|- Lane 4 - *|"&amp;Z192)&gt;0,1,0)</f>
        <v>0</v>
      </c>
      <c r="AB192" s="0" t="n">
        <f aca="false">AA192+AB191</f>
        <v>1</v>
      </c>
    </row>
    <row r="193" customFormat="false" ht="15" hidden="false" customHeight="false" outlineLevel="0" collapsed="false">
      <c r="Z193" s="0" t="s">
        <v>46</v>
      </c>
      <c r="AA193" s="0" t="n">
        <f aca="false">IF(COUNTIFS('Reguler Class Availability'!$L:$L,$B$4&amp;"|- Lane 4 - *|"&amp;Z193)&gt;0,1,0)</f>
        <v>1</v>
      </c>
      <c r="AB193" s="0" t="n">
        <f aca="false">AA193+AB192</f>
        <v>2</v>
      </c>
    </row>
    <row r="194" customFormat="false" ht="15" hidden="false" customHeight="false" outlineLevel="0" collapsed="false">
      <c r="Z194" s="0" t="s">
        <v>47</v>
      </c>
      <c r="AA194" s="0" t="n">
        <f aca="false">IF(COUNTIFS('Reguler Class Availability'!$L:$L,$B$4&amp;"|- Lane 4 - *|"&amp;Z194)&gt;0,1,0)</f>
        <v>0</v>
      </c>
      <c r="AB194" s="0" t="n">
        <f aca="false">AA194+AB193</f>
        <v>2</v>
      </c>
    </row>
    <row r="195" customFormat="false" ht="15" hidden="false" customHeight="false" outlineLevel="0" collapsed="false">
      <c r="Z195" s="0" t="s">
        <v>48</v>
      </c>
      <c r="AA195" s="0" t="n">
        <f aca="false">IF(COUNTIFS('Reguler Class Availability'!$L:$L,$B$4&amp;"|- Lane 4 - *|"&amp;Z195)&gt;0,1,0)</f>
        <v>0</v>
      </c>
      <c r="AB195" s="0" t="n">
        <f aca="false">AA195+AB194</f>
        <v>2</v>
      </c>
    </row>
    <row r="196" customFormat="false" ht="15" hidden="false" customHeight="false" outlineLevel="0" collapsed="false">
      <c r="Z196" s="0" t="s">
        <v>49</v>
      </c>
      <c r="AA196" s="0" t="n">
        <f aca="false">IF(COUNTIFS('Reguler Class Availability'!$L:$L,$B$4&amp;"|- Lane 4 - *|"&amp;Z196)&gt;0,1,0)</f>
        <v>1</v>
      </c>
      <c r="AB196" s="0" t="n">
        <f aca="false">AA196+AB195</f>
        <v>3</v>
      </c>
    </row>
    <row r="197" customFormat="false" ht="15" hidden="false" customHeight="false" outlineLevel="0" collapsed="false">
      <c r="Z197" s="0" t="s">
        <v>50</v>
      </c>
      <c r="AA197" s="0" t="n">
        <f aca="false">IF(COUNTIFS('Reguler Class Availability'!$L:$L,$B$4&amp;"|- Lane 4 - *|"&amp;Z197)&gt;0,1,0)</f>
        <v>0</v>
      </c>
      <c r="AB197" s="0" t="n">
        <f aca="false">AA197+AB196</f>
        <v>3</v>
      </c>
    </row>
    <row r="198" customFormat="false" ht="15" hidden="false" customHeight="false" outlineLevel="0" collapsed="false">
      <c r="Z198" s="0" t="s">
        <v>51</v>
      </c>
      <c r="AA198" s="0" t="n">
        <f aca="false">IF(COUNTIFS('Reguler Class Availability'!$L:$L,$B$4&amp;"|- Lane 4 - *|"&amp;Z198)&gt;0,1,0)</f>
        <v>0</v>
      </c>
      <c r="AB198" s="0" t="n">
        <f aca="false">AA198+AB197</f>
        <v>3</v>
      </c>
    </row>
    <row r="199" customFormat="false" ht="15" hidden="false" customHeight="false" outlineLevel="0" collapsed="false">
      <c r="Z199" s="0" t="s">
        <v>52</v>
      </c>
      <c r="AA199" s="0" t="n">
        <f aca="false">IF(COUNTIFS('Reguler Class Availability'!$L:$L,$B$4&amp;"|- Lane 4 - *|"&amp;Z199)&gt;0,1,0)</f>
        <v>1</v>
      </c>
      <c r="AB199" s="0" t="n">
        <f aca="false">AA199+AB198</f>
        <v>4</v>
      </c>
    </row>
    <row r="200" customFormat="false" ht="15" hidden="false" customHeight="false" outlineLevel="0" collapsed="false">
      <c r="Z200" s="0" t="s">
        <v>53</v>
      </c>
      <c r="AA200" s="0" t="n">
        <f aca="false">IF(COUNTIFS('Reguler Class Availability'!$L:$L,$B$4&amp;"|- Lane 4 - *|"&amp;Z200)&gt;0,1,0)</f>
        <v>0</v>
      </c>
      <c r="AB200" s="0" t="n">
        <f aca="false">AA200+AB199</f>
        <v>4</v>
      </c>
    </row>
    <row r="201" customFormat="false" ht="15" hidden="false" customHeight="false" outlineLevel="0" collapsed="false">
      <c r="Z201" s="0" t="s">
        <v>54</v>
      </c>
      <c r="AA201" s="0" t="n">
        <f aca="false">IF(COUNTIFS('Reguler Class Availability'!$L:$L,$B$4&amp;"|- Lane 4 - *|"&amp;Z201)&gt;0,1,0)</f>
        <v>0</v>
      </c>
      <c r="AB201" s="0" t="n">
        <f aca="false">AA201+AB200</f>
        <v>4</v>
      </c>
    </row>
    <row r="202" customFormat="false" ht="15" hidden="false" customHeight="false" outlineLevel="0" collapsed="false">
      <c r="Z202" s="0" t="s">
        <v>55</v>
      </c>
      <c r="AA202" s="0" t="n">
        <f aca="false">IF(COUNTIFS('Reguler Class Availability'!$L:$L,$B$4&amp;"|- Lane 4 - *|"&amp;Z202)&gt;0,1,0)</f>
        <v>1</v>
      </c>
      <c r="AB202" s="0" t="n">
        <f aca="false">AA202+AB201</f>
        <v>5</v>
      </c>
    </row>
    <row r="203" customFormat="false" ht="15" hidden="false" customHeight="false" outlineLevel="0" collapsed="false">
      <c r="Z203" s="0" t="s">
        <v>56</v>
      </c>
      <c r="AA203" s="0" t="n">
        <f aca="false">IF(COUNTIFS('Reguler Class Availability'!$L:$L,$B$4&amp;"|- Lane 4 - *|"&amp;Z203)&gt;0,1,0)</f>
        <v>0</v>
      </c>
      <c r="AB203" s="0" t="n">
        <f aca="false">AA203+AB202</f>
        <v>5</v>
      </c>
    </row>
    <row r="204" customFormat="false" ht="15" hidden="false" customHeight="false" outlineLevel="0" collapsed="false">
      <c r="Z204" s="0" t="s">
        <v>57</v>
      </c>
      <c r="AA204" s="0" t="n">
        <f aca="false">IF(COUNTIFS('Reguler Class Availability'!$L:$L,$B$4&amp;"|- Lane 4 - *|"&amp;Z204)&gt;0,1,0)</f>
        <v>0</v>
      </c>
      <c r="AB204" s="0" t="n">
        <f aca="false">AA204+AB203</f>
        <v>5</v>
      </c>
    </row>
    <row r="205" customFormat="false" ht="15" hidden="false" customHeight="false" outlineLevel="0" collapsed="false">
      <c r="Z205" s="0" t="s">
        <v>58</v>
      </c>
      <c r="AA205" s="0" t="n">
        <f aca="false">IF(COUNTIFS('Reguler Class Availability'!$L:$L,$B$4&amp;"|- Lane 4 - *|"&amp;Z205)&gt;0,1,0)</f>
        <v>1</v>
      </c>
      <c r="AB205" s="0" t="n">
        <f aca="false">AA205+AB204</f>
        <v>6</v>
      </c>
    </row>
    <row r="206" customFormat="false" ht="15" hidden="false" customHeight="false" outlineLevel="0" collapsed="false">
      <c r="Z206" s="0" t="s">
        <v>59</v>
      </c>
      <c r="AA206" s="0" t="n">
        <f aca="false">IF(COUNTIFS('Reguler Class Availability'!$L:$L,$B$4&amp;"|- Lane 4 - *|"&amp;Z206)&gt;0,1,0)</f>
        <v>0</v>
      </c>
      <c r="AB206" s="0" t="n">
        <f aca="false">AA206+AB205</f>
        <v>6</v>
      </c>
    </row>
    <row r="207" customFormat="false" ht="15" hidden="false" customHeight="false" outlineLevel="0" collapsed="false">
      <c r="Z207" s="0" t="s">
        <v>60</v>
      </c>
      <c r="AA207" s="0" t="n">
        <f aca="false">IF(COUNTIFS('Reguler Class Availability'!$L:$L,$B$4&amp;"|- Lane 4 - *|"&amp;Z207)&gt;0,1,0)</f>
        <v>0</v>
      </c>
      <c r="AB207" s="0" t="n">
        <f aca="false">AA207+AB206</f>
        <v>6</v>
      </c>
    </row>
    <row r="208" customFormat="false" ht="15" hidden="false" customHeight="false" outlineLevel="0" collapsed="false">
      <c r="Z208" s="0" t="s">
        <v>61</v>
      </c>
      <c r="AA208" s="0" t="n">
        <f aca="false">IF(COUNTIFS('Reguler Class Availability'!$L:$L,$B$4&amp;"|- Lane 4 - *|"&amp;Z208)&gt;0,1,0)</f>
        <v>0</v>
      </c>
      <c r="AB208" s="0" t="n">
        <f aca="false">AA208+AB207</f>
        <v>6</v>
      </c>
    </row>
    <row r="209" customFormat="false" ht="15" hidden="false" customHeight="false" outlineLevel="0" collapsed="false">
      <c r="Z209" s="0" t="s">
        <v>62</v>
      </c>
      <c r="AA209" s="0" t="n">
        <f aca="false">IF(COUNTIFS('Reguler Class Availability'!$L:$L,$B$4&amp;"|- Lane 4 - *|"&amp;Z209)&gt;0,1,0)</f>
        <v>0</v>
      </c>
      <c r="AB209" s="0" t="n">
        <f aca="false">AA209+AB208</f>
        <v>6</v>
      </c>
    </row>
    <row r="210" customFormat="false" ht="15" hidden="false" customHeight="false" outlineLevel="0" collapsed="false">
      <c r="Z210" s="0" t="s">
        <v>64</v>
      </c>
      <c r="AA210" s="0" t="n">
        <f aca="false">IF(COUNTIFS('Reguler Class Availability'!$L:$L,$B$4&amp;"|- Lane 4 - *|"&amp;Z210)&gt;0,1,0)</f>
        <v>0</v>
      </c>
      <c r="AB210" s="0" t="n">
        <f aca="false">AA210+AB209</f>
        <v>6</v>
      </c>
    </row>
    <row r="211" customFormat="false" ht="15" hidden="false" customHeight="false" outlineLevel="0" collapsed="false">
      <c r="Z211" s="0" t="s">
        <v>65</v>
      </c>
      <c r="AA211" s="0" t="n">
        <f aca="false">IF(COUNTIFS('Reguler Class Availability'!$L:$L,$B$4&amp;"|- Lane 4 - *|"&amp;Z211)&gt;0,1,0)</f>
        <v>1</v>
      </c>
      <c r="AB211" s="0" t="n">
        <f aca="false">AA211+AB210</f>
        <v>7</v>
      </c>
    </row>
    <row r="212" customFormat="false" ht="15" hidden="false" customHeight="false" outlineLevel="0" collapsed="false">
      <c r="Z212" s="0" t="s">
        <v>67</v>
      </c>
      <c r="AA212" s="0" t="n">
        <f aca="false">IF(COUNTIFS('Reguler Class Availability'!$L:$L,$B$4&amp;"|- Lane 4 - *|"&amp;Z212)&gt;0,1,0)</f>
        <v>0</v>
      </c>
      <c r="AB212" s="0" t="n">
        <f aca="false">AA212+AB211</f>
        <v>7</v>
      </c>
    </row>
    <row r="213" customFormat="false" ht="15" hidden="false" customHeight="false" outlineLevel="0" collapsed="false">
      <c r="Z213" s="0" t="s">
        <v>68</v>
      </c>
      <c r="AA213" s="0" t="n">
        <f aca="false">IF(COUNTIFS('Reguler Class Availability'!$L:$L,$B$4&amp;"|- Lane 4 - *|"&amp;Z213)&gt;0,1,0)</f>
        <v>0</v>
      </c>
      <c r="AB213" s="0" t="n">
        <f aca="false">AA213+AB212</f>
        <v>7</v>
      </c>
    </row>
    <row r="214" customFormat="false" ht="15" hidden="false" customHeight="false" outlineLevel="0" collapsed="false">
      <c r="Z214" s="0" t="s">
        <v>69</v>
      </c>
      <c r="AA214" s="0" t="n">
        <f aca="false">IF(COUNTIFS('Reguler Class Availability'!$L:$L,$B$4&amp;"|- Lane 4 - *|"&amp;Z214)&gt;0,1,0)</f>
        <v>1</v>
      </c>
      <c r="AB214" s="0" t="n">
        <f aca="false">AA214+AB213</f>
        <v>8</v>
      </c>
    </row>
    <row r="215" customFormat="false" ht="15" hidden="false" customHeight="false" outlineLevel="0" collapsed="false">
      <c r="Z215" s="0" t="s">
        <v>70</v>
      </c>
      <c r="AA215" s="0" t="n">
        <f aca="false">IF(COUNTIFS('Reguler Class Availability'!$L:$L,$B$4&amp;"|- Lane 4 - *|"&amp;Z215)&gt;0,1,0)</f>
        <v>0</v>
      </c>
      <c r="AB215" s="0" t="n">
        <f aca="false">AA215+AB214</f>
        <v>8</v>
      </c>
    </row>
    <row r="216" customFormat="false" ht="15" hidden="false" customHeight="false" outlineLevel="0" collapsed="false">
      <c r="Z216" s="0" t="s">
        <v>71</v>
      </c>
      <c r="AA216" s="0" t="n">
        <f aca="false">IF(COUNTIFS('Reguler Class Availability'!$L:$L,$B$4&amp;"|- Lane 4 - *|"&amp;Z216)&gt;0,1,0)</f>
        <v>0</v>
      </c>
      <c r="AB216" s="0" t="n">
        <f aca="false">AA216+AB215</f>
        <v>8</v>
      </c>
    </row>
    <row r="217" customFormat="false" ht="15" hidden="false" customHeight="false" outlineLevel="0" collapsed="false">
      <c r="Z217" s="0" t="s">
        <v>72</v>
      </c>
      <c r="AA217" s="0" t="n">
        <f aca="false">IF(COUNTIFS('Reguler Class Availability'!$L:$L,$B$4&amp;"|- Lane 4 - *|"&amp;Z217)&gt;0,1,0)</f>
        <v>1</v>
      </c>
      <c r="AB217" s="0" t="n">
        <f aca="false">AA217+AB216</f>
        <v>9</v>
      </c>
    </row>
    <row r="218" customFormat="false" ht="15" hidden="false" customHeight="false" outlineLevel="0" collapsed="false">
      <c r="Z218" s="0" t="s">
        <v>73</v>
      </c>
      <c r="AA218" s="0" t="n">
        <f aca="false">IF(COUNTIFS('Reguler Class Availability'!$L:$L,$B$4&amp;"|- Lane 4 - *|"&amp;Z218)&gt;0,1,0)</f>
        <v>0</v>
      </c>
      <c r="AB218" s="0" t="n">
        <f aca="false">AA218+AB217</f>
        <v>9</v>
      </c>
    </row>
    <row r="219" customFormat="false" ht="15" hidden="false" customHeight="false" outlineLevel="0" collapsed="false">
      <c r="Z219" s="0" t="s">
        <v>74</v>
      </c>
      <c r="AA219" s="0" t="n">
        <f aca="false">IF(COUNTIFS('Reguler Class Availability'!$L:$L,$B$4&amp;"|- Lane 4 - *|"&amp;Z219)&gt;0,1,0)</f>
        <v>0</v>
      </c>
      <c r="AB219" s="0" t="n">
        <f aca="false">AA219+AB218</f>
        <v>9</v>
      </c>
    </row>
    <row r="220" customFormat="false" ht="15" hidden="false" customHeight="false" outlineLevel="0" collapsed="false">
      <c r="Z220" s="0" t="s">
        <v>75</v>
      </c>
      <c r="AA220" s="0" t="n">
        <f aca="false">IF(COUNTIFS('Reguler Class Availability'!$L:$L,$B$4&amp;"|- Lane 4 - *|"&amp;Z220)&gt;0,1,0)</f>
        <v>1</v>
      </c>
      <c r="AB220" s="0" t="n">
        <f aca="false">AA220+AB219</f>
        <v>10</v>
      </c>
    </row>
    <row r="221" customFormat="false" ht="15" hidden="false" customHeight="false" outlineLevel="0" collapsed="false">
      <c r="Z221" s="0" t="s">
        <v>76</v>
      </c>
      <c r="AA221" s="0" t="n">
        <f aca="false">IF(COUNTIFS('Reguler Class Availability'!$L:$L,$B$4&amp;"|- Lane 4 - *|"&amp;Z221)&gt;0,1,0)</f>
        <v>0</v>
      </c>
      <c r="AB221" s="0" t="n">
        <f aca="false">AA221+AB220</f>
        <v>10</v>
      </c>
    </row>
    <row r="222" customFormat="false" ht="15" hidden="false" customHeight="false" outlineLevel="0" collapsed="false">
      <c r="Z222" s="0" t="s">
        <v>77</v>
      </c>
      <c r="AA222" s="0" t="n">
        <f aca="false">IF(COUNTIFS('Reguler Class Availability'!$L:$L,$B$4&amp;"|- Lane 4 - *|"&amp;Z222)&gt;0,1,0)</f>
        <v>0</v>
      </c>
      <c r="AB222" s="0" t="n">
        <f aca="false">AA222+AB221</f>
        <v>10</v>
      </c>
    </row>
    <row r="223" customFormat="false" ht="15" hidden="false" customHeight="false" outlineLevel="0" collapsed="false">
      <c r="Z223" s="0" t="s">
        <v>78</v>
      </c>
      <c r="AA223" s="0" t="n">
        <f aca="false">IF(COUNTIFS('Reguler Class Availability'!$L:$L,$B$4&amp;"|- Lane 4 - *|"&amp;Z223)&gt;0,1,0)</f>
        <v>1</v>
      </c>
      <c r="AB223" s="0" t="n">
        <f aca="false">AA223+AB222</f>
        <v>11</v>
      </c>
    </row>
    <row r="224" customFormat="false" ht="15" hidden="false" customHeight="false" outlineLevel="0" collapsed="false">
      <c r="Z224" s="0" t="s">
        <v>79</v>
      </c>
      <c r="AA224" s="0" t="n">
        <f aca="false">IF(COUNTIFS('Reguler Class Availability'!$L:$L,$B$4&amp;"|- Lane 4 - *|"&amp;Z224)&gt;0,1,0)</f>
        <v>0</v>
      </c>
      <c r="AB224" s="0" t="n">
        <f aca="false">AA224+AB223</f>
        <v>11</v>
      </c>
    </row>
    <row r="225" customFormat="false" ht="15" hidden="false" customHeight="false" outlineLevel="0" collapsed="false">
      <c r="Z225" s="0" t="s">
        <v>80</v>
      </c>
      <c r="AA225" s="0" t="n">
        <f aca="false">IF(COUNTIFS('Reguler Class Availability'!$L:$L,$B$4&amp;"|- Lane 4 - *|"&amp;Z225)&gt;0,1,0)</f>
        <v>0</v>
      </c>
      <c r="AB225" s="0" t="n">
        <f aca="false">AA225+AB224</f>
        <v>11</v>
      </c>
    </row>
    <row r="226" customFormat="false" ht="15" hidden="false" customHeight="false" outlineLevel="0" collapsed="false">
      <c r="Z226" s="0" t="s">
        <v>81</v>
      </c>
      <c r="AA226" s="0" t="n">
        <f aca="false">IF(COUNTIFS('Reguler Class Availability'!$L:$L,$B$4&amp;"|- Lane 4 - *|"&amp;Z226)&gt;0,1,0)</f>
        <v>1</v>
      </c>
      <c r="AB226" s="0" t="n">
        <f aca="false">AA226+AB225</f>
        <v>12</v>
      </c>
    </row>
    <row r="227" customFormat="false" ht="15" hidden="false" customHeight="false" outlineLevel="0" collapsed="false">
      <c r="Z227" s="0" t="s">
        <v>82</v>
      </c>
      <c r="AA227" s="0" t="n">
        <f aca="false">IF(COUNTIFS('Reguler Class Availability'!$L:$L,$B$4&amp;"|- Lane 4 - *|"&amp;Z227)&gt;0,1,0)</f>
        <v>0</v>
      </c>
      <c r="AB227" s="0" t="n">
        <f aca="false">AA227+AB226</f>
        <v>12</v>
      </c>
    </row>
    <row r="228" customFormat="false" ht="15" hidden="false" customHeight="false" outlineLevel="0" collapsed="false">
      <c r="Z228" s="0" t="s">
        <v>83</v>
      </c>
      <c r="AA228" s="0" t="n">
        <f aca="false">IF(COUNTIFS('Reguler Class Availability'!$L:$L,$B$4&amp;"|- Lane 4 - *|"&amp;Z228)&gt;0,1,0)</f>
        <v>0</v>
      </c>
      <c r="AB228" s="0" t="n">
        <f aca="false">AA228+AB227</f>
        <v>12</v>
      </c>
    </row>
    <row r="229" customFormat="false" ht="15" hidden="false" customHeight="false" outlineLevel="0" collapsed="false">
      <c r="Z229" s="0" t="s">
        <v>84</v>
      </c>
      <c r="AA229" s="0" t="n">
        <f aca="false">IF(COUNTIFS('Reguler Class Availability'!$L:$L,$B$4&amp;"|- Lane 4 - *|"&amp;Z229)&gt;0,1,0)</f>
        <v>0</v>
      </c>
      <c r="AB229" s="0" t="n">
        <f aca="false">AA229+AB228</f>
        <v>12</v>
      </c>
    </row>
    <row r="230" customFormat="false" ht="15" hidden="false" customHeight="false" outlineLevel="0" collapsed="false">
      <c r="Z230" s="0" t="s">
        <v>86</v>
      </c>
      <c r="AA230" s="0" t="n">
        <f aca="false">IF(COUNTIFS('Reguler Class Availability'!$L:$L,$B$4&amp;"|- Lane 4 - *|"&amp;Z230)&gt;0,1,0)</f>
        <v>0</v>
      </c>
      <c r="AB230" s="0" t="n">
        <f aca="false">AA230+AB229</f>
        <v>12</v>
      </c>
    </row>
    <row r="231" customFormat="false" ht="15" hidden="false" customHeight="false" outlineLevel="0" collapsed="false">
      <c r="Z231" s="0" t="s">
        <v>87</v>
      </c>
      <c r="AA231" s="0" t="n">
        <f aca="false">IF(COUNTIFS('Reguler Class Availability'!$L:$L,$B$4&amp;"|- Lane 4 - *|"&amp;Z231)&gt;0,1,0)</f>
        <v>0</v>
      </c>
      <c r="AB231" s="0" t="n">
        <f aca="false">AA231+AB230</f>
        <v>12</v>
      </c>
    </row>
    <row r="232" customFormat="false" ht="15" hidden="false" customHeight="false" outlineLevel="0" collapsed="false">
      <c r="Z232" s="0" t="s">
        <v>88</v>
      </c>
      <c r="AA232" s="0" t="n">
        <f aca="false">IF(COUNTIFS('Reguler Class Availability'!$L:$L,$B$4&amp;"|- Lane 4 - *|"&amp;Z232)&gt;0,1,0)</f>
        <v>0</v>
      </c>
      <c r="AB232" s="0" t="n">
        <f aca="false">AA232+AB231</f>
        <v>12</v>
      </c>
    </row>
    <row r="233" customFormat="false" ht="15" hidden="false" customHeight="false" outlineLevel="0" collapsed="false">
      <c r="Z233" s="0" t="s">
        <v>89</v>
      </c>
      <c r="AA233" s="0" t="n">
        <f aca="false">IF(COUNTIFS('Reguler Class Availability'!$L:$L,$B$4&amp;"|- Lane 4 - *|"&amp;Z233)&gt;0,1,0)</f>
        <v>0</v>
      </c>
      <c r="AB233" s="0" t="n">
        <f aca="false">AA233+AB232</f>
        <v>12</v>
      </c>
    </row>
    <row r="234" customFormat="false" ht="15" hidden="false" customHeight="false" outlineLevel="0" collapsed="false">
      <c r="Z234" s="0" t="s">
        <v>90</v>
      </c>
      <c r="AA234" s="0" t="n">
        <f aca="false">IF(COUNTIFS('Reguler Class Availability'!$L:$L,$B$4&amp;"|- Lane 4 - *|"&amp;Z234)&gt;0,1,0)</f>
        <v>0</v>
      </c>
      <c r="AB234" s="0" t="n">
        <f aca="false">AA234+AB233</f>
        <v>12</v>
      </c>
    </row>
    <row r="235" customFormat="false" ht="15" hidden="false" customHeight="false" outlineLevel="0" collapsed="false">
      <c r="Z235" s="0" t="s">
        <v>91</v>
      </c>
      <c r="AA235" s="0" t="n">
        <f aca="false">IF(COUNTIFS('Reguler Class Availability'!$L:$L,$B$4&amp;"|- Lane 4 - *|"&amp;Z235)&gt;0,1,0)</f>
        <v>0</v>
      </c>
      <c r="AB235" s="0" t="n">
        <f aca="false">AA235+AB234</f>
        <v>12</v>
      </c>
    </row>
    <row r="236" customFormat="false" ht="15" hidden="false" customHeight="false" outlineLevel="0" collapsed="false">
      <c r="Z236" s="0" t="s">
        <v>92</v>
      </c>
      <c r="AA236" s="0" t="n">
        <f aca="false">IF(COUNTIFS('Reguler Class Availability'!$L:$L,$B$4&amp;"|- Lane 4 - *|"&amp;Z236)&gt;0,1,0)</f>
        <v>0</v>
      </c>
      <c r="AB236" s="0" t="n">
        <f aca="false">AA236+AB235</f>
        <v>12</v>
      </c>
    </row>
    <row r="237" customFormat="false" ht="15" hidden="false" customHeight="false" outlineLevel="0" collapsed="false">
      <c r="Z237" s="0" t="s">
        <v>93</v>
      </c>
      <c r="AA237" s="0" t="n">
        <f aca="false">IF(COUNTIFS('Reguler Class Availability'!$L:$L,$B$4&amp;"|- Lane 4 - *|"&amp;Z237)&gt;0,1,0)</f>
        <v>0</v>
      </c>
      <c r="AB237" s="0" t="n">
        <f aca="false">AA237+AB236</f>
        <v>12</v>
      </c>
    </row>
    <row r="238" customFormat="false" ht="15" hidden="false" customHeight="false" outlineLevel="0" collapsed="false">
      <c r="Z238" s="0" t="s">
        <v>94</v>
      </c>
      <c r="AA238" s="0" t="n">
        <f aca="false">IF(COUNTIFS('Reguler Class Availability'!$L:$L,$B$4&amp;"|- Lane 4 - *|"&amp;Z238)&gt;0,1,0)</f>
        <v>0</v>
      </c>
      <c r="AB238" s="0" t="n">
        <f aca="false">AA238+AB237</f>
        <v>12</v>
      </c>
    </row>
    <row r="239" customFormat="false" ht="15" hidden="false" customHeight="false" outlineLevel="0" collapsed="false">
      <c r="Z239" s="0" t="s">
        <v>95</v>
      </c>
      <c r="AA239" s="0" t="n">
        <f aca="false">IF(COUNTIFS('Reguler Class Availability'!$L:$L,$B$4&amp;"|- Lane 4 - *|"&amp;Z239)&gt;0,1,0)</f>
        <v>0</v>
      </c>
      <c r="AB239" s="0" t="n">
        <f aca="false">AA239+AB238</f>
        <v>12</v>
      </c>
    </row>
    <row r="240" customFormat="false" ht="15" hidden="false" customHeight="false" outlineLevel="0" collapsed="false">
      <c r="Z240" s="0" t="s">
        <v>96</v>
      </c>
      <c r="AA240" s="0" t="n">
        <f aca="false">IF(COUNTIFS('Reguler Class Availability'!$L:$L,$B$4&amp;"|- Lane 4 - *|"&amp;Z240)&gt;0,1,0)</f>
        <v>0</v>
      </c>
      <c r="AB240" s="0" t="n">
        <f aca="false">AA240+AB239</f>
        <v>12</v>
      </c>
    </row>
    <row r="241" customFormat="false" ht="15" hidden="false" customHeight="false" outlineLevel="0" collapsed="false">
      <c r="Z241" s="0" t="s">
        <v>97</v>
      </c>
      <c r="AA241" s="0" t="n">
        <f aca="false">IF(COUNTIFS('Reguler Class Availability'!$L:$L,$B$4&amp;"|- Lane 4 - *|"&amp;Z241)&gt;0,1,0)</f>
        <v>0</v>
      </c>
      <c r="AB241" s="0" t="n">
        <f aca="false">AA241+AB240</f>
        <v>12</v>
      </c>
    </row>
    <row r="242" customFormat="false" ht="15" hidden="false" customHeight="false" outlineLevel="0" collapsed="false">
      <c r="Z242" s="0" t="s">
        <v>3</v>
      </c>
      <c r="AA242" s="0" t="n">
        <f aca="false">IF(COUNTIFS('Reguler Class Availability'!$L:$L,$B$4&amp;"|- Lane 5 - *|"&amp;Z242)&gt;0,1,0)</f>
        <v>0</v>
      </c>
      <c r="AB242" s="0" t="n">
        <f aca="false">AA242</f>
        <v>0</v>
      </c>
    </row>
    <row r="243" customFormat="false" ht="15" hidden="false" customHeight="false" outlineLevel="0" collapsed="false">
      <c r="Z243" s="0" t="s">
        <v>4</v>
      </c>
      <c r="AA243" s="0" t="n">
        <f aca="false">IF(COUNTIFS('Reguler Class Availability'!$L:$L,$B$4&amp;"|- Lane 5 - *|"&amp;Z243)&gt;0,1,0)</f>
        <v>0</v>
      </c>
      <c r="AB243" s="0" t="n">
        <f aca="false">AA243+AB242</f>
        <v>0</v>
      </c>
    </row>
    <row r="244" customFormat="false" ht="15" hidden="false" customHeight="false" outlineLevel="0" collapsed="false">
      <c r="Z244" s="0" t="s">
        <v>8</v>
      </c>
      <c r="AA244" s="0" t="n">
        <f aca="false">IF(COUNTIFS('Reguler Class Availability'!$L:$L,$B$4&amp;"|- Lane 5 - *|"&amp;Z244)&gt;0,1,0)</f>
        <v>0</v>
      </c>
      <c r="AB244" s="0" t="n">
        <f aca="false">AA244+AB243</f>
        <v>0</v>
      </c>
    </row>
    <row r="245" customFormat="false" ht="15" hidden="false" customHeight="false" outlineLevel="0" collapsed="false">
      <c r="Z245" s="0" t="s">
        <v>9</v>
      </c>
      <c r="AA245" s="0" t="n">
        <f aca="false">IF(COUNTIFS('Reguler Class Availability'!$L:$L,$B$4&amp;"|- Lane 5 - *|"&amp;Z245)&gt;0,1,0)</f>
        <v>0</v>
      </c>
      <c r="AB245" s="0" t="n">
        <f aca="false">AA245+AB244</f>
        <v>0</v>
      </c>
    </row>
    <row r="246" customFormat="false" ht="15" hidden="false" customHeight="false" outlineLevel="0" collapsed="false">
      <c r="Z246" s="0" t="s">
        <v>18</v>
      </c>
      <c r="AA246" s="0" t="n">
        <f aca="false">IF(COUNTIFS('Reguler Class Availability'!$L:$L,$B$4&amp;"|- Lane 5 - *|"&amp;Z246)&gt;0,1,0)</f>
        <v>0</v>
      </c>
      <c r="AB246" s="0" t="n">
        <f aca="false">AA246+AB245</f>
        <v>0</v>
      </c>
    </row>
    <row r="247" customFormat="false" ht="15" hidden="false" customHeight="false" outlineLevel="0" collapsed="false">
      <c r="Z247" s="0" t="s">
        <v>19</v>
      </c>
      <c r="AA247" s="0" t="n">
        <f aca="false">IF(COUNTIFS('Reguler Class Availability'!$L:$L,$B$4&amp;"|- Lane 5 - *|"&amp;Z247)&gt;0,1,0)</f>
        <v>0</v>
      </c>
      <c r="AB247" s="0" t="n">
        <f aca="false">AA247+AB246</f>
        <v>0</v>
      </c>
    </row>
    <row r="248" customFormat="false" ht="15" hidden="false" customHeight="false" outlineLevel="0" collapsed="false">
      <c r="Z248" s="0" t="s">
        <v>20</v>
      </c>
      <c r="AA248" s="0" t="n">
        <f aca="false">IF(COUNTIFS('Reguler Class Availability'!$L:$L,$B$4&amp;"|- Lane 5 - *|"&amp;Z248)&gt;0,1,0)</f>
        <v>0</v>
      </c>
      <c r="AB248" s="0" t="n">
        <f aca="false">AA248+AB247</f>
        <v>0</v>
      </c>
    </row>
    <row r="249" customFormat="false" ht="15" hidden="false" customHeight="false" outlineLevel="0" collapsed="false">
      <c r="Z249" s="0" t="s">
        <v>27</v>
      </c>
      <c r="AA249" s="0" t="n">
        <f aca="false">IF(COUNTIFS('Reguler Class Availability'!$L:$L,$B$4&amp;"|- Lane 5 - *|"&amp;Z249)&gt;0,1,0)</f>
        <v>0</v>
      </c>
      <c r="AB249" s="0" t="n">
        <f aca="false">AA249+AB248</f>
        <v>0</v>
      </c>
    </row>
    <row r="250" customFormat="false" ht="15" hidden="false" customHeight="false" outlineLevel="0" collapsed="false">
      <c r="Z250" s="0" t="s">
        <v>34</v>
      </c>
      <c r="AA250" s="0" t="n">
        <f aca="false">IF(COUNTIFS('Reguler Class Availability'!$L:$L,$B$4&amp;"|- Lane 5 - *|"&amp;Z250)&gt;0,1,0)</f>
        <v>1</v>
      </c>
      <c r="AB250" s="0" t="n">
        <f aca="false">AA250+AB249</f>
        <v>1</v>
      </c>
    </row>
    <row r="251" customFormat="false" ht="15" hidden="false" customHeight="false" outlineLevel="0" collapsed="false">
      <c r="Z251" s="0" t="s">
        <v>35</v>
      </c>
      <c r="AA251" s="0" t="n">
        <f aca="false">IF(COUNTIFS('Reguler Class Availability'!$L:$L,$B$4&amp;"|- Lane 5 - *|"&amp;Z251)&gt;0,1,0)</f>
        <v>0</v>
      </c>
      <c r="AB251" s="0" t="n">
        <f aca="false">AA251+AB250</f>
        <v>1</v>
      </c>
    </row>
    <row r="252" customFormat="false" ht="15" hidden="false" customHeight="false" outlineLevel="0" collapsed="false">
      <c r="Z252" s="0" t="s">
        <v>37</v>
      </c>
      <c r="AA252" s="0" t="n">
        <f aca="false">IF(COUNTIFS('Reguler Class Availability'!$L:$L,$B$4&amp;"|- Lane 5 - *|"&amp;Z252)&gt;0,1,0)</f>
        <v>0</v>
      </c>
      <c r="AB252" s="0" t="n">
        <f aca="false">AA252+AB251</f>
        <v>1</v>
      </c>
    </row>
    <row r="253" customFormat="false" ht="15" hidden="false" customHeight="false" outlineLevel="0" collapsed="false">
      <c r="Z253" s="0" t="s">
        <v>46</v>
      </c>
      <c r="AA253" s="0" t="n">
        <f aca="false">IF(COUNTIFS('Reguler Class Availability'!$L:$L,$B$4&amp;"|- Lane 5 - *|"&amp;Z253)&gt;0,1,0)</f>
        <v>1</v>
      </c>
      <c r="AB253" s="0" t="n">
        <f aca="false">AA253+AB252</f>
        <v>2</v>
      </c>
    </row>
    <row r="254" customFormat="false" ht="15" hidden="false" customHeight="false" outlineLevel="0" collapsed="false">
      <c r="Z254" s="0" t="s">
        <v>47</v>
      </c>
      <c r="AA254" s="0" t="n">
        <f aca="false">IF(COUNTIFS('Reguler Class Availability'!$L:$L,$B$4&amp;"|- Lane 5 - *|"&amp;Z254)&gt;0,1,0)</f>
        <v>0</v>
      </c>
      <c r="AB254" s="0" t="n">
        <f aca="false">AA254+AB253</f>
        <v>2</v>
      </c>
    </row>
    <row r="255" customFormat="false" ht="15" hidden="false" customHeight="false" outlineLevel="0" collapsed="false">
      <c r="Z255" s="0" t="s">
        <v>48</v>
      </c>
      <c r="AA255" s="0" t="n">
        <f aca="false">IF(COUNTIFS('Reguler Class Availability'!$L:$L,$B$4&amp;"|- Lane 5 - *|"&amp;Z255)&gt;0,1,0)</f>
        <v>0</v>
      </c>
      <c r="AB255" s="0" t="n">
        <f aca="false">AA255+AB254</f>
        <v>2</v>
      </c>
    </row>
    <row r="256" customFormat="false" ht="15" hidden="false" customHeight="false" outlineLevel="0" collapsed="false">
      <c r="Z256" s="0" t="s">
        <v>49</v>
      </c>
      <c r="AA256" s="0" t="n">
        <f aca="false">IF(COUNTIFS('Reguler Class Availability'!$L:$L,$B$4&amp;"|- Lane 5 - *|"&amp;Z256)&gt;0,1,0)</f>
        <v>1</v>
      </c>
      <c r="AB256" s="0" t="n">
        <f aca="false">AA256+AB255</f>
        <v>3</v>
      </c>
    </row>
    <row r="257" customFormat="false" ht="15" hidden="false" customHeight="false" outlineLevel="0" collapsed="false">
      <c r="Z257" s="0" t="s">
        <v>50</v>
      </c>
      <c r="AA257" s="0" t="n">
        <f aca="false">IF(COUNTIFS('Reguler Class Availability'!$L:$L,$B$4&amp;"|- Lane 5 - *|"&amp;Z257)&gt;0,1,0)</f>
        <v>0</v>
      </c>
      <c r="AB257" s="0" t="n">
        <f aca="false">AA257+AB256</f>
        <v>3</v>
      </c>
    </row>
    <row r="258" customFormat="false" ht="15" hidden="false" customHeight="false" outlineLevel="0" collapsed="false">
      <c r="Z258" s="0" t="s">
        <v>51</v>
      </c>
      <c r="AA258" s="0" t="n">
        <f aca="false">IF(COUNTIFS('Reguler Class Availability'!$L:$L,$B$4&amp;"|- Lane 5 - *|"&amp;Z258)&gt;0,1,0)</f>
        <v>0</v>
      </c>
      <c r="AB258" s="0" t="n">
        <f aca="false">AA258+AB257</f>
        <v>3</v>
      </c>
    </row>
    <row r="259" customFormat="false" ht="15" hidden="false" customHeight="false" outlineLevel="0" collapsed="false">
      <c r="Z259" s="0" t="s">
        <v>52</v>
      </c>
      <c r="AA259" s="0" t="n">
        <f aca="false">IF(COUNTIFS('Reguler Class Availability'!$L:$L,$B$4&amp;"|- Lane 5 - *|"&amp;Z259)&gt;0,1,0)</f>
        <v>1</v>
      </c>
      <c r="AB259" s="0" t="n">
        <f aca="false">AA259+AB258</f>
        <v>4</v>
      </c>
    </row>
    <row r="260" customFormat="false" ht="15" hidden="false" customHeight="false" outlineLevel="0" collapsed="false">
      <c r="Z260" s="0" t="s">
        <v>53</v>
      </c>
      <c r="AA260" s="0" t="n">
        <f aca="false">IF(COUNTIFS('Reguler Class Availability'!$L:$L,$B$4&amp;"|- Lane 5 - *|"&amp;Z260)&gt;0,1,0)</f>
        <v>0</v>
      </c>
      <c r="AB260" s="0" t="n">
        <f aca="false">AA260+AB259</f>
        <v>4</v>
      </c>
    </row>
    <row r="261" customFormat="false" ht="15" hidden="false" customHeight="false" outlineLevel="0" collapsed="false">
      <c r="Z261" s="0" t="s">
        <v>54</v>
      </c>
      <c r="AA261" s="0" t="n">
        <f aca="false">IF(COUNTIFS('Reguler Class Availability'!$L:$L,$B$4&amp;"|- Lane 5 - *|"&amp;Z261)&gt;0,1,0)</f>
        <v>0</v>
      </c>
      <c r="AB261" s="0" t="n">
        <f aca="false">AA261+AB260</f>
        <v>4</v>
      </c>
    </row>
    <row r="262" customFormat="false" ht="15" hidden="false" customHeight="false" outlineLevel="0" collapsed="false">
      <c r="Z262" s="0" t="s">
        <v>55</v>
      </c>
      <c r="AA262" s="0" t="n">
        <f aca="false">IF(COUNTIFS('Reguler Class Availability'!$L:$L,$B$4&amp;"|- Lane 5 - *|"&amp;Z262)&gt;0,1,0)</f>
        <v>1</v>
      </c>
      <c r="AB262" s="0" t="n">
        <f aca="false">AA262+AB261</f>
        <v>5</v>
      </c>
    </row>
    <row r="263" customFormat="false" ht="15" hidden="false" customHeight="false" outlineLevel="0" collapsed="false">
      <c r="Z263" s="0" t="s">
        <v>56</v>
      </c>
      <c r="AA263" s="0" t="n">
        <f aca="false">IF(COUNTIFS('Reguler Class Availability'!$L:$L,$B$4&amp;"|- Lane 5 - *|"&amp;Z263)&gt;0,1,0)</f>
        <v>0</v>
      </c>
      <c r="AB263" s="0" t="n">
        <f aca="false">AA263+AB262</f>
        <v>5</v>
      </c>
    </row>
    <row r="264" customFormat="false" ht="15" hidden="false" customHeight="false" outlineLevel="0" collapsed="false">
      <c r="Z264" s="0" t="s">
        <v>57</v>
      </c>
      <c r="AA264" s="0" t="n">
        <f aca="false">IF(COUNTIFS('Reguler Class Availability'!$L:$L,$B$4&amp;"|- Lane 5 - *|"&amp;Z264)&gt;0,1,0)</f>
        <v>0</v>
      </c>
      <c r="AB264" s="0" t="n">
        <f aca="false">AA264+AB263</f>
        <v>5</v>
      </c>
    </row>
    <row r="265" customFormat="false" ht="15" hidden="false" customHeight="false" outlineLevel="0" collapsed="false">
      <c r="Z265" s="0" t="s">
        <v>58</v>
      </c>
      <c r="AA265" s="0" t="n">
        <f aca="false">IF(COUNTIFS('Reguler Class Availability'!$L:$L,$B$4&amp;"|- Lane 5 - *|"&amp;Z265)&gt;0,1,0)</f>
        <v>1</v>
      </c>
      <c r="AB265" s="0" t="n">
        <f aca="false">AA265+AB264</f>
        <v>6</v>
      </c>
    </row>
    <row r="266" customFormat="false" ht="15" hidden="false" customHeight="false" outlineLevel="0" collapsed="false">
      <c r="Z266" s="0" t="s">
        <v>59</v>
      </c>
      <c r="AA266" s="0" t="n">
        <f aca="false">IF(COUNTIFS('Reguler Class Availability'!$L:$L,$B$4&amp;"|- Lane 5 - *|"&amp;Z266)&gt;0,1,0)</f>
        <v>0</v>
      </c>
      <c r="AB266" s="0" t="n">
        <f aca="false">AA266+AB265</f>
        <v>6</v>
      </c>
    </row>
    <row r="267" customFormat="false" ht="15" hidden="false" customHeight="false" outlineLevel="0" collapsed="false">
      <c r="Z267" s="0" t="s">
        <v>60</v>
      </c>
      <c r="AA267" s="0" t="n">
        <f aca="false">IF(COUNTIFS('Reguler Class Availability'!$L:$L,$B$4&amp;"|- Lane 5 - *|"&amp;Z267)&gt;0,1,0)</f>
        <v>0</v>
      </c>
      <c r="AB267" s="0" t="n">
        <f aca="false">AA267+AB266</f>
        <v>6</v>
      </c>
    </row>
    <row r="268" customFormat="false" ht="15" hidden="false" customHeight="false" outlineLevel="0" collapsed="false">
      <c r="Z268" s="0" t="s">
        <v>61</v>
      </c>
      <c r="AA268" s="0" t="n">
        <f aca="false">IF(COUNTIFS('Reguler Class Availability'!$L:$L,$B$4&amp;"|- Lane 5 - *|"&amp;Z268)&gt;0,1,0)</f>
        <v>0</v>
      </c>
      <c r="AB268" s="0" t="n">
        <f aca="false">AA268+AB267</f>
        <v>6</v>
      </c>
    </row>
    <row r="269" customFormat="false" ht="15" hidden="false" customHeight="false" outlineLevel="0" collapsed="false">
      <c r="Z269" s="0" t="s">
        <v>62</v>
      </c>
      <c r="AA269" s="0" t="n">
        <f aca="false">IF(COUNTIFS('Reguler Class Availability'!$L:$L,$B$4&amp;"|- Lane 5 - *|"&amp;Z269)&gt;0,1,0)</f>
        <v>0</v>
      </c>
      <c r="AB269" s="0" t="n">
        <f aca="false">AA269+AB268</f>
        <v>6</v>
      </c>
    </row>
    <row r="270" customFormat="false" ht="15" hidden="false" customHeight="false" outlineLevel="0" collapsed="false">
      <c r="Z270" s="0" t="s">
        <v>64</v>
      </c>
      <c r="AA270" s="0" t="n">
        <f aca="false">IF(COUNTIFS('Reguler Class Availability'!$L:$L,$B$4&amp;"|- Lane 5 - *|"&amp;Z270)&gt;0,1,0)</f>
        <v>0</v>
      </c>
      <c r="AB270" s="0" t="n">
        <f aca="false">AA270+AB269</f>
        <v>6</v>
      </c>
    </row>
    <row r="271" customFormat="false" ht="15" hidden="false" customHeight="false" outlineLevel="0" collapsed="false">
      <c r="Z271" s="0" t="s">
        <v>65</v>
      </c>
      <c r="AA271" s="0" t="n">
        <f aca="false">IF(COUNTIFS('Reguler Class Availability'!$L:$L,$B$4&amp;"|- Lane 5 - *|"&amp;Z271)&gt;0,1,0)</f>
        <v>1</v>
      </c>
      <c r="AB271" s="0" t="n">
        <f aca="false">AA271+AB270</f>
        <v>7</v>
      </c>
    </row>
    <row r="272" customFormat="false" ht="15" hidden="false" customHeight="false" outlineLevel="0" collapsed="false">
      <c r="Z272" s="0" t="s">
        <v>67</v>
      </c>
      <c r="AA272" s="0" t="n">
        <f aca="false">IF(COUNTIFS('Reguler Class Availability'!$L:$L,$B$4&amp;"|- Lane 5 - *|"&amp;Z272)&gt;0,1,0)</f>
        <v>0</v>
      </c>
      <c r="AB272" s="0" t="n">
        <f aca="false">AA272+AB271</f>
        <v>7</v>
      </c>
    </row>
    <row r="273" customFormat="false" ht="15" hidden="false" customHeight="false" outlineLevel="0" collapsed="false">
      <c r="Z273" s="0" t="s">
        <v>68</v>
      </c>
      <c r="AA273" s="0" t="n">
        <f aca="false">IF(COUNTIFS('Reguler Class Availability'!$L:$L,$B$4&amp;"|- Lane 5 - *|"&amp;Z273)&gt;0,1,0)</f>
        <v>0</v>
      </c>
      <c r="AB273" s="0" t="n">
        <f aca="false">AA273+AB272</f>
        <v>7</v>
      </c>
    </row>
    <row r="274" customFormat="false" ht="15" hidden="false" customHeight="false" outlineLevel="0" collapsed="false">
      <c r="Z274" s="0" t="s">
        <v>69</v>
      </c>
      <c r="AA274" s="0" t="n">
        <f aca="false">IF(COUNTIFS('Reguler Class Availability'!$L:$L,$B$4&amp;"|- Lane 5 - *|"&amp;Z274)&gt;0,1,0)</f>
        <v>1</v>
      </c>
      <c r="AB274" s="0" t="n">
        <f aca="false">AA274+AB273</f>
        <v>8</v>
      </c>
    </row>
    <row r="275" customFormat="false" ht="15" hidden="false" customHeight="false" outlineLevel="0" collapsed="false">
      <c r="Z275" s="0" t="s">
        <v>70</v>
      </c>
      <c r="AA275" s="0" t="n">
        <f aca="false">IF(COUNTIFS('Reguler Class Availability'!$L:$L,$B$4&amp;"|- Lane 5 - *|"&amp;Z275)&gt;0,1,0)</f>
        <v>0</v>
      </c>
      <c r="AB275" s="0" t="n">
        <f aca="false">AA275+AB274</f>
        <v>8</v>
      </c>
    </row>
    <row r="276" customFormat="false" ht="15" hidden="false" customHeight="false" outlineLevel="0" collapsed="false">
      <c r="Z276" s="0" t="s">
        <v>71</v>
      </c>
      <c r="AA276" s="0" t="n">
        <f aca="false">IF(COUNTIFS('Reguler Class Availability'!$L:$L,$B$4&amp;"|- Lane 5 - *|"&amp;Z276)&gt;0,1,0)</f>
        <v>0</v>
      </c>
      <c r="AB276" s="0" t="n">
        <f aca="false">AA276+AB275</f>
        <v>8</v>
      </c>
    </row>
    <row r="277" customFormat="false" ht="15" hidden="false" customHeight="false" outlineLevel="0" collapsed="false">
      <c r="Z277" s="0" t="s">
        <v>72</v>
      </c>
      <c r="AA277" s="0" t="n">
        <f aca="false">IF(COUNTIFS('Reguler Class Availability'!$L:$L,$B$4&amp;"|- Lane 5 - *|"&amp;Z277)&gt;0,1,0)</f>
        <v>1</v>
      </c>
      <c r="AB277" s="0" t="n">
        <f aca="false">AA277+AB276</f>
        <v>9</v>
      </c>
    </row>
    <row r="278" customFormat="false" ht="15" hidden="false" customHeight="false" outlineLevel="0" collapsed="false">
      <c r="Z278" s="0" t="s">
        <v>73</v>
      </c>
      <c r="AA278" s="0" t="n">
        <f aca="false">IF(COUNTIFS('Reguler Class Availability'!$L:$L,$B$4&amp;"|- Lane 5 - *|"&amp;Z278)&gt;0,1,0)</f>
        <v>0</v>
      </c>
      <c r="AB278" s="0" t="n">
        <f aca="false">AA278+AB277</f>
        <v>9</v>
      </c>
    </row>
    <row r="279" customFormat="false" ht="15" hidden="false" customHeight="false" outlineLevel="0" collapsed="false">
      <c r="Z279" s="0" t="s">
        <v>74</v>
      </c>
      <c r="AA279" s="0" t="n">
        <f aca="false">IF(COUNTIFS('Reguler Class Availability'!$L:$L,$B$4&amp;"|- Lane 5 - *|"&amp;Z279)&gt;0,1,0)</f>
        <v>0</v>
      </c>
      <c r="AB279" s="0" t="n">
        <f aca="false">AA279+AB278</f>
        <v>9</v>
      </c>
    </row>
    <row r="280" customFormat="false" ht="15" hidden="false" customHeight="false" outlineLevel="0" collapsed="false">
      <c r="Z280" s="0" t="s">
        <v>75</v>
      </c>
      <c r="AA280" s="0" t="n">
        <f aca="false">IF(COUNTIFS('Reguler Class Availability'!$L:$L,$B$4&amp;"|- Lane 5 - *|"&amp;Z280)&gt;0,1,0)</f>
        <v>1</v>
      </c>
      <c r="AB280" s="0" t="n">
        <f aca="false">AA280+AB279</f>
        <v>10</v>
      </c>
    </row>
    <row r="281" customFormat="false" ht="15" hidden="false" customHeight="false" outlineLevel="0" collapsed="false">
      <c r="Z281" s="0" t="s">
        <v>76</v>
      </c>
      <c r="AA281" s="0" t="n">
        <f aca="false">IF(COUNTIFS('Reguler Class Availability'!$L:$L,$B$4&amp;"|- Lane 5 - *|"&amp;Z281)&gt;0,1,0)</f>
        <v>0</v>
      </c>
      <c r="AB281" s="0" t="n">
        <f aca="false">AA281+AB280</f>
        <v>10</v>
      </c>
    </row>
    <row r="282" customFormat="false" ht="15" hidden="false" customHeight="false" outlineLevel="0" collapsed="false">
      <c r="Z282" s="0" t="s">
        <v>77</v>
      </c>
      <c r="AA282" s="0" t="n">
        <f aca="false">IF(COUNTIFS('Reguler Class Availability'!$L:$L,$B$4&amp;"|- Lane 5 - *|"&amp;Z282)&gt;0,1,0)</f>
        <v>0</v>
      </c>
      <c r="AB282" s="0" t="n">
        <f aca="false">AA282+AB281</f>
        <v>10</v>
      </c>
    </row>
    <row r="283" customFormat="false" ht="15" hidden="false" customHeight="false" outlineLevel="0" collapsed="false">
      <c r="Z283" s="0" t="s">
        <v>78</v>
      </c>
      <c r="AA283" s="0" t="n">
        <f aca="false">IF(COUNTIFS('Reguler Class Availability'!$L:$L,$B$4&amp;"|- Lane 5 - *|"&amp;Z283)&gt;0,1,0)</f>
        <v>1</v>
      </c>
      <c r="AB283" s="0" t="n">
        <f aca="false">AA283+AB282</f>
        <v>11</v>
      </c>
    </row>
    <row r="284" customFormat="false" ht="15" hidden="false" customHeight="false" outlineLevel="0" collapsed="false">
      <c r="Z284" s="0" t="s">
        <v>79</v>
      </c>
      <c r="AA284" s="0" t="n">
        <f aca="false">IF(COUNTIFS('Reguler Class Availability'!$L:$L,$B$4&amp;"|- Lane 5 - *|"&amp;Z284)&gt;0,1,0)</f>
        <v>0</v>
      </c>
      <c r="AB284" s="0" t="n">
        <f aca="false">AA284+AB283</f>
        <v>11</v>
      </c>
    </row>
    <row r="285" customFormat="false" ht="15" hidden="false" customHeight="false" outlineLevel="0" collapsed="false">
      <c r="Z285" s="0" t="s">
        <v>80</v>
      </c>
      <c r="AA285" s="0" t="n">
        <f aca="false">IF(COUNTIFS('Reguler Class Availability'!$L:$L,$B$4&amp;"|- Lane 5 - *|"&amp;Z285)&gt;0,1,0)</f>
        <v>0</v>
      </c>
      <c r="AB285" s="0" t="n">
        <f aca="false">AA285+AB284</f>
        <v>11</v>
      </c>
    </row>
    <row r="286" customFormat="false" ht="15" hidden="false" customHeight="false" outlineLevel="0" collapsed="false">
      <c r="Z286" s="0" t="s">
        <v>81</v>
      </c>
      <c r="AA286" s="0" t="n">
        <f aca="false">IF(COUNTIFS('Reguler Class Availability'!$L:$L,$B$4&amp;"|- Lane 5 - *|"&amp;Z286)&gt;0,1,0)</f>
        <v>1</v>
      </c>
      <c r="AB286" s="0" t="n">
        <f aca="false">AA286+AB285</f>
        <v>12</v>
      </c>
    </row>
    <row r="287" customFormat="false" ht="15" hidden="false" customHeight="false" outlineLevel="0" collapsed="false">
      <c r="Z287" s="0" t="s">
        <v>82</v>
      </c>
      <c r="AA287" s="0" t="n">
        <f aca="false">IF(COUNTIFS('Reguler Class Availability'!$L:$L,$B$4&amp;"|- Lane 5 - *|"&amp;Z287)&gt;0,1,0)</f>
        <v>0</v>
      </c>
      <c r="AB287" s="0" t="n">
        <f aca="false">AA287+AB286</f>
        <v>12</v>
      </c>
    </row>
    <row r="288" customFormat="false" ht="15" hidden="false" customHeight="false" outlineLevel="0" collapsed="false">
      <c r="Z288" s="0" t="s">
        <v>83</v>
      </c>
      <c r="AA288" s="0" t="n">
        <f aca="false">IF(COUNTIFS('Reguler Class Availability'!$L:$L,$B$4&amp;"|- Lane 5 - *|"&amp;Z288)&gt;0,1,0)</f>
        <v>0</v>
      </c>
      <c r="AB288" s="0" t="n">
        <f aca="false">AA288+AB287</f>
        <v>12</v>
      </c>
    </row>
    <row r="289" customFormat="false" ht="15" hidden="false" customHeight="false" outlineLevel="0" collapsed="false">
      <c r="Z289" s="0" t="s">
        <v>84</v>
      </c>
      <c r="AA289" s="0" t="n">
        <f aca="false">IF(COUNTIFS('Reguler Class Availability'!$L:$L,$B$4&amp;"|- Lane 5 - *|"&amp;Z289)&gt;0,1,0)</f>
        <v>0</v>
      </c>
      <c r="AB289" s="0" t="n">
        <f aca="false">AA289+AB288</f>
        <v>12</v>
      </c>
    </row>
    <row r="290" customFormat="false" ht="15" hidden="false" customHeight="false" outlineLevel="0" collapsed="false">
      <c r="Z290" s="0" t="s">
        <v>86</v>
      </c>
      <c r="AA290" s="0" t="n">
        <f aca="false">IF(COUNTIFS('Reguler Class Availability'!$L:$L,$B$4&amp;"|- Lane 5 - *|"&amp;Z290)&gt;0,1,0)</f>
        <v>0</v>
      </c>
      <c r="AB290" s="0" t="n">
        <f aca="false">AA290+AB289</f>
        <v>12</v>
      </c>
    </row>
    <row r="291" customFormat="false" ht="15" hidden="false" customHeight="false" outlineLevel="0" collapsed="false">
      <c r="Z291" s="0" t="s">
        <v>87</v>
      </c>
      <c r="AA291" s="0" t="n">
        <f aca="false">IF(COUNTIFS('Reguler Class Availability'!$L:$L,$B$4&amp;"|- Lane 5 - *|"&amp;Z291)&gt;0,1,0)</f>
        <v>0</v>
      </c>
      <c r="AB291" s="0" t="n">
        <f aca="false">AA291+AB290</f>
        <v>12</v>
      </c>
    </row>
    <row r="292" customFormat="false" ht="15" hidden="false" customHeight="false" outlineLevel="0" collapsed="false">
      <c r="Z292" s="0" t="s">
        <v>88</v>
      </c>
      <c r="AA292" s="0" t="n">
        <f aca="false">IF(COUNTIFS('Reguler Class Availability'!$L:$L,$B$4&amp;"|- Lane 5 - *|"&amp;Z292)&gt;0,1,0)</f>
        <v>0</v>
      </c>
      <c r="AB292" s="0" t="n">
        <f aca="false">AA292+AB291</f>
        <v>12</v>
      </c>
    </row>
    <row r="293" customFormat="false" ht="15" hidden="false" customHeight="false" outlineLevel="0" collapsed="false">
      <c r="Z293" s="0" t="s">
        <v>89</v>
      </c>
      <c r="AA293" s="0" t="n">
        <f aca="false">IF(COUNTIFS('Reguler Class Availability'!$L:$L,$B$4&amp;"|- Lane 5 - *|"&amp;Z293)&gt;0,1,0)</f>
        <v>0</v>
      </c>
      <c r="AB293" s="0" t="n">
        <f aca="false">AA293+AB292</f>
        <v>12</v>
      </c>
    </row>
    <row r="294" customFormat="false" ht="15" hidden="false" customHeight="false" outlineLevel="0" collapsed="false">
      <c r="Z294" s="0" t="s">
        <v>90</v>
      </c>
      <c r="AA294" s="0" t="n">
        <f aca="false">IF(COUNTIFS('Reguler Class Availability'!$L:$L,$B$4&amp;"|- Lane 5 - *|"&amp;Z294)&gt;0,1,0)</f>
        <v>0</v>
      </c>
      <c r="AB294" s="0" t="n">
        <f aca="false">AA294+AB293</f>
        <v>12</v>
      </c>
    </row>
    <row r="295" customFormat="false" ht="15" hidden="false" customHeight="false" outlineLevel="0" collapsed="false">
      <c r="Z295" s="0" t="s">
        <v>91</v>
      </c>
      <c r="AA295" s="0" t="n">
        <f aca="false">IF(COUNTIFS('Reguler Class Availability'!$L:$L,$B$4&amp;"|- Lane 5 - *|"&amp;Z295)&gt;0,1,0)</f>
        <v>0</v>
      </c>
      <c r="AB295" s="0" t="n">
        <f aca="false">AA295+AB294</f>
        <v>12</v>
      </c>
    </row>
    <row r="296" customFormat="false" ht="15" hidden="false" customHeight="false" outlineLevel="0" collapsed="false">
      <c r="Z296" s="0" t="s">
        <v>92</v>
      </c>
      <c r="AA296" s="0" t="n">
        <f aca="false">IF(COUNTIFS('Reguler Class Availability'!$L:$L,$B$4&amp;"|- Lane 5 - *|"&amp;Z296)&gt;0,1,0)</f>
        <v>0</v>
      </c>
      <c r="AB296" s="0" t="n">
        <f aca="false">AA296+AB295</f>
        <v>12</v>
      </c>
    </row>
    <row r="297" customFormat="false" ht="15" hidden="false" customHeight="false" outlineLevel="0" collapsed="false">
      <c r="Z297" s="0" t="s">
        <v>93</v>
      </c>
      <c r="AA297" s="0" t="n">
        <f aca="false">IF(COUNTIFS('Reguler Class Availability'!$L:$L,$B$4&amp;"|- Lane 5 - *|"&amp;Z297)&gt;0,1,0)</f>
        <v>0</v>
      </c>
      <c r="AB297" s="0" t="n">
        <f aca="false">AA297+AB296</f>
        <v>12</v>
      </c>
    </row>
    <row r="298" customFormat="false" ht="15" hidden="false" customHeight="false" outlineLevel="0" collapsed="false">
      <c r="Z298" s="0" t="s">
        <v>94</v>
      </c>
      <c r="AA298" s="0" t="n">
        <f aca="false">IF(COUNTIFS('Reguler Class Availability'!$L:$L,$B$4&amp;"|- Lane 5 - *|"&amp;Z298)&gt;0,1,0)</f>
        <v>0</v>
      </c>
      <c r="AB298" s="0" t="n">
        <f aca="false">AA298+AB297</f>
        <v>12</v>
      </c>
    </row>
    <row r="299" customFormat="false" ht="15" hidden="false" customHeight="false" outlineLevel="0" collapsed="false">
      <c r="Z299" s="0" t="s">
        <v>95</v>
      </c>
      <c r="AA299" s="0" t="n">
        <f aca="false">IF(COUNTIFS('Reguler Class Availability'!$L:$L,$B$4&amp;"|- Lane 5 - *|"&amp;Z299)&gt;0,1,0)</f>
        <v>0</v>
      </c>
      <c r="AB299" s="0" t="n">
        <f aca="false">AA299+AB298</f>
        <v>12</v>
      </c>
    </row>
    <row r="300" customFormat="false" ht="15" hidden="false" customHeight="false" outlineLevel="0" collapsed="false">
      <c r="Z300" s="0" t="s">
        <v>96</v>
      </c>
      <c r="AA300" s="0" t="n">
        <f aca="false">IF(COUNTIFS('Reguler Class Availability'!$L:$L,$B$4&amp;"|- Lane 5 - *|"&amp;Z300)&gt;0,1,0)</f>
        <v>0</v>
      </c>
      <c r="AB300" s="0" t="n">
        <f aca="false">AA300+AB299</f>
        <v>12</v>
      </c>
    </row>
    <row r="301" customFormat="false" ht="15" hidden="false" customHeight="false" outlineLevel="0" collapsed="false">
      <c r="Z301" s="0" t="s">
        <v>97</v>
      </c>
      <c r="AA301" s="0" t="n">
        <f aca="false">IF(COUNTIFS('Reguler Class Availability'!$L:$L,$B$4&amp;"|- Lane 5 - *|"&amp;Z301)&gt;0,1,0)</f>
        <v>0</v>
      </c>
      <c r="AB301" s="0" t="n">
        <f aca="false">AA301+AB300</f>
        <v>12</v>
      </c>
    </row>
    <row r="302" customFormat="false" ht="15" hidden="false" customHeight="false" outlineLevel="0" collapsed="false">
      <c r="Z302" s="0" t="s">
        <v>3</v>
      </c>
      <c r="AA302" s="0" t="n">
        <f aca="false">IF(COUNTIFS('Reguler Class Availability'!$L:$L,$B$4&amp;"|- Lane 6 - *|"&amp;Z302)&gt;0,1,0)</f>
        <v>0</v>
      </c>
      <c r="AB302" s="0" t="n">
        <f aca="false">AA302</f>
        <v>0</v>
      </c>
    </row>
    <row r="303" customFormat="false" ht="15" hidden="false" customHeight="false" outlineLevel="0" collapsed="false">
      <c r="Z303" s="0" t="s">
        <v>4</v>
      </c>
      <c r="AA303" s="0" t="n">
        <f aca="false">IF(COUNTIFS('Reguler Class Availability'!$L:$L,$B$4&amp;"|- Lane 6 - *|"&amp;Z303)&gt;0,1,0)</f>
        <v>0</v>
      </c>
      <c r="AB303" s="0" t="n">
        <f aca="false">AA303+AB302</f>
        <v>0</v>
      </c>
    </row>
    <row r="304" customFormat="false" ht="15" hidden="false" customHeight="false" outlineLevel="0" collapsed="false">
      <c r="Z304" s="0" t="s">
        <v>8</v>
      </c>
      <c r="AA304" s="0" t="n">
        <f aca="false">IF(COUNTIFS('Reguler Class Availability'!$L:$L,$B$4&amp;"|- Lane 6 - *|"&amp;Z304)&gt;0,1,0)</f>
        <v>0</v>
      </c>
      <c r="AB304" s="0" t="n">
        <f aca="false">AA304+AB303</f>
        <v>0</v>
      </c>
    </row>
    <row r="305" customFormat="false" ht="15" hidden="false" customHeight="false" outlineLevel="0" collapsed="false">
      <c r="Z305" s="0" t="s">
        <v>9</v>
      </c>
      <c r="AA305" s="0" t="n">
        <f aca="false">IF(COUNTIFS('Reguler Class Availability'!$L:$L,$B$4&amp;"|- Lane 6 - *|"&amp;Z305)&gt;0,1,0)</f>
        <v>0</v>
      </c>
      <c r="AB305" s="0" t="n">
        <f aca="false">AA305+AB304</f>
        <v>0</v>
      </c>
    </row>
    <row r="306" customFormat="false" ht="15" hidden="false" customHeight="false" outlineLevel="0" collapsed="false">
      <c r="Z306" s="0" t="s">
        <v>18</v>
      </c>
      <c r="AA306" s="0" t="n">
        <f aca="false">IF(COUNTIFS('Reguler Class Availability'!$L:$L,$B$4&amp;"|- Lane 6 - *|"&amp;Z306)&gt;0,1,0)</f>
        <v>0</v>
      </c>
      <c r="AB306" s="0" t="n">
        <f aca="false">AA306+AB305</f>
        <v>0</v>
      </c>
    </row>
    <row r="307" customFormat="false" ht="15" hidden="false" customHeight="false" outlineLevel="0" collapsed="false">
      <c r="Z307" s="0" t="s">
        <v>19</v>
      </c>
      <c r="AA307" s="0" t="n">
        <f aca="false">IF(COUNTIFS('Reguler Class Availability'!$L:$L,$B$4&amp;"|- Lane 6 - *|"&amp;Z307)&gt;0,1,0)</f>
        <v>0</v>
      </c>
      <c r="AB307" s="0" t="n">
        <f aca="false">AA307+AB306</f>
        <v>0</v>
      </c>
    </row>
    <row r="308" customFormat="false" ht="15" hidden="false" customHeight="false" outlineLevel="0" collapsed="false">
      <c r="Z308" s="0" t="s">
        <v>20</v>
      </c>
      <c r="AA308" s="0" t="n">
        <f aca="false">IF(COUNTIFS('Reguler Class Availability'!$L:$L,$B$4&amp;"|- Lane 6 - *|"&amp;Z308)&gt;0,1,0)</f>
        <v>0</v>
      </c>
      <c r="AB308" s="0" t="n">
        <f aca="false">AA308+AB307</f>
        <v>0</v>
      </c>
    </row>
    <row r="309" customFormat="false" ht="15" hidden="false" customHeight="false" outlineLevel="0" collapsed="false">
      <c r="Z309" s="0" t="s">
        <v>27</v>
      </c>
      <c r="AA309" s="0" t="n">
        <f aca="false">IF(COUNTIFS('Reguler Class Availability'!$L:$L,$B$4&amp;"|- Lane 6 - *|"&amp;Z309)&gt;0,1,0)</f>
        <v>0</v>
      </c>
      <c r="AB309" s="0" t="n">
        <f aca="false">AA309+AB308</f>
        <v>0</v>
      </c>
    </row>
    <row r="310" customFormat="false" ht="15" hidden="false" customHeight="false" outlineLevel="0" collapsed="false">
      <c r="Z310" s="0" t="s">
        <v>34</v>
      </c>
      <c r="AA310" s="0" t="n">
        <f aca="false">IF(COUNTIFS('Reguler Class Availability'!$L:$L,$B$4&amp;"|- Lane 6 - *|"&amp;Z310)&gt;0,1,0)</f>
        <v>1</v>
      </c>
      <c r="AB310" s="0" t="n">
        <f aca="false">AA310+AB309</f>
        <v>1</v>
      </c>
    </row>
    <row r="311" customFormat="false" ht="15" hidden="false" customHeight="false" outlineLevel="0" collapsed="false">
      <c r="Z311" s="0" t="s">
        <v>35</v>
      </c>
      <c r="AA311" s="0" t="n">
        <f aca="false">IF(COUNTIFS('Reguler Class Availability'!$L:$L,$B$4&amp;"|- Lane 6 - *|"&amp;Z311)&gt;0,1,0)</f>
        <v>0</v>
      </c>
      <c r="AB311" s="0" t="n">
        <f aca="false">AA311+AB310</f>
        <v>1</v>
      </c>
    </row>
    <row r="312" customFormat="false" ht="15" hidden="false" customHeight="false" outlineLevel="0" collapsed="false">
      <c r="Z312" s="0" t="s">
        <v>37</v>
      </c>
      <c r="AA312" s="0" t="n">
        <f aca="false">IF(COUNTIFS('Reguler Class Availability'!$L:$L,$B$4&amp;"|- Lane 6 - *|"&amp;Z312)&gt;0,1,0)</f>
        <v>0</v>
      </c>
      <c r="AB312" s="0" t="n">
        <f aca="false">AA312+AB311</f>
        <v>1</v>
      </c>
    </row>
    <row r="313" customFormat="false" ht="15" hidden="false" customHeight="false" outlineLevel="0" collapsed="false">
      <c r="Z313" s="0" t="s">
        <v>46</v>
      </c>
      <c r="AA313" s="0" t="n">
        <f aca="false">IF(COUNTIFS('Reguler Class Availability'!$L:$L,$B$4&amp;"|- Lane 6 - *|"&amp;Z313)&gt;0,1,0)</f>
        <v>1</v>
      </c>
      <c r="AB313" s="0" t="n">
        <f aca="false">AA313+AB312</f>
        <v>2</v>
      </c>
    </row>
    <row r="314" customFormat="false" ht="15" hidden="false" customHeight="false" outlineLevel="0" collapsed="false">
      <c r="Z314" s="0" t="s">
        <v>47</v>
      </c>
      <c r="AA314" s="0" t="n">
        <f aca="false">IF(COUNTIFS('Reguler Class Availability'!$L:$L,$B$4&amp;"|- Lane 6 - *|"&amp;Z314)&gt;0,1,0)</f>
        <v>0</v>
      </c>
      <c r="AB314" s="0" t="n">
        <f aca="false">AA314+AB313</f>
        <v>2</v>
      </c>
    </row>
    <row r="315" customFormat="false" ht="15" hidden="false" customHeight="false" outlineLevel="0" collapsed="false">
      <c r="Z315" s="0" t="s">
        <v>48</v>
      </c>
      <c r="AA315" s="0" t="n">
        <f aca="false">IF(COUNTIFS('Reguler Class Availability'!$L:$L,$B$4&amp;"|- Lane 6 - *|"&amp;Z315)&gt;0,1,0)</f>
        <v>0</v>
      </c>
      <c r="AB315" s="0" t="n">
        <f aca="false">AA315+AB314</f>
        <v>2</v>
      </c>
    </row>
    <row r="316" customFormat="false" ht="15" hidden="false" customHeight="false" outlineLevel="0" collapsed="false">
      <c r="Z316" s="0" t="s">
        <v>49</v>
      </c>
      <c r="AA316" s="0" t="n">
        <f aca="false">IF(COUNTIFS('Reguler Class Availability'!$L:$L,$B$4&amp;"|- Lane 6 - *|"&amp;Z316)&gt;0,1,0)</f>
        <v>1</v>
      </c>
      <c r="AB316" s="0" t="n">
        <f aca="false">AA316+AB315</f>
        <v>3</v>
      </c>
    </row>
    <row r="317" customFormat="false" ht="15" hidden="false" customHeight="false" outlineLevel="0" collapsed="false">
      <c r="Z317" s="0" t="s">
        <v>50</v>
      </c>
      <c r="AA317" s="0" t="n">
        <f aca="false">IF(COUNTIFS('Reguler Class Availability'!$L:$L,$B$4&amp;"|- Lane 6 - *|"&amp;Z317)&gt;0,1,0)</f>
        <v>0</v>
      </c>
      <c r="AB317" s="0" t="n">
        <f aca="false">AA317+AB316</f>
        <v>3</v>
      </c>
    </row>
    <row r="318" customFormat="false" ht="15" hidden="false" customHeight="false" outlineLevel="0" collapsed="false">
      <c r="Z318" s="0" t="s">
        <v>51</v>
      </c>
      <c r="AA318" s="0" t="n">
        <f aca="false">IF(COUNTIFS('Reguler Class Availability'!$L:$L,$B$4&amp;"|- Lane 6 - *|"&amp;Z318)&gt;0,1,0)</f>
        <v>0</v>
      </c>
      <c r="AB318" s="0" t="n">
        <f aca="false">AA318+AB317</f>
        <v>3</v>
      </c>
    </row>
    <row r="319" customFormat="false" ht="15" hidden="false" customHeight="false" outlineLevel="0" collapsed="false">
      <c r="Z319" s="0" t="s">
        <v>52</v>
      </c>
      <c r="AA319" s="0" t="n">
        <f aca="false">IF(COUNTIFS('Reguler Class Availability'!$L:$L,$B$4&amp;"|- Lane 6 - *|"&amp;Z319)&gt;0,1,0)</f>
        <v>1</v>
      </c>
      <c r="AB319" s="0" t="n">
        <f aca="false">AA319+AB318</f>
        <v>4</v>
      </c>
    </row>
    <row r="320" customFormat="false" ht="15" hidden="false" customHeight="false" outlineLevel="0" collapsed="false">
      <c r="Z320" s="0" t="s">
        <v>53</v>
      </c>
      <c r="AA320" s="0" t="n">
        <f aca="false">IF(COUNTIFS('Reguler Class Availability'!$L:$L,$B$4&amp;"|- Lane 6 - *|"&amp;Z320)&gt;0,1,0)</f>
        <v>0</v>
      </c>
      <c r="AB320" s="0" t="n">
        <f aca="false">AA320+AB319</f>
        <v>4</v>
      </c>
    </row>
    <row r="321" customFormat="false" ht="15" hidden="false" customHeight="false" outlineLevel="0" collapsed="false">
      <c r="Z321" s="0" t="s">
        <v>54</v>
      </c>
      <c r="AA321" s="0" t="n">
        <f aca="false">IF(COUNTIFS('Reguler Class Availability'!$L:$L,$B$4&amp;"|- Lane 6 - *|"&amp;Z321)&gt;0,1,0)</f>
        <v>0</v>
      </c>
      <c r="AB321" s="0" t="n">
        <f aca="false">AA321+AB320</f>
        <v>4</v>
      </c>
    </row>
    <row r="322" customFormat="false" ht="15" hidden="false" customHeight="false" outlineLevel="0" collapsed="false">
      <c r="Z322" s="0" t="s">
        <v>55</v>
      </c>
      <c r="AA322" s="0" t="n">
        <f aca="false">IF(COUNTIFS('Reguler Class Availability'!$L:$L,$B$4&amp;"|- Lane 6 - *|"&amp;Z322)&gt;0,1,0)</f>
        <v>1</v>
      </c>
      <c r="AB322" s="0" t="n">
        <f aca="false">AA322+AB321</f>
        <v>5</v>
      </c>
    </row>
    <row r="323" customFormat="false" ht="15" hidden="false" customHeight="false" outlineLevel="0" collapsed="false">
      <c r="Z323" s="0" t="s">
        <v>56</v>
      </c>
      <c r="AA323" s="0" t="n">
        <f aca="false">IF(COUNTIFS('Reguler Class Availability'!$L:$L,$B$4&amp;"|- Lane 6 - *|"&amp;Z323)&gt;0,1,0)</f>
        <v>0</v>
      </c>
      <c r="AB323" s="0" t="n">
        <f aca="false">AA323+AB322</f>
        <v>5</v>
      </c>
    </row>
    <row r="324" customFormat="false" ht="15" hidden="false" customHeight="false" outlineLevel="0" collapsed="false">
      <c r="Z324" s="0" t="s">
        <v>57</v>
      </c>
      <c r="AA324" s="0" t="n">
        <f aca="false">IF(COUNTIFS('Reguler Class Availability'!$L:$L,$B$4&amp;"|- Lane 6 - *|"&amp;Z324)&gt;0,1,0)</f>
        <v>0</v>
      </c>
      <c r="AB324" s="0" t="n">
        <f aca="false">AA324+AB323</f>
        <v>5</v>
      </c>
    </row>
    <row r="325" customFormat="false" ht="15" hidden="false" customHeight="false" outlineLevel="0" collapsed="false">
      <c r="Z325" s="0" t="s">
        <v>58</v>
      </c>
      <c r="AA325" s="0" t="n">
        <f aca="false">IF(COUNTIFS('Reguler Class Availability'!$L:$L,$B$4&amp;"|- Lane 6 - *|"&amp;Z325)&gt;0,1,0)</f>
        <v>1</v>
      </c>
      <c r="AB325" s="0" t="n">
        <f aca="false">AA325+AB324</f>
        <v>6</v>
      </c>
    </row>
    <row r="326" customFormat="false" ht="15" hidden="false" customHeight="false" outlineLevel="0" collapsed="false">
      <c r="Z326" s="0" t="s">
        <v>59</v>
      </c>
      <c r="AA326" s="0" t="n">
        <f aca="false">IF(COUNTIFS('Reguler Class Availability'!$L:$L,$B$4&amp;"|- Lane 6 - *|"&amp;Z326)&gt;0,1,0)</f>
        <v>0</v>
      </c>
      <c r="AB326" s="0" t="n">
        <f aca="false">AA326+AB325</f>
        <v>6</v>
      </c>
    </row>
    <row r="327" customFormat="false" ht="15" hidden="false" customHeight="false" outlineLevel="0" collapsed="false">
      <c r="Z327" s="0" t="s">
        <v>60</v>
      </c>
      <c r="AA327" s="0" t="n">
        <f aca="false">IF(COUNTIFS('Reguler Class Availability'!$L:$L,$B$4&amp;"|- Lane 6 - *|"&amp;Z327)&gt;0,1,0)</f>
        <v>0</v>
      </c>
      <c r="AB327" s="0" t="n">
        <f aca="false">AA327+AB326</f>
        <v>6</v>
      </c>
    </row>
    <row r="328" customFormat="false" ht="15" hidden="false" customHeight="false" outlineLevel="0" collapsed="false">
      <c r="Z328" s="0" t="s">
        <v>61</v>
      </c>
      <c r="AA328" s="0" t="n">
        <f aca="false">IF(COUNTIFS('Reguler Class Availability'!$L:$L,$B$4&amp;"|- Lane 6 - *|"&amp;Z328)&gt;0,1,0)</f>
        <v>0</v>
      </c>
      <c r="AB328" s="0" t="n">
        <f aca="false">AA328+AB327</f>
        <v>6</v>
      </c>
    </row>
    <row r="329" customFormat="false" ht="15" hidden="false" customHeight="false" outlineLevel="0" collapsed="false">
      <c r="Z329" s="0" t="s">
        <v>62</v>
      </c>
      <c r="AA329" s="0" t="n">
        <f aca="false">IF(COUNTIFS('Reguler Class Availability'!$L:$L,$B$4&amp;"|- Lane 6 - *|"&amp;Z329)&gt;0,1,0)</f>
        <v>0</v>
      </c>
      <c r="AB329" s="0" t="n">
        <f aca="false">AA329+AB328</f>
        <v>6</v>
      </c>
    </row>
    <row r="330" customFormat="false" ht="15" hidden="false" customHeight="false" outlineLevel="0" collapsed="false">
      <c r="Z330" s="0" t="s">
        <v>64</v>
      </c>
      <c r="AA330" s="0" t="n">
        <f aca="false">IF(COUNTIFS('Reguler Class Availability'!$L:$L,$B$4&amp;"|- Lane 6 - *|"&amp;Z330)&gt;0,1,0)</f>
        <v>0</v>
      </c>
      <c r="AB330" s="0" t="n">
        <f aca="false">AA330+AB329</f>
        <v>6</v>
      </c>
    </row>
    <row r="331" customFormat="false" ht="15" hidden="false" customHeight="false" outlineLevel="0" collapsed="false">
      <c r="Z331" s="0" t="s">
        <v>65</v>
      </c>
      <c r="AA331" s="0" t="n">
        <f aca="false">IF(COUNTIFS('Reguler Class Availability'!$L:$L,$B$4&amp;"|- Lane 6 - *|"&amp;Z331)&gt;0,1,0)</f>
        <v>1</v>
      </c>
      <c r="AB331" s="0" t="n">
        <f aca="false">AA331+AB330</f>
        <v>7</v>
      </c>
    </row>
    <row r="332" customFormat="false" ht="15" hidden="false" customHeight="false" outlineLevel="0" collapsed="false">
      <c r="Z332" s="0" t="s">
        <v>67</v>
      </c>
      <c r="AA332" s="0" t="n">
        <f aca="false">IF(COUNTIFS('Reguler Class Availability'!$L:$L,$B$4&amp;"|- Lane 6 - *|"&amp;Z332)&gt;0,1,0)</f>
        <v>0</v>
      </c>
      <c r="AB332" s="0" t="n">
        <f aca="false">AA332+AB331</f>
        <v>7</v>
      </c>
    </row>
    <row r="333" customFormat="false" ht="15" hidden="false" customHeight="false" outlineLevel="0" collapsed="false">
      <c r="Z333" s="0" t="s">
        <v>68</v>
      </c>
      <c r="AA333" s="0" t="n">
        <f aca="false">IF(COUNTIFS('Reguler Class Availability'!$L:$L,$B$4&amp;"|- Lane 6 - *|"&amp;Z333)&gt;0,1,0)</f>
        <v>0</v>
      </c>
      <c r="AB333" s="0" t="n">
        <f aca="false">AA333+AB332</f>
        <v>7</v>
      </c>
    </row>
    <row r="334" customFormat="false" ht="15" hidden="false" customHeight="false" outlineLevel="0" collapsed="false">
      <c r="Z334" s="0" t="s">
        <v>69</v>
      </c>
      <c r="AA334" s="0" t="n">
        <f aca="false">IF(COUNTIFS('Reguler Class Availability'!$L:$L,$B$4&amp;"|- Lane 6 - *|"&amp;Z334)&gt;0,1,0)</f>
        <v>1</v>
      </c>
      <c r="AB334" s="0" t="n">
        <f aca="false">AA334+AB333</f>
        <v>8</v>
      </c>
    </row>
    <row r="335" customFormat="false" ht="15" hidden="false" customHeight="false" outlineLevel="0" collapsed="false">
      <c r="Z335" s="0" t="s">
        <v>70</v>
      </c>
      <c r="AA335" s="0" t="n">
        <f aca="false">IF(COUNTIFS('Reguler Class Availability'!$L:$L,$B$4&amp;"|- Lane 6 - *|"&amp;Z335)&gt;0,1,0)</f>
        <v>0</v>
      </c>
      <c r="AB335" s="0" t="n">
        <f aca="false">AA335+AB334</f>
        <v>8</v>
      </c>
    </row>
    <row r="336" customFormat="false" ht="15" hidden="false" customHeight="false" outlineLevel="0" collapsed="false">
      <c r="Z336" s="0" t="s">
        <v>71</v>
      </c>
      <c r="AA336" s="0" t="n">
        <f aca="false">IF(COUNTIFS('Reguler Class Availability'!$L:$L,$B$4&amp;"|- Lane 6 - *|"&amp;Z336)&gt;0,1,0)</f>
        <v>0</v>
      </c>
      <c r="AB336" s="0" t="n">
        <f aca="false">AA336+AB335</f>
        <v>8</v>
      </c>
    </row>
    <row r="337" customFormat="false" ht="15" hidden="false" customHeight="false" outlineLevel="0" collapsed="false">
      <c r="Z337" s="0" t="s">
        <v>72</v>
      </c>
      <c r="AA337" s="0" t="n">
        <f aca="false">IF(COUNTIFS('Reguler Class Availability'!$L:$L,$B$4&amp;"|- Lane 6 - *|"&amp;Z337)&gt;0,1,0)</f>
        <v>1</v>
      </c>
      <c r="AB337" s="0" t="n">
        <f aca="false">AA337+AB336</f>
        <v>9</v>
      </c>
    </row>
    <row r="338" customFormat="false" ht="15" hidden="false" customHeight="false" outlineLevel="0" collapsed="false">
      <c r="Z338" s="0" t="s">
        <v>73</v>
      </c>
      <c r="AA338" s="0" t="n">
        <f aca="false">IF(COUNTIFS('Reguler Class Availability'!$L:$L,$B$4&amp;"|- Lane 6 - *|"&amp;Z338)&gt;0,1,0)</f>
        <v>0</v>
      </c>
      <c r="AB338" s="0" t="n">
        <f aca="false">AA338+AB337</f>
        <v>9</v>
      </c>
    </row>
    <row r="339" customFormat="false" ht="15" hidden="false" customHeight="false" outlineLevel="0" collapsed="false">
      <c r="Z339" s="0" t="s">
        <v>74</v>
      </c>
      <c r="AA339" s="0" t="n">
        <f aca="false">IF(COUNTIFS('Reguler Class Availability'!$L:$L,$B$4&amp;"|- Lane 6 - *|"&amp;Z339)&gt;0,1,0)</f>
        <v>0</v>
      </c>
      <c r="AB339" s="0" t="n">
        <f aca="false">AA339+AB338</f>
        <v>9</v>
      </c>
    </row>
    <row r="340" customFormat="false" ht="15" hidden="false" customHeight="false" outlineLevel="0" collapsed="false">
      <c r="Z340" s="0" t="s">
        <v>75</v>
      </c>
      <c r="AA340" s="0" t="n">
        <f aca="false">IF(COUNTIFS('Reguler Class Availability'!$L:$L,$B$4&amp;"|- Lane 6 - *|"&amp;Z340)&gt;0,1,0)</f>
        <v>1</v>
      </c>
      <c r="AB340" s="0" t="n">
        <f aca="false">AA340+AB339</f>
        <v>10</v>
      </c>
    </row>
    <row r="341" customFormat="false" ht="15" hidden="false" customHeight="false" outlineLevel="0" collapsed="false">
      <c r="Z341" s="0" t="s">
        <v>76</v>
      </c>
      <c r="AA341" s="0" t="n">
        <f aca="false">IF(COUNTIFS('Reguler Class Availability'!$L:$L,$B$4&amp;"|- Lane 6 - *|"&amp;Z341)&gt;0,1,0)</f>
        <v>0</v>
      </c>
      <c r="AB341" s="0" t="n">
        <f aca="false">AA341+AB340</f>
        <v>10</v>
      </c>
    </row>
    <row r="342" customFormat="false" ht="15" hidden="false" customHeight="false" outlineLevel="0" collapsed="false">
      <c r="Z342" s="0" t="s">
        <v>77</v>
      </c>
      <c r="AA342" s="0" t="n">
        <f aca="false">IF(COUNTIFS('Reguler Class Availability'!$L:$L,$B$4&amp;"|- Lane 6 - *|"&amp;Z342)&gt;0,1,0)</f>
        <v>0</v>
      </c>
      <c r="AB342" s="0" t="n">
        <f aca="false">AA342+AB341</f>
        <v>10</v>
      </c>
    </row>
    <row r="343" customFormat="false" ht="15" hidden="false" customHeight="false" outlineLevel="0" collapsed="false">
      <c r="Z343" s="0" t="s">
        <v>78</v>
      </c>
      <c r="AA343" s="0" t="n">
        <f aca="false">IF(COUNTIFS('Reguler Class Availability'!$L:$L,$B$4&amp;"|- Lane 6 - *|"&amp;Z343)&gt;0,1,0)</f>
        <v>1</v>
      </c>
      <c r="AB343" s="0" t="n">
        <f aca="false">AA343+AB342</f>
        <v>11</v>
      </c>
    </row>
    <row r="344" customFormat="false" ht="15" hidden="false" customHeight="false" outlineLevel="0" collapsed="false">
      <c r="Z344" s="0" t="s">
        <v>79</v>
      </c>
      <c r="AA344" s="0" t="n">
        <f aca="false">IF(COUNTIFS('Reguler Class Availability'!$L:$L,$B$4&amp;"|- Lane 6 - *|"&amp;Z344)&gt;0,1,0)</f>
        <v>0</v>
      </c>
      <c r="AB344" s="0" t="n">
        <f aca="false">AA344+AB343</f>
        <v>11</v>
      </c>
    </row>
    <row r="345" customFormat="false" ht="15" hidden="false" customHeight="false" outlineLevel="0" collapsed="false">
      <c r="Z345" s="0" t="s">
        <v>80</v>
      </c>
      <c r="AA345" s="0" t="n">
        <f aca="false">IF(COUNTIFS('Reguler Class Availability'!$L:$L,$B$4&amp;"|- Lane 6 - *|"&amp;Z345)&gt;0,1,0)</f>
        <v>0</v>
      </c>
      <c r="AB345" s="0" t="n">
        <f aca="false">AA345+AB344</f>
        <v>11</v>
      </c>
    </row>
    <row r="346" customFormat="false" ht="15" hidden="false" customHeight="false" outlineLevel="0" collapsed="false">
      <c r="Z346" s="0" t="s">
        <v>81</v>
      </c>
      <c r="AA346" s="0" t="n">
        <f aca="false">IF(COUNTIFS('Reguler Class Availability'!$L:$L,$B$4&amp;"|- Lane 6 - *|"&amp;Z346)&gt;0,1,0)</f>
        <v>1</v>
      </c>
      <c r="AB346" s="0" t="n">
        <f aca="false">AA346+AB345</f>
        <v>12</v>
      </c>
    </row>
    <row r="347" customFormat="false" ht="15" hidden="false" customHeight="false" outlineLevel="0" collapsed="false">
      <c r="Z347" s="0" t="s">
        <v>82</v>
      </c>
      <c r="AA347" s="0" t="n">
        <f aca="false">IF(COUNTIFS('Reguler Class Availability'!$L:$L,$B$4&amp;"|- Lane 6 - *|"&amp;Z347)&gt;0,1,0)</f>
        <v>0</v>
      </c>
      <c r="AB347" s="0" t="n">
        <f aca="false">AA347+AB346</f>
        <v>12</v>
      </c>
    </row>
    <row r="348" customFormat="false" ht="15" hidden="false" customHeight="false" outlineLevel="0" collapsed="false">
      <c r="Z348" s="0" t="s">
        <v>83</v>
      </c>
      <c r="AA348" s="0" t="n">
        <f aca="false">IF(COUNTIFS('Reguler Class Availability'!$L:$L,$B$4&amp;"|- Lane 6 - *|"&amp;Z348)&gt;0,1,0)</f>
        <v>0</v>
      </c>
      <c r="AB348" s="0" t="n">
        <f aca="false">AA348+AB347</f>
        <v>12</v>
      </c>
    </row>
    <row r="349" customFormat="false" ht="15" hidden="false" customHeight="false" outlineLevel="0" collapsed="false">
      <c r="Z349" s="0" t="s">
        <v>84</v>
      </c>
      <c r="AA349" s="0" t="n">
        <f aca="false">IF(COUNTIFS('Reguler Class Availability'!$L:$L,$B$4&amp;"|- Lane 6 - *|"&amp;Z349)&gt;0,1,0)</f>
        <v>0</v>
      </c>
      <c r="AB349" s="0" t="n">
        <f aca="false">AA349+AB348</f>
        <v>12</v>
      </c>
    </row>
    <row r="350" customFormat="false" ht="15" hidden="false" customHeight="false" outlineLevel="0" collapsed="false">
      <c r="Z350" s="0" t="s">
        <v>86</v>
      </c>
      <c r="AA350" s="0" t="n">
        <f aca="false">IF(COUNTIFS('Reguler Class Availability'!$L:$L,$B$4&amp;"|- Lane 6 - *|"&amp;Z350)&gt;0,1,0)</f>
        <v>0</v>
      </c>
      <c r="AB350" s="0" t="n">
        <f aca="false">AA350+AB349</f>
        <v>12</v>
      </c>
    </row>
    <row r="351" customFormat="false" ht="15" hidden="false" customHeight="false" outlineLevel="0" collapsed="false">
      <c r="Z351" s="0" t="s">
        <v>87</v>
      </c>
      <c r="AA351" s="0" t="n">
        <f aca="false">IF(COUNTIFS('Reguler Class Availability'!$L:$L,$B$4&amp;"|- Lane 6 - *|"&amp;Z351)&gt;0,1,0)</f>
        <v>0</v>
      </c>
      <c r="AB351" s="0" t="n">
        <f aca="false">AA351+AB350</f>
        <v>12</v>
      </c>
    </row>
    <row r="352" customFormat="false" ht="15" hidden="false" customHeight="false" outlineLevel="0" collapsed="false">
      <c r="Z352" s="0" t="s">
        <v>88</v>
      </c>
      <c r="AA352" s="0" t="n">
        <f aca="false">IF(COUNTIFS('Reguler Class Availability'!$L:$L,$B$4&amp;"|- Lane 6 - *|"&amp;Z352)&gt;0,1,0)</f>
        <v>0</v>
      </c>
      <c r="AB352" s="0" t="n">
        <f aca="false">AA352+AB351</f>
        <v>12</v>
      </c>
    </row>
    <row r="353" customFormat="false" ht="15" hidden="false" customHeight="false" outlineLevel="0" collapsed="false">
      <c r="Z353" s="0" t="s">
        <v>89</v>
      </c>
      <c r="AA353" s="0" t="n">
        <f aca="false">IF(COUNTIFS('Reguler Class Availability'!$L:$L,$B$4&amp;"|- Lane 6 - *|"&amp;Z353)&gt;0,1,0)</f>
        <v>0</v>
      </c>
      <c r="AB353" s="0" t="n">
        <f aca="false">AA353+AB352</f>
        <v>12</v>
      </c>
    </row>
    <row r="354" customFormat="false" ht="15" hidden="false" customHeight="false" outlineLevel="0" collapsed="false">
      <c r="Z354" s="0" t="s">
        <v>90</v>
      </c>
      <c r="AA354" s="0" t="n">
        <f aca="false">IF(COUNTIFS('Reguler Class Availability'!$L:$L,$B$4&amp;"|- Lane 6 - *|"&amp;Z354)&gt;0,1,0)</f>
        <v>0</v>
      </c>
      <c r="AB354" s="0" t="n">
        <f aca="false">AA354+AB353</f>
        <v>12</v>
      </c>
    </row>
    <row r="355" customFormat="false" ht="15" hidden="false" customHeight="false" outlineLevel="0" collapsed="false">
      <c r="Z355" s="0" t="s">
        <v>91</v>
      </c>
      <c r="AA355" s="0" t="n">
        <f aca="false">IF(COUNTIFS('Reguler Class Availability'!$L:$L,$B$4&amp;"|- Lane 6 - *|"&amp;Z355)&gt;0,1,0)</f>
        <v>0</v>
      </c>
      <c r="AB355" s="0" t="n">
        <f aca="false">AA355+AB354</f>
        <v>12</v>
      </c>
    </row>
    <row r="356" customFormat="false" ht="15" hidden="false" customHeight="false" outlineLevel="0" collapsed="false">
      <c r="Z356" s="0" t="s">
        <v>92</v>
      </c>
      <c r="AA356" s="0" t="n">
        <f aca="false">IF(COUNTIFS('Reguler Class Availability'!$L:$L,$B$4&amp;"|- Lane 6 - *|"&amp;Z356)&gt;0,1,0)</f>
        <v>0</v>
      </c>
      <c r="AB356" s="0" t="n">
        <f aca="false">AA356+AB355</f>
        <v>12</v>
      </c>
    </row>
    <row r="357" customFormat="false" ht="15" hidden="false" customHeight="false" outlineLevel="0" collapsed="false">
      <c r="Z357" s="0" t="s">
        <v>93</v>
      </c>
      <c r="AA357" s="0" t="n">
        <f aca="false">IF(COUNTIFS('Reguler Class Availability'!$L:$L,$B$4&amp;"|- Lane 6 - *|"&amp;Z357)&gt;0,1,0)</f>
        <v>0</v>
      </c>
      <c r="AB357" s="0" t="n">
        <f aca="false">AA357+AB356</f>
        <v>12</v>
      </c>
    </row>
    <row r="358" customFormat="false" ht="15" hidden="false" customHeight="false" outlineLevel="0" collapsed="false">
      <c r="Z358" s="0" t="s">
        <v>94</v>
      </c>
      <c r="AA358" s="0" t="n">
        <f aca="false">IF(COUNTIFS('Reguler Class Availability'!$L:$L,$B$4&amp;"|- Lane 6 - *|"&amp;Z358)&gt;0,1,0)</f>
        <v>0</v>
      </c>
      <c r="AB358" s="0" t="n">
        <f aca="false">AA358+AB357</f>
        <v>12</v>
      </c>
    </row>
    <row r="359" customFormat="false" ht="15" hidden="false" customHeight="false" outlineLevel="0" collapsed="false">
      <c r="Z359" s="0" t="s">
        <v>95</v>
      </c>
      <c r="AA359" s="0" t="n">
        <f aca="false">IF(COUNTIFS('Reguler Class Availability'!$L:$L,$B$4&amp;"|- Lane 6 - *|"&amp;Z359)&gt;0,1,0)</f>
        <v>0</v>
      </c>
      <c r="AB359" s="0" t="n">
        <f aca="false">AA359+AB358</f>
        <v>12</v>
      </c>
    </row>
    <row r="360" customFormat="false" ht="15" hidden="false" customHeight="false" outlineLevel="0" collapsed="false">
      <c r="Z360" s="0" t="s">
        <v>96</v>
      </c>
      <c r="AA360" s="0" t="n">
        <f aca="false">IF(COUNTIFS('Reguler Class Availability'!$L:$L,$B$4&amp;"|- Lane 6 - *|"&amp;Z360)&gt;0,1,0)</f>
        <v>0</v>
      </c>
      <c r="AB360" s="0" t="n">
        <f aca="false">AA360+AB359</f>
        <v>12</v>
      </c>
    </row>
    <row r="361" customFormat="false" ht="15" hidden="false" customHeight="false" outlineLevel="0" collapsed="false">
      <c r="Z361" s="0" t="s">
        <v>97</v>
      </c>
      <c r="AA361" s="0" t="n">
        <f aca="false">IF(COUNTIFS('Reguler Class Availability'!$L:$L,$B$4&amp;"|- Lane 6 - *|"&amp;Z361)&gt;0,1,0)</f>
        <v>0</v>
      </c>
      <c r="AB361" s="0" t="n">
        <f aca="false">AA361+AB360</f>
        <v>12</v>
      </c>
    </row>
  </sheetData>
  <conditionalFormatting sqref="B14:H29">
    <cfRule type="expression" priority="2" aboveAverage="0" equalAverage="0" bottom="0" percent="0" rank="0" text="" dxfId="0">
      <formula>R14="Belum terisi"</formula>
    </cfRule>
    <cfRule type="expression" priority="3" aboveAverage="0" equalAverage="0" bottom="0" percent="0" rank="0" text="" dxfId="1">
      <formula>R14="Kosong"</formula>
    </cfRule>
    <cfRule type="expression" priority="4" aboveAverage="0" equalAverage="0" bottom="0" percent="0" rank="0" text="" dxfId="2">
      <formula>R14="Sebagian"</formula>
    </cfRule>
    <cfRule type="expression" priority="5" aboveAverage="0" equalAverage="0" bottom="0" percent="0" rank="0" text="" dxfId="3">
      <formula>R14="Tinggi"</formula>
    </cfRule>
    <cfRule type="expression" priority="6" aboveAverage="0" equalAverage="0" bottom="0" percent="0" rank="0" text="" dxfId="4">
      <formula>R14="Penuh"</formula>
    </cfRule>
    <cfRule type="expression" priority="7" aboveAverage="0" equalAverage="0" bottom="0" percent="0" rank="0" text="" dxfId="5">
      <formula>R14="Lebih"</formula>
    </cfRule>
    <cfRule type="expression" priority="8" aboveAverage="0" equalAverage="0" bottom="0" percent="0" rank="0" text="" dxfId="6">
      <formula>R14="Tutup"</formula>
    </cfRule>
    <cfRule type="expression" priority="9" aboveAverage="0" equalAverage="0" bottom="0" percent="0" rank="0" text="" dxfId="7">
      <formula>R14="Tidak dibuka"</formula>
    </cfRule>
  </conditionalFormatting>
  <conditionalFormatting sqref="B34:H47">
    <cfRule type="expression" priority="10" aboveAverage="0" equalAverage="0" bottom="0" percent="0" rank="0" text="" dxfId="0">
      <formula>R34="Belum terisi"</formula>
    </cfRule>
    <cfRule type="expression" priority="11" aboveAverage="0" equalAverage="0" bottom="0" percent="0" rank="0" text="" dxfId="1">
      <formula>R34="Kosong"</formula>
    </cfRule>
    <cfRule type="expression" priority="12" aboveAverage="0" equalAverage="0" bottom="0" percent="0" rank="0" text="" dxfId="2">
      <formula>R34="Sebagian"</formula>
    </cfRule>
    <cfRule type="expression" priority="13" aboveAverage="0" equalAverage="0" bottom="0" percent="0" rank="0" text="" dxfId="3">
      <formula>R34="Tinggi"</formula>
    </cfRule>
    <cfRule type="expression" priority="14" aboveAverage="0" equalAverage="0" bottom="0" percent="0" rank="0" text="" dxfId="4">
      <formula>R34="Penuh"</formula>
    </cfRule>
    <cfRule type="expression" priority="15" aboveAverage="0" equalAverage="0" bottom="0" percent="0" rank="0" text="" dxfId="5">
      <formula>R34="Lebih"</formula>
    </cfRule>
    <cfRule type="expression" priority="16" aboveAverage="0" equalAverage="0" bottom="0" percent="0" rank="0" text="" dxfId="6">
      <formula>R34="Tutup"</formula>
    </cfRule>
    <cfRule type="expression" priority="17" aboveAverage="0" equalAverage="0" bottom="0" percent="0" rank="0" text="" dxfId="7">
      <formula>R34="Tidak dibuka"</formula>
    </cfRule>
  </conditionalFormatting>
  <conditionalFormatting sqref="B52:H65">
    <cfRule type="expression" priority="18" aboveAverage="0" equalAverage="0" bottom="0" percent="0" rank="0" text="" dxfId="0">
      <formula>R52="Belum terisi"</formula>
    </cfRule>
    <cfRule type="expression" priority="19" aboveAverage="0" equalAverage="0" bottom="0" percent="0" rank="0" text="" dxfId="1">
      <formula>R52="Kosong"</formula>
    </cfRule>
    <cfRule type="expression" priority="20" aboveAverage="0" equalAverage="0" bottom="0" percent="0" rank="0" text="" dxfId="2">
      <formula>R52="Sebagian"</formula>
    </cfRule>
    <cfRule type="expression" priority="21" aboveAverage="0" equalAverage="0" bottom="0" percent="0" rank="0" text="" dxfId="3">
      <formula>R52="Tinggi"</formula>
    </cfRule>
    <cfRule type="expression" priority="22" aboveAverage="0" equalAverage="0" bottom="0" percent="0" rank="0" text="" dxfId="4">
      <formula>R52="Penuh"</formula>
    </cfRule>
    <cfRule type="expression" priority="23" aboveAverage="0" equalAverage="0" bottom="0" percent="0" rank="0" text="" dxfId="5">
      <formula>R52="Lebih"</formula>
    </cfRule>
    <cfRule type="expression" priority="24" aboveAverage="0" equalAverage="0" bottom="0" percent="0" rank="0" text="" dxfId="6">
      <formula>R52="Tutup"</formula>
    </cfRule>
    <cfRule type="expression" priority="25" aboveAverage="0" equalAverage="0" bottom="0" percent="0" rank="0" text="" dxfId="7">
      <formula>R52="Tidak dibuka"</formula>
    </cfRule>
  </conditionalFormatting>
  <conditionalFormatting sqref="B70:H83">
    <cfRule type="expression" priority="26" aboveAverage="0" equalAverage="0" bottom="0" percent="0" rank="0" text="" dxfId="0">
      <formula>R70="Belum terisi"</formula>
    </cfRule>
    <cfRule type="expression" priority="27" aboveAverage="0" equalAverage="0" bottom="0" percent="0" rank="0" text="" dxfId="1">
      <formula>R70="Kosong"</formula>
    </cfRule>
    <cfRule type="expression" priority="28" aboveAverage="0" equalAverage="0" bottom="0" percent="0" rank="0" text="" dxfId="2">
      <formula>R70="Sebagian"</formula>
    </cfRule>
    <cfRule type="expression" priority="29" aboveAverage="0" equalAverage="0" bottom="0" percent="0" rank="0" text="" dxfId="3">
      <formula>R70="Tinggi"</formula>
    </cfRule>
    <cfRule type="expression" priority="30" aboveAverage="0" equalAverage="0" bottom="0" percent="0" rank="0" text="" dxfId="4">
      <formula>R70="Penuh"</formula>
    </cfRule>
    <cfRule type="expression" priority="31" aboveAverage="0" equalAverage="0" bottom="0" percent="0" rank="0" text="" dxfId="5">
      <formula>R70="Lebih"</formula>
    </cfRule>
    <cfRule type="expression" priority="32" aboveAverage="0" equalAverage="0" bottom="0" percent="0" rank="0" text="" dxfId="6">
      <formula>R70="Tutup"</formula>
    </cfRule>
    <cfRule type="expression" priority="33" aboveAverage="0" equalAverage="0" bottom="0" percent="0" rank="0" text="" dxfId="7">
      <formula>R70="Tidak dibuka"</formula>
    </cfRule>
  </conditionalFormatting>
  <conditionalFormatting sqref="B88:H101">
    <cfRule type="expression" priority="34" aboveAverage="0" equalAverage="0" bottom="0" percent="0" rank="0" text="" dxfId="0">
      <formula>R88="Belum terisi"</formula>
    </cfRule>
    <cfRule type="expression" priority="35" aboveAverage="0" equalAverage="0" bottom="0" percent="0" rank="0" text="" dxfId="1">
      <formula>R88="Kosong"</formula>
    </cfRule>
    <cfRule type="expression" priority="36" aboveAverage="0" equalAverage="0" bottom="0" percent="0" rank="0" text="" dxfId="2">
      <formula>R88="Sebagian"</formula>
    </cfRule>
    <cfRule type="expression" priority="37" aboveAverage="0" equalAverage="0" bottom="0" percent="0" rank="0" text="" dxfId="3">
      <formula>R88="Tinggi"</formula>
    </cfRule>
    <cfRule type="expression" priority="38" aboveAverage="0" equalAverage="0" bottom="0" percent="0" rank="0" text="" dxfId="4">
      <formula>R88="Penuh"</formula>
    </cfRule>
    <cfRule type="expression" priority="39" aboveAverage="0" equalAverage="0" bottom="0" percent="0" rank="0" text="" dxfId="5">
      <formula>R88="Lebih"</formula>
    </cfRule>
    <cfRule type="expression" priority="40" aboveAverage="0" equalAverage="0" bottom="0" percent="0" rank="0" text="" dxfId="6">
      <formula>R88="Tutup"</formula>
    </cfRule>
    <cfRule type="expression" priority="41" aboveAverage="0" equalAverage="0" bottom="0" percent="0" rank="0" text="" dxfId="7">
      <formula>R88="Tidak dibuka"</formula>
    </cfRule>
  </conditionalFormatting>
  <conditionalFormatting sqref="B106:H119">
    <cfRule type="expression" priority="42" aboveAverage="0" equalAverage="0" bottom="0" percent="0" rank="0" text="" dxfId="0">
      <formula>R106="Belum terisi"</formula>
    </cfRule>
    <cfRule type="expression" priority="43" aboveAverage="0" equalAverage="0" bottom="0" percent="0" rank="0" text="" dxfId="1">
      <formula>R106="Kosong"</formula>
    </cfRule>
    <cfRule type="expression" priority="44" aboveAverage="0" equalAverage="0" bottom="0" percent="0" rank="0" text="" dxfId="2">
      <formula>R106="Sebagian"</formula>
    </cfRule>
    <cfRule type="expression" priority="45" aboveAverage="0" equalAverage="0" bottom="0" percent="0" rank="0" text="" dxfId="3">
      <formula>R106="Tinggi"</formula>
    </cfRule>
    <cfRule type="expression" priority="46" aboveAverage="0" equalAverage="0" bottom="0" percent="0" rank="0" text="" dxfId="4">
      <formula>R106="Penuh"</formula>
    </cfRule>
    <cfRule type="expression" priority="47" aboveAverage="0" equalAverage="0" bottom="0" percent="0" rank="0" text="" dxfId="5">
      <formula>R106="Lebih"</formula>
    </cfRule>
    <cfRule type="expression" priority="48" aboveAverage="0" equalAverage="0" bottom="0" percent="0" rank="0" text="" dxfId="6">
      <formula>R106="Tutup"</formula>
    </cfRule>
    <cfRule type="expression" priority="49" aboveAverage="0" equalAverage="0" bottom="0" percent="0" rank="0" text="" dxfId="7">
      <formula>R106="Tidak dibuka"</formula>
    </cfRule>
  </conditionalFormatting>
  <dataValidations count="1">
    <dataValidation allowBlank="false" errorStyle="stop" operator="between" showDropDown="false" showErrorMessage="false" showInputMessage="false" sqref="B4" type="list">
      <formula1>"KLM,KWC,PML,TMP,BTU,HIB"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102</v>
      </c>
      <c r="C1" s="0" t="s">
        <v>103</v>
      </c>
      <c r="D1" s="0" t="s">
        <v>104</v>
      </c>
      <c r="E1" s="0" t="s">
        <v>105</v>
      </c>
      <c r="F1" s="0" t="s">
        <v>106</v>
      </c>
      <c r="G1" s="0" t="s">
        <v>107</v>
      </c>
      <c r="H1" s="0" t="s">
        <v>108</v>
      </c>
      <c r="I1" s="0" t="s">
        <v>109</v>
      </c>
      <c r="J1" s="0" t="s">
        <v>110</v>
      </c>
      <c r="K1" s="0" t="s">
        <v>111</v>
      </c>
      <c r="L1" s="0" t="s">
        <v>112</v>
      </c>
      <c r="N1" s="44" t="s">
        <v>113</v>
      </c>
    </row>
    <row r="2" customFormat="false" ht="15" hidden="false" customHeight="false" outlineLevel="0" collapsed="false">
      <c r="A2" s="0" t="s">
        <v>6</v>
      </c>
      <c r="C2" s="0" t="s">
        <v>114</v>
      </c>
      <c r="D2" s="0" t="s">
        <v>115</v>
      </c>
      <c r="E2" s="0" t="s">
        <v>116</v>
      </c>
      <c r="F2" s="0" t="n">
        <v>0</v>
      </c>
      <c r="G2" s="0" t="n">
        <v>0</v>
      </c>
      <c r="H2" s="0" t="s">
        <v>117</v>
      </c>
      <c r="K2" s="0" t="s">
        <v>118</v>
      </c>
      <c r="L2" s="0" t="s">
        <v>119</v>
      </c>
    </row>
    <row r="3" customFormat="false" ht="15" hidden="false" customHeight="false" outlineLevel="0" collapsed="false">
      <c r="A3" s="0" t="s">
        <v>6</v>
      </c>
      <c r="C3" s="0" t="s">
        <v>114</v>
      </c>
      <c r="D3" s="0" t="s">
        <v>120</v>
      </c>
      <c r="E3" s="0" t="s">
        <v>121</v>
      </c>
      <c r="F3" s="0" t="n">
        <v>5</v>
      </c>
      <c r="G3" s="0" t="n">
        <v>0</v>
      </c>
      <c r="H3" s="0" t="s">
        <v>122</v>
      </c>
      <c r="K3" s="0" t="s">
        <v>123</v>
      </c>
      <c r="L3" s="0" t="s">
        <v>124</v>
      </c>
    </row>
    <row r="4" customFormat="false" ht="15" hidden="false" customHeight="false" outlineLevel="0" collapsed="false">
      <c r="A4" s="0" t="s">
        <v>6</v>
      </c>
      <c r="C4" s="0" t="s">
        <v>114</v>
      </c>
      <c r="D4" s="0" t="s">
        <v>125</v>
      </c>
      <c r="E4" s="0" t="s">
        <v>126</v>
      </c>
      <c r="F4" s="0" t="n">
        <v>5</v>
      </c>
      <c r="G4" s="0" t="n">
        <v>0</v>
      </c>
      <c r="H4" s="0" t="s">
        <v>122</v>
      </c>
      <c r="K4" s="0" t="s">
        <v>127</v>
      </c>
      <c r="L4" s="0" t="s">
        <v>128</v>
      </c>
    </row>
    <row r="5" customFormat="false" ht="15" hidden="false" customHeight="false" outlineLevel="0" collapsed="false">
      <c r="A5" s="0" t="s">
        <v>6</v>
      </c>
      <c r="B5" s="0" t="s">
        <v>129</v>
      </c>
      <c r="C5" s="0" t="s">
        <v>114</v>
      </c>
      <c r="D5" s="0" t="s">
        <v>53</v>
      </c>
      <c r="E5" s="0" t="s">
        <v>130</v>
      </c>
      <c r="F5" s="0" t="n">
        <v>5</v>
      </c>
      <c r="G5" s="0" t="n">
        <v>1</v>
      </c>
      <c r="H5" s="0" t="s">
        <v>122</v>
      </c>
      <c r="I5" s="0" t="s">
        <v>131</v>
      </c>
      <c r="K5" s="0" t="s">
        <v>132</v>
      </c>
      <c r="L5" s="0" t="s">
        <v>133</v>
      </c>
    </row>
    <row r="6" customFormat="false" ht="15" hidden="false" customHeight="false" outlineLevel="0" collapsed="false">
      <c r="A6" s="0" t="s">
        <v>6</v>
      </c>
      <c r="C6" s="0" t="s">
        <v>114</v>
      </c>
      <c r="D6" s="0" t="s">
        <v>56</v>
      </c>
      <c r="E6" s="0" t="s">
        <v>134</v>
      </c>
      <c r="F6" s="0" t="n">
        <v>5</v>
      </c>
      <c r="G6" s="0" t="n">
        <v>0</v>
      </c>
      <c r="H6" s="0" t="s">
        <v>122</v>
      </c>
      <c r="K6" s="0" t="s">
        <v>135</v>
      </c>
      <c r="L6" s="0" t="s">
        <v>136</v>
      </c>
    </row>
    <row r="7" customFormat="false" ht="15" hidden="false" customHeight="false" outlineLevel="0" collapsed="false">
      <c r="A7" s="0" t="s">
        <v>6</v>
      </c>
      <c r="B7" s="0" t="s">
        <v>129</v>
      </c>
      <c r="C7" s="0" t="s">
        <v>114</v>
      </c>
      <c r="D7" s="0" t="s">
        <v>59</v>
      </c>
      <c r="E7" s="0" t="s">
        <v>137</v>
      </c>
      <c r="F7" s="0" t="n">
        <v>5</v>
      </c>
      <c r="G7" s="0" t="n">
        <v>3</v>
      </c>
      <c r="H7" s="0" t="s">
        <v>122</v>
      </c>
      <c r="I7" s="0" t="s">
        <v>131</v>
      </c>
      <c r="K7" s="0" t="s">
        <v>138</v>
      </c>
      <c r="L7" s="0" t="s">
        <v>139</v>
      </c>
    </row>
    <row r="8" customFormat="false" ht="15" hidden="false" customHeight="false" outlineLevel="0" collapsed="false">
      <c r="A8" s="0" t="s">
        <v>6</v>
      </c>
      <c r="B8" s="0" t="s">
        <v>140</v>
      </c>
      <c r="C8" s="0" t="s">
        <v>114</v>
      </c>
      <c r="D8" s="0" t="s">
        <v>67</v>
      </c>
      <c r="E8" s="0" t="s">
        <v>141</v>
      </c>
      <c r="F8" s="0" t="n">
        <v>4</v>
      </c>
      <c r="G8" s="0" t="n">
        <v>1</v>
      </c>
      <c r="H8" s="0" t="s">
        <v>122</v>
      </c>
      <c r="I8" s="0" t="s">
        <v>142</v>
      </c>
      <c r="K8" s="0" t="s">
        <v>143</v>
      </c>
      <c r="L8" s="0" t="s">
        <v>144</v>
      </c>
    </row>
    <row r="9" customFormat="false" ht="15" hidden="false" customHeight="false" outlineLevel="0" collapsed="false">
      <c r="A9" s="0" t="s">
        <v>6</v>
      </c>
      <c r="C9" s="0" t="s">
        <v>114</v>
      </c>
      <c r="D9" s="0" t="s">
        <v>70</v>
      </c>
      <c r="E9" s="0" t="s">
        <v>145</v>
      </c>
      <c r="F9" s="0" t="n">
        <v>5</v>
      </c>
      <c r="G9" s="0" t="n">
        <v>0</v>
      </c>
      <c r="H9" s="0" t="s">
        <v>122</v>
      </c>
      <c r="K9" s="0" t="s">
        <v>146</v>
      </c>
      <c r="L9" s="0" t="s">
        <v>147</v>
      </c>
    </row>
    <row r="10" customFormat="false" ht="15" hidden="false" customHeight="false" outlineLevel="0" collapsed="false">
      <c r="A10" s="0" t="s">
        <v>6</v>
      </c>
      <c r="B10" s="0" t="s">
        <v>140</v>
      </c>
      <c r="C10" s="0" t="s">
        <v>114</v>
      </c>
      <c r="D10" s="0" t="s">
        <v>73</v>
      </c>
      <c r="E10" s="0" t="s">
        <v>148</v>
      </c>
      <c r="F10" s="0" t="n">
        <v>0</v>
      </c>
      <c r="G10" s="0" t="n">
        <v>2</v>
      </c>
      <c r="H10" s="0" t="s">
        <v>117</v>
      </c>
      <c r="I10" s="0" t="s">
        <v>142</v>
      </c>
      <c r="K10" s="0" t="s">
        <v>149</v>
      </c>
      <c r="L10" s="0" t="s">
        <v>150</v>
      </c>
    </row>
    <row r="11" customFormat="false" ht="15" hidden="false" customHeight="false" outlineLevel="0" collapsed="false">
      <c r="A11" s="0" t="s">
        <v>6</v>
      </c>
      <c r="C11" s="0" t="s">
        <v>114</v>
      </c>
      <c r="D11" s="0" t="s">
        <v>76</v>
      </c>
      <c r="E11" s="0" t="s">
        <v>151</v>
      </c>
      <c r="F11" s="0" t="n">
        <v>0</v>
      </c>
      <c r="G11" s="0" t="n">
        <v>0</v>
      </c>
      <c r="H11" s="0" t="s">
        <v>117</v>
      </c>
      <c r="K11" s="0" t="s">
        <v>152</v>
      </c>
      <c r="L11" s="0" t="s">
        <v>153</v>
      </c>
    </row>
    <row r="12" customFormat="false" ht="15" hidden="false" customHeight="false" outlineLevel="0" collapsed="false">
      <c r="A12" s="0" t="s">
        <v>6</v>
      </c>
      <c r="B12" s="0" t="s">
        <v>154</v>
      </c>
      <c r="C12" s="0" t="s">
        <v>114</v>
      </c>
      <c r="D12" s="0" t="s">
        <v>79</v>
      </c>
      <c r="E12" s="0" t="s">
        <v>155</v>
      </c>
      <c r="F12" s="0" t="n">
        <v>5</v>
      </c>
      <c r="G12" s="0" t="n">
        <v>3</v>
      </c>
      <c r="H12" s="0" t="s">
        <v>122</v>
      </c>
      <c r="I12" s="0" t="s">
        <v>142</v>
      </c>
      <c r="K12" s="0" t="s">
        <v>156</v>
      </c>
      <c r="L12" s="0" t="s">
        <v>157</v>
      </c>
    </row>
    <row r="13" customFormat="false" ht="15" hidden="false" customHeight="false" outlineLevel="0" collapsed="false">
      <c r="A13" s="0" t="s">
        <v>6</v>
      </c>
      <c r="B13" s="0" t="s">
        <v>129</v>
      </c>
      <c r="C13" s="0" t="s">
        <v>114</v>
      </c>
      <c r="D13" s="0" t="s">
        <v>82</v>
      </c>
      <c r="E13" s="0" t="s">
        <v>158</v>
      </c>
      <c r="F13" s="0" t="n">
        <v>5</v>
      </c>
      <c r="G13" s="0" t="n">
        <v>2</v>
      </c>
      <c r="H13" s="0" t="s">
        <v>122</v>
      </c>
      <c r="I13" s="0" t="s">
        <v>159</v>
      </c>
      <c r="K13" s="0" t="s">
        <v>160</v>
      </c>
      <c r="L13" s="0" t="s">
        <v>161</v>
      </c>
    </row>
    <row r="14" customFormat="false" ht="15" hidden="false" customHeight="false" outlineLevel="0" collapsed="false">
      <c r="A14" s="0" t="s">
        <v>6</v>
      </c>
      <c r="C14" s="0" t="s">
        <v>162</v>
      </c>
      <c r="D14" s="0" t="s">
        <v>115</v>
      </c>
      <c r="E14" s="0" t="s">
        <v>163</v>
      </c>
      <c r="F14" s="0" t="n">
        <v>0</v>
      </c>
      <c r="G14" s="0" t="n">
        <v>0</v>
      </c>
      <c r="H14" s="0" t="s">
        <v>117</v>
      </c>
      <c r="K14" s="0" t="s">
        <v>118</v>
      </c>
      <c r="L14" s="0" t="s">
        <v>164</v>
      </c>
    </row>
    <row r="15" customFormat="false" ht="15" hidden="false" customHeight="false" outlineLevel="0" collapsed="false">
      <c r="A15" s="0" t="s">
        <v>6</v>
      </c>
      <c r="C15" s="0" t="s">
        <v>162</v>
      </c>
      <c r="D15" s="0" t="s">
        <v>120</v>
      </c>
      <c r="E15" s="0" t="s">
        <v>165</v>
      </c>
      <c r="F15" s="0" t="n">
        <v>5</v>
      </c>
      <c r="G15" s="0" t="n">
        <v>0</v>
      </c>
      <c r="H15" s="0" t="s">
        <v>122</v>
      </c>
      <c r="K15" s="0" t="s">
        <v>123</v>
      </c>
      <c r="L15" s="0" t="s">
        <v>166</v>
      </c>
    </row>
    <row r="16" customFormat="false" ht="15" hidden="false" customHeight="false" outlineLevel="0" collapsed="false">
      <c r="A16" s="0" t="s">
        <v>6</v>
      </c>
      <c r="C16" s="0" t="s">
        <v>162</v>
      </c>
      <c r="D16" s="0" t="s">
        <v>125</v>
      </c>
      <c r="E16" s="0" t="s">
        <v>167</v>
      </c>
      <c r="F16" s="0" t="n">
        <v>5</v>
      </c>
      <c r="G16" s="0" t="n">
        <v>0</v>
      </c>
      <c r="H16" s="0" t="s">
        <v>122</v>
      </c>
      <c r="K16" s="0" t="s">
        <v>127</v>
      </c>
      <c r="L16" s="0" t="s">
        <v>168</v>
      </c>
    </row>
    <row r="17" customFormat="false" ht="15" hidden="false" customHeight="false" outlineLevel="0" collapsed="false">
      <c r="A17" s="0" t="s">
        <v>6</v>
      </c>
      <c r="B17" s="0" t="s">
        <v>129</v>
      </c>
      <c r="C17" s="0" t="s">
        <v>162</v>
      </c>
      <c r="D17" s="0" t="s">
        <v>53</v>
      </c>
      <c r="E17" s="0" t="s">
        <v>169</v>
      </c>
      <c r="F17" s="0" t="n">
        <v>5</v>
      </c>
      <c r="G17" s="0" t="n">
        <v>1</v>
      </c>
      <c r="H17" s="0" t="s">
        <v>122</v>
      </c>
      <c r="I17" s="0" t="s">
        <v>170</v>
      </c>
      <c r="K17" s="0" t="s">
        <v>132</v>
      </c>
      <c r="L17" s="0" t="s">
        <v>171</v>
      </c>
    </row>
    <row r="18" customFormat="false" ht="15" hidden="false" customHeight="false" outlineLevel="0" collapsed="false">
      <c r="A18" s="0" t="s">
        <v>6</v>
      </c>
      <c r="B18" s="0" t="s">
        <v>129</v>
      </c>
      <c r="C18" s="0" t="s">
        <v>162</v>
      </c>
      <c r="D18" s="0" t="s">
        <v>56</v>
      </c>
      <c r="E18" s="0" t="s">
        <v>172</v>
      </c>
      <c r="F18" s="0" t="n">
        <v>5</v>
      </c>
      <c r="G18" s="0" t="n">
        <v>2</v>
      </c>
      <c r="H18" s="0" t="s">
        <v>122</v>
      </c>
      <c r="I18" s="0" t="s">
        <v>170</v>
      </c>
      <c r="K18" s="0" t="s">
        <v>135</v>
      </c>
      <c r="L18" s="0" t="s">
        <v>173</v>
      </c>
    </row>
    <row r="19" customFormat="false" ht="15" hidden="false" customHeight="false" outlineLevel="0" collapsed="false">
      <c r="A19" s="0" t="s">
        <v>6</v>
      </c>
      <c r="C19" s="0" t="s">
        <v>162</v>
      </c>
      <c r="D19" s="0" t="s">
        <v>59</v>
      </c>
      <c r="E19" s="0" t="s">
        <v>174</v>
      </c>
      <c r="F19" s="0" t="n">
        <v>0</v>
      </c>
      <c r="G19" s="0" t="n">
        <v>0</v>
      </c>
      <c r="H19" s="0" t="s">
        <v>117</v>
      </c>
      <c r="K19" s="0" t="s">
        <v>138</v>
      </c>
      <c r="L19" s="0" t="s">
        <v>175</v>
      </c>
    </row>
    <row r="20" customFormat="false" ht="15" hidden="false" customHeight="false" outlineLevel="0" collapsed="false">
      <c r="A20" s="0" t="s">
        <v>6</v>
      </c>
      <c r="C20" s="0" t="s">
        <v>162</v>
      </c>
      <c r="D20" s="0" t="s">
        <v>67</v>
      </c>
      <c r="E20" s="0" t="s">
        <v>176</v>
      </c>
      <c r="F20" s="0" t="n">
        <v>5</v>
      </c>
      <c r="G20" s="0" t="n">
        <v>0</v>
      </c>
      <c r="H20" s="0" t="s">
        <v>122</v>
      </c>
      <c r="K20" s="0" t="s">
        <v>143</v>
      </c>
      <c r="L20" s="0" t="s">
        <v>177</v>
      </c>
    </row>
    <row r="21" customFormat="false" ht="15" hidden="false" customHeight="false" outlineLevel="0" collapsed="false">
      <c r="A21" s="0" t="s">
        <v>6</v>
      </c>
      <c r="C21" s="0" t="s">
        <v>162</v>
      </c>
      <c r="D21" s="0" t="s">
        <v>70</v>
      </c>
      <c r="E21" s="0" t="s">
        <v>178</v>
      </c>
      <c r="F21" s="0" t="n">
        <v>5</v>
      </c>
      <c r="G21" s="0" t="n">
        <v>0</v>
      </c>
      <c r="H21" s="0" t="s">
        <v>122</v>
      </c>
      <c r="K21" s="0" t="s">
        <v>146</v>
      </c>
      <c r="L21" s="0" t="s">
        <v>179</v>
      </c>
    </row>
    <row r="22" customFormat="false" ht="15" hidden="false" customHeight="false" outlineLevel="0" collapsed="false">
      <c r="A22" s="0" t="s">
        <v>6</v>
      </c>
      <c r="B22" s="0" t="s">
        <v>154</v>
      </c>
      <c r="C22" s="0" t="s">
        <v>162</v>
      </c>
      <c r="D22" s="0" t="s">
        <v>73</v>
      </c>
      <c r="E22" s="0" t="s">
        <v>180</v>
      </c>
      <c r="F22" s="0" t="n">
        <v>0</v>
      </c>
      <c r="G22" s="0" t="n">
        <v>4</v>
      </c>
      <c r="H22" s="0" t="s">
        <v>117</v>
      </c>
      <c r="I22" s="0" t="s">
        <v>181</v>
      </c>
      <c r="K22" s="0" t="s">
        <v>149</v>
      </c>
      <c r="L22" s="0" t="s">
        <v>182</v>
      </c>
    </row>
    <row r="23" customFormat="false" ht="15" hidden="false" customHeight="false" outlineLevel="0" collapsed="false">
      <c r="A23" s="0" t="s">
        <v>6</v>
      </c>
      <c r="C23" s="0" t="s">
        <v>162</v>
      </c>
      <c r="D23" s="0" t="s">
        <v>76</v>
      </c>
      <c r="E23" s="0" t="s">
        <v>183</v>
      </c>
      <c r="F23" s="0" t="n">
        <v>0</v>
      </c>
      <c r="G23" s="0" t="n">
        <v>0</v>
      </c>
      <c r="H23" s="0" t="s">
        <v>117</v>
      </c>
      <c r="K23" s="0" t="s">
        <v>152</v>
      </c>
      <c r="L23" s="0" t="s">
        <v>184</v>
      </c>
    </row>
    <row r="24" customFormat="false" ht="15" hidden="false" customHeight="false" outlineLevel="0" collapsed="false">
      <c r="A24" s="0" t="s">
        <v>6</v>
      </c>
      <c r="C24" s="0" t="s">
        <v>162</v>
      </c>
      <c r="D24" s="0" t="s">
        <v>79</v>
      </c>
      <c r="E24" s="0" t="s">
        <v>185</v>
      </c>
      <c r="F24" s="0" t="n">
        <v>5</v>
      </c>
      <c r="G24" s="0" t="n">
        <v>0</v>
      </c>
      <c r="H24" s="0" t="s">
        <v>122</v>
      </c>
      <c r="K24" s="0" t="s">
        <v>156</v>
      </c>
      <c r="L24" s="0" t="s">
        <v>186</v>
      </c>
    </row>
    <row r="25" customFormat="false" ht="15" hidden="false" customHeight="false" outlineLevel="0" collapsed="false">
      <c r="A25" s="0" t="s">
        <v>6</v>
      </c>
      <c r="B25" s="0" t="s">
        <v>129</v>
      </c>
      <c r="C25" s="0" t="s">
        <v>162</v>
      </c>
      <c r="D25" s="0" t="s">
        <v>82</v>
      </c>
      <c r="E25" s="0" t="s">
        <v>187</v>
      </c>
      <c r="F25" s="0" t="n">
        <v>5</v>
      </c>
      <c r="G25" s="0" t="n">
        <v>4</v>
      </c>
      <c r="H25" s="0" t="s">
        <v>122</v>
      </c>
      <c r="I25" s="0" t="s">
        <v>131</v>
      </c>
      <c r="K25" s="0" t="s">
        <v>160</v>
      </c>
      <c r="L25" s="0" t="s">
        <v>188</v>
      </c>
    </row>
    <row r="26" customFormat="false" ht="15" hidden="false" customHeight="false" outlineLevel="0" collapsed="false">
      <c r="A26" s="0" t="s">
        <v>6</v>
      </c>
      <c r="C26" s="0" t="s">
        <v>189</v>
      </c>
      <c r="D26" s="0" t="s">
        <v>115</v>
      </c>
      <c r="E26" s="0" t="s">
        <v>190</v>
      </c>
      <c r="F26" s="0" t="n">
        <v>0</v>
      </c>
      <c r="G26" s="0" t="n">
        <v>0</v>
      </c>
      <c r="H26" s="0" t="s">
        <v>117</v>
      </c>
      <c r="K26" s="0" t="s">
        <v>118</v>
      </c>
      <c r="L26" s="0" t="s">
        <v>191</v>
      </c>
    </row>
    <row r="27" customFormat="false" ht="15" hidden="false" customHeight="false" outlineLevel="0" collapsed="false">
      <c r="A27" s="0" t="s">
        <v>6</v>
      </c>
      <c r="B27" s="0" t="s">
        <v>129</v>
      </c>
      <c r="C27" s="0" t="s">
        <v>189</v>
      </c>
      <c r="D27" s="0" t="s">
        <v>120</v>
      </c>
      <c r="E27" s="0" t="s">
        <v>192</v>
      </c>
      <c r="F27" s="0" t="n">
        <v>5</v>
      </c>
      <c r="G27" s="0" t="n">
        <v>5</v>
      </c>
      <c r="H27" s="0" t="s">
        <v>117</v>
      </c>
      <c r="I27" s="0" t="s">
        <v>193</v>
      </c>
      <c r="K27" s="0" t="s">
        <v>123</v>
      </c>
      <c r="L27" s="0" t="s">
        <v>194</v>
      </c>
    </row>
    <row r="28" customFormat="false" ht="15" hidden="false" customHeight="false" outlineLevel="0" collapsed="false">
      <c r="A28" s="0" t="s">
        <v>6</v>
      </c>
      <c r="C28" s="0" t="s">
        <v>189</v>
      </c>
      <c r="D28" s="0" t="s">
        <v>125</v>
      </c>
      <c r="E28" s="0" t="s">
        <v>195</v>
      </c>
      <c r="F28" s="0" t="n">
        <v>5</v>
      </c>
      <c r="G28" s="0" t="n">
        <v>0</v>
      </c>
      <c r="H28" s="0" t="s">
        <v>122</v>
      </c>
      <c r="K28" s="0" t="s">
        <v>127</v>
      </c>
      <c r="L28" s="0" t="s">
        <v>196</v>
      </c>
    </row>
    <row r="29" customFormat="false" ht="15" hidden="false" customHeight="false" outlineLevel="0" collapsed="false">
      <c r="A29" s="0" t="s">
        <v>6</v>
      </c>
      <c r="C29" s="0" t="s">
        <v>189</v>
      </c>
      <c r="D29" s="0" t="s">
        <v>53</v>
      </c>
      <c r="E29" s="0" t="s">
        <v>197</v>
      </c>
      <c r="F29" s="0" t="n">
        <v>5</v>
      </c>
      <c r="G29" s="0" t="n">
        <v>0</v>
      </c>
      <c r="H29" s="0" t="s">
        <v>122</v>
      </c>
      <c r="K29" s="0" t="s">
        <v>132</v>
      </c>
      <c r="L29" s="0" t="s">
        <v>198</v>
      </c>
    </row>
    <row r="30" customFormat="false" ht="15" hidden="false" customHeight="false" outlineLevel="0" collapsed="false">
      <c r="A30" s="0" t="s">
        <v>6</v>
      </c>
      <c r="B30" s="0" t="s">
        <v>129</v>
      </c>
      <c r="C30" s="0" t="s">
        <v>189</v>
      </c>
      <c r="D30" s="0" t="s">
        <v>56</v>
      </c>
      <c r="E30" s="0" t="s">
        <v>199</v>
      </c>
      <c r="F30" s="0" t="n">
        <v>5</v>
      </c>
      <c r="G30" s="0" t="n">
        <v>2</v>
      </c>
      <c r="H30" s="0" t="s">
        <v>122</v>
      </c>
      <c r="I30" s="0" t="s">
        <v>193</v>
      </c>
      <c r="K30" s="0" t="s">
        <v>135</v>
      </c>
      <c r="L30" s="0" t="s">
        <v>200</v>
      </c>
    </row>
    <row r="31" customFormat="false" ht="15" hidden="false" customHeight="false" outlineLevel="0" collapsed="false">
      <c r="A31" s="0" t="s">
        <v>6</v>
      </c>
      <c r="C31" s="0" t="s">
        <v>189</v>
      </c>
      <c r="D31" s="0" t="s">
        <v>59</v>
      </c>
      <c r="E31" s="0" t="s">
        <v>201</v>
      </c>
      <c r="F31" s="0" t="n">
        <v>0</v>
      </c>
      <c r="G31" s="0" t="n">
        <v>0</v>
      </c>
      <c r="H31" s="0" t="s">
        <v>117</v>
      </c>
      <c r="K31" s="0" t="s">
        <v>138</v>
      </c>
      <c r="L31" s="0" t="s">
        <v>202</v>
      </c>
    </row>
    <row r="32" customFormat="false" ht="15" hidden="false" customHeight="false" outlineLevel="0" collapsed="false">
      <c r="A32" s="0" t="s">
        <v>6</v>
      </c>
      <c r="B32" s="0" t="s">
        <v>129</v>
      </c>
      <c r="C32" s="0" t="s">
        <v>189</v>
      </c>
      <c r="D32" s="0" t="s">
        <v>67</v>
      </c>
      <c r="E32" s="0" t="s">
        <v>203</v>
      </c>
      <c r="F32" s="0" t="n">
        <v>5</v>
      </c>
      <c r="G32" s="0" t="n">
        <v>0</v>
      </c>
      <c r="H32" s="0" t="s">
        <v>122</v>
      </c>
      <c r="K32" s="0" t="s">
        <v>143</v>
      </c>
      <c r="L32" s="0" t="s">
        <v>204</v>
      </c>
    </row>
    <row r="33" customFormat="false" ht="15" hidden="false" customHeight="false" outlineLevel="0" collapsed="false">
      <c r="A33" s="0" t="s">
        <v>6</v>
      </c>
      <c r="C33" s="0" t="s">
        <v>189</v>
      </c>
      <c r="D33" s="0" t="s">
        <v>70</v>
      </c>
      <c r="E33" s="0" t="s">
        <v>205</v>
      </c>
      <c r="F33" s="0" t="n">
        <v>5</v>
      </c>
      <c r="G33" s="0" t="n">
        <v>0</v>
      </c>
      <c r="H33" s="0" t="s">
        <v>122</v>
      </c>
      <c r="K33" s="0" t="s">
        <v>146</v>
      </c>
      <c r="L33" s="0" t="s">
        <v>206</v>
      </c>
    </row>
    <row r="34" customFormat="false" ht="15" hidden="false" customHeight="false" outlineLevel="0" collapsed="false">
      <c r="A34" s="0" t="s">
        <v>6</v>
      </c>
      <c r="B34" s="0" t="s">
        <v>129</v>
      </c>
      <c r="C34" s="0" t="s">
        <v>189</v>
      </c>
      <c r="D34" s="0" t="s">
        <v>73</v>
      </c>
      <c r="E34" s="0" t="s">
        <v>207</v>
      </c>
      <c r="F34" s="0" t="n">
        <v>0</v>
      </c>
      <c r="G34" s="0" t="n">
        <v>1</v>
      </c>
      <c r="H34" s="0" t="s">
        <v>117</v>
      </c>
      <c r="I34" s="0" t="s">
        <v>170</v>
      </c>
      <c r="K34" s="0" t="s">
        <v>149</v>
      </c>
      <c r="L34" s="0" t="s">
        <v>208</v>
      </c>
    </row>
    <row r="35" customFormat="false" ht="15" hidden="false" customHeight="false" outlineLevel="0" collapsed="false">
      <c r="A35" s="0" t="s">
        <v>6</v>
      </c>
      <c r="B35" s="0" t="s">
        <v>140</v>
      </c>
      <c r="C35" s="0" t="s">
        <v>189</v>
      </c>
      <c r="D35" s="0" t="s">
        <v>76</v>
      </c>
      <c r="E35" s="0" t="s">
        <v>209</v>
      </c>
      <c r="F35" s="0" t="n">
        <v>0</v>
      </c>
      <c r="G35" s="0" t="n">
        <v>3</v>
      </c>
      <c r="H35" s="0" t="s">
        <v>117</v>
      </c>
      <c r="I35" s="0" t="s">
        <v>142</v>
      </c>
      <c r="K35" s="0" t="s">
        <v>152</v>
      </c>
      <c r="L35" s="0" t="s">
        <v>210</v>
      </c>
    </row>
    <row r="36" customFormat="false" ht="15" hidden="false" customHeight="false" outlineLevel="0" collapsed="false">
      <c r="A36" s="0" t="s">
        <v>6</v>
      </c>
      <c r="C36" s="0" t="s">
        <v>189</v>
      </c>
      <c r="D36" s="0" t="s">
        <v>79</v>
      </c>
      <c r="E36" s="0" t="s">
        <v>211</v>
      </c>
      <c r="F36" s="0" t="n">
        <v>5</v>
      </c>
      <c r="G36" s="0" t="n">
        <v>0</v>
      </c>
      <c r="H36" s="0" t="s">
        <v>122</v>
      </c>
      <c r="K36" s="0" t="s">
        <v>156</v>
      </c>
      <c r="L36" s="0" t="s">
        <v>212</v>
      </c>
    </row>
    <row r="37" customFormat="false" ht="15" hidden="false" customHeight="false" outlineLevel="0" collapsed="false">
      <c r="A37" s="0" t="s">
        <v>6</v>
      </c>
      <c r="C37" s="0" t="s">
        <v>189</v>
      </c>
      <c r="D37" s="0" t="s">
        <v>82</v>
      </c>
      <c r="E37" s="0" t="s">
        <v>213</v>
      </c>
      <c r="F37" s="0" t="n">
        <v>5</v>
      </c>
      <c r="G37" s="0" t="n">
        <v>0</v>
      </c>
      <c r="H37" s="0" t="s">
        <v>122</v>
      </c>
      <c r="K37" s="0" t="s">
        <v>160</v>
      </c>
      <c r="L37" s="0" t="s">
        <v>214</v>
      </c>
    </row>
    <row r="38" customFormat="false" ht="15" hidden="false" customHeight="false" outlineLevel="0" collapsed="false">
      <c r="A38" s="0" t="s">
        <v>6</v>
      </c>
      <c r="C38" s="0" t="s">
        <v>215</v>
      </c>
      <c r="D38" s="0" t="s">
        <v>115</v>
      </c>
      <c r="E38" s="0" t="s">
        <v>216</v>
      </c>
      <c r="F38" s="0" t="n">
        <v>0</v>
      </c>
      <c r="G38" s="0" t="n">
        <v>0</v>
      </c>
      <c r="H38" s="0" t="s">
        <v>117</v>
      </c>
      <c r="K38" s="0" t="s">
        <v>118</v>
      </c>
      <c r="L38" s="0" t="s">
        <v>217</v>
      </c>
    </row>
    <row r="39" customFormat="false" ht="15" hidden="false" customHeight="false" outlineLevel="0" collapsed="false">
      <c r="A39" s="0" t="s">
        <v>6</v>
      </c>
      <c r="C39" s="0" t="s">
        <v>215</v>
      </c>
      <c r="D39" s="0" t="s">
        <v>120</v>
      </c>
      <c r="E39" s="0" t="s">
        <v>218</v>
      </c>
      <c r="F39" s="0" t="n">
        <v>5</v>
      </c>
      <c r="G39" s="0" t="n">
        <v>0</v>
      </c>
      <c r="H39" s="0" t="s">
        <v>122</v>
      </c>
      <c r="K39" s="0" t="s">
        <v>123</v>
      </c>
      <c r="L39" s="0" t="s">
        <v>219</v>
      </c>
    </row>
    <row r="40" customFormat="false" ht="15" hidden="false" customHeight="false" outlineLevel="0" collapsed="false">
      <c r="A40" s="0" t="s">
        <v>6</v>
      </c>
      <c r="C40" s="0" t="s">
        <v>215</v>
      </c>
      <c r="D40" s="0" t="s">
        <v>125</v>
      </c>
      <c r="E40" s="0" t="s">
        <v>220</v>
      </c>
      <c r="F40" s="0" t="n">
        <v>5</v>
      </c>
      <c r="G40" s="0" t="n">
        <v>0</v>
      </c>
      <c r="H40" s="0" t="s">
        <v>122</v>
      </c>
      <c r="K40" s="0" t="s">
        <v>127</v>
      </c>
      <c r="L40" s="0" t="s">
        <v>221</v>
      </c>
    </row>
    <row r="41" customFormat="false" ht="15" hidden="false" customHeight="false" outlineLevel="0" collapsed="false">
      <c r="A41" s="0" t="s">
        <v>6</v>
      </c>
      <c r="C41" s="0" t="s">
        <v>215</v>
      </c>
      <c r="D41" s="0" t="s">
        <v>53</v>
      </c>
      <c r="E41" s="0" t="s">
        <v>222</v>
      </c>
      <c r="F41" s="0" t="n">
        <v>5</v>
      </c>
      <c r="G41" s="0" t="n">
        <v>0</v>
      </c>
      <c r="H41" s="0" t="s">
        <v>122</v>
      </c>
      <c r="K41" s="0" t="s">
        <v>132</v>
      </c>
      <c r="L41" s="0" t="s">
        <v>223</v>
      </c>
    </row>
    <row r="42" customFormat="false" ht="15" hidden="false" customHeight="false" outlineLevel="0" collapsed="false">
      <c r="A42" s="0" t="s">
        <v>6</v>
      </c>
      <c r="C42" s="0" t="s">
        <v>215</v>
      </c>
      <c r="D42" s="0" t="s">
        <v>56</v>
      </c>
      <c r="E42" s="0" t="s">
        <v>224</v>
      </c>
      <c r="F42" s="0" t="n">
        <v>5</v>
      </c>
      <c r="G42" s="0" t="n">
        <v>0</v>
      </c>
      <c r="H42" s="0" t="s">
        <v>122</v>
      </c>
      <c r="K42" s="0" t="s">
        <v>135</v>
      </c>
      <c r="L42" s="0" t="s">
        <v>225</v>
      </c>
    </row>
    <row r="43" customFormat="false" ht="15" hidden="false" customHeight="false" outlineLevel="0" collapsed="false">
      <c r="A43" s="0" t="s">
        <v>6</v>
      </c>
      <c r="C43" s="0" t="s">
        <v>215</v>
      </c>
      <c r="D43" s="0" t="s">
        <v>59</v>
      </c>
      <c r="E43" s="0" t="s">
        <v>226</v>
      </c>
      <c r="F43" s="0" t="n">
        <v>0</v>
      </c>
      <c r="G43" s="0" t="n">
        <v>0</v>
      </c>
      <c r="H43" s="0" t="s">
        <v>117</v>
      </c>
      <c r="K43" s="0" t="s">
        <v>138</v>
      </c>
      <c r="L43" s="0" t="s">
        <v>227</v>
      </c>
    </row>
    <row r="44" customFormat="false" ht="15" hidden="false" customHeight="false" outlineLevel="0" collapsed="false">
      <c r="A44" s="0" t="s">
        <v>6</v>
      </c>
      <c r="C44" s="0" t="s">
        <v>215</v>
      </c>
      <c r="D44" s="0" t="s">
        <v>67</v>
      </c>
      <c r="E44" s="0" t="s">
        <v>228</v>
      </c>
      <c r="F44" s="0" t="n">
        <v>5</v>
      </c>
      <c r="G44" s="0" t="n">
        <v>0</v>
      </c>
      <c r="H44" s="0" t="s">
        <v>122</v>
      </c>
      <c r="K44" s="0" t="s">
        <v>143</v>
      </c>
      <c r="L44" s="0" t="s">
        <v>229</v>
      </c>
    </row>
    <row r="45" customFormat="false" ht="15" hidden="false" customHeight="false" outlineLevel="0" collapsed="false">
      <c r="A45" s="0" t="s">
        <v>6</v>
      </c>
      <c r="B45" s="0" t="s">
        <v>154</v>
      </c>
      <c r="C45" s="0" t="s">
        <v>215</v>
      </c>
      <c r="D45" s="0" t="s">
        <v>70</v>
      </c>
      <c r="E45" s="0" t="s">
        <v>230</v>
      </c>
      <c r="F45" s="0" t="n">
        <v>5</v>
      </c>
      <c r="G45" s="0" t="n">
        <v>1</v>
      </c>
      <c r="H45" s="0" t="s">
        <v>122</v>
      </c>
      <c r="I45" s="0" t="s">
        <v>181</v>
      </c>
      <c r="K45" s="0" t="s">
        <v>146</v>
      </c>
      <c r="L45" s="0" t="s">
        <v>231</v>
      </c>
    </row>
    <row r="46" customFormat="false" ht="15" hidden="false" customHeight="false" outlineLevel="0" collapsed="false">
      <c r="A46" s="0" t="s">
        <v>6</v>
      </c>
      <c r="B46" s="0" t="s">
        <v>129</v>
      </c>
      <c r="C46" s="0" t="s">
        <v>215</v>
      </c>
      <c r="D46" s="0" t="s">
        <v>73</v>
      </c>
      <c r="E46" s="0" t="s">
        <v>232</v>
      </c>
      <c r="F46" s="0" t="n">
        <v>0</v>
      </c>
      <c r="G46" s="0" t="n">
        <v>1</v>
      </c>
      <c r="H46" s="0" t="s">
        <v>117</v>
      </c>
      <c r="I46" s="0" t="s">
        <v>181</v>
      </c>
      <c r="K46" s="0" t="s">
        <v>149</v>
      </c>
      <c r="L46" s="0" t="s">
        <v>233</v>
      </c>
    </row>
    <row r="47" customFormat="false" ht="15" hidden="false" customHeight="false" outlineLevel="0" collapsed="false">
      <c r="A47" s="0" t="s">
        <v>6</v>
      </c>
      <c r="B47" s="0" t="s">
        <v>154</v>
      </c>
      <c r="C47" s="0" t="s">
        <v>215</v>
      </c>
      <c r="D47" s="0" t="s">
        <v>76</v>
      </c>
      <c r="E47" s="0" t="s">
        <v>234</v>
      </c>
      <c r="F47" s="0" t="n">
        <v>0</v>
      </c>
      <c r="G47" s="0" t="n">
        <v>1</v>
      </c>
      <c r="H47" s="0" t="s">
        <v>117</v>
      </c>
      <c r="I47" s="0" t="s">
        <v>235</v>
      </c>
      <c r="K47" s="0" t="s">
        <v>152</v>
      </c>
      <c r="L47" s="0" t="s">
        <v>236</v>
      </c>
    </row>
    <row r="48" customFormat="false" ht="15" hidden="false" customHeight="false" outlineLevel="0" collapsed="false">
      <c r="A48" s="0" t="s">
        <v>6</v>
      </c>
      <c r="B48" s="0" t="s">
        <v>154</v>
      </c>
      <c r="C48" s="0" t="s">
        <v>215</v>
      </c>
      <c r="D48" s="0" t="s">
        <v>79</v>
      </c>
      <c r="E48" s="0" t="s">
        <v>237</v>
      </c>
      <c r="F48" s="0" t="n">
        <v>4</v>
      </c>
      <c r="G48" s="0" t="n">
        <v>4</v>
      </c>
      <c r="H48" s="0" t="s">
        <v>117</v>
      </c>
      <c r="I48" s="0" t="s">
        <v>181</v>
      </c>
      <c r="K48" s="0" t="s">
        <v>156</v>
      </c>
      <c r="L48" s="0" t="s">
        <v>238</v>
      </c>
    </row>
    <row r="49" customFormat="false" ht="15" hidden="false" customHeight="false" outlineLevel="0" collapsed="false">
      <c r="A49" s="0" t="s">
        <v>6</v>
      </c>
      <c r="C49" s="0" t="s">
        <v>215</v>
      </c>
      <c r="D49" s="0" t="s">
        <v>82</v>
      </c>
      <c r="E49" s="0" t="s">
        <v>239</v>
      </c>
      <c r="F49" s="0" t="n">
        <v>5</v>
      </c>
      <c r="G49" s="0" t="n">
        <v>0</v>
      </c>
      <c r="H49" s="0" t="s">
        <v>122</v>
      </c>
      <c r="K49" s="0" t="s">
        <v>160</v>
      </c>
      <c r="L49" s="0" t="s">
        <v>240</v>
      </c>
    </row>
    <row r="50" customFormat="false" ht="15" hidden="false" customHeight="false" outlineLevel="0" collapsed="false">
      <c r="A50" s="0" t="s">
        <v>6</v>
      </c>
      <c r="C50" s="0" t="s">
        <v>241</v>
      </c>
      <c r="D50" s="0" t="s">
        <v>115</v>
      </c>
      <c r="E50" s="0" t="s">
        <v>242</v>
      </c>
      <c r="F50" s="0" t="n">
        <v>0</v>
      </c>
      <c r="G50" s="0" t="n">
        <v>0</v>
      </c>
      <c r="H50" s="0" t="s">
        <v>117</v>
      </c>
      <c r="K50" s="0" t="s">
        <v>118</v>
      </c>
      <c r="L50" s="0" t="s">
        <v>243</v>
      </c>
    </row>
    <row r="51" customFormat="false" ht="15" hidden="false" customHeight="false" outlineLevel="0" collapsed="false">
      <c r="A51" s="0" t="s">
        <v>6</v>
      </c>
      <c r="B51" s="0" t="s">
        <v>129</v>
      </c>
      <c r="C51" s="0" t="s">
        <v>241</v>
      </c>
      <c r="D51" s="0" t="s">
        <v>120</v>
      </c>
      <c r="E51" s="0" t="s">
        <v>244</v>
      </c>
      <c r="F51" s="0" t="n">
        <v>5</v>
      </c>
      <c r="G51" s="0" t="n">
        <v>5</v>
      </c>
      <c r="H51" s="0" t="s">
        <v>117</v>
      </c>
      <c r="I51" s="0" t="s">
        <v>245</v>
      </c>
      <c r="K51" s="0" t="s">
        <v>123</v>
      </c>
      <c r="L51" s="0" t="s">
        <v>246</v>
      </c>
    </row>
    <row r="52" customFormat="false" ht="15" hidden="false" customHeight="false" outlineLevel="0" collapsed="false">
      <c r="A52" s="0" t="s">
        <v>6</v>
      </c>
      <c r="C52" s="0" t="s">
        <v>241</v>
      </c>
      <c r="D52" s="0" t="s">
        <v>125</v>
      </c>
      <c r="E52" s="0" t="s">
        <v>247</v>
      </c>
      <c r="F52" s="0" t="n">
        <v>5</v>
      </c>
      <c r="G52" s="0" t="n">
        <v>0</v>
      </c>
      <c r="H52" s="0" t="s">
        <v>122</v>
      </c>
      <c r="K52" s="0" t="s">
        <v>127</v>
      </c>
      <c r="L52" s="0" t="s">
        <v>248</v>
      </c>
    </row>
    <row r="53" customFormat="false" ht="15" hidden="false" customHeight="false" outlineLevel="0" collapsed="false">
      <c r="A53" s="0" t="s">
        <v>6</v>
      </c>
      <c r="C53" s="0" t="s">
        <v>241</v>
      </c>
      <c r="D53" s="0" t="s">
        <v>53</v>
      </c>
      <c r="E53" s="0" t="s">
        <v>249</v>
      </c>
      <c r="F53" s="0" t="n">
        <v>5</v>
      </c>
      <c r="G53" s="0" t="n">
        <v>0</v>
      </c>
      <c r="H53" s="0" t="s">
        <v>122</v>
      </c>
      <c r="K53" s="0" t="s">
        <v>132</v>
      </c>
      <c r="L53" s="0" t="s">
        <v>250</v>
      </c>
    </row>
    <row r="54" customFormat="false" ht="15" hidden="false" customHeight="false" outlineLevel="0" collapsed="false">
      <c r="A54" s="0" t="s">
        <v>6</v>
      </c>
      <c r="C54" s="0" t="s">
        <v>241</v>
      </c>
      <c r="D54" s="0" t="s">
        <v>56</v>
      </c>
      <c r="E54" s="0" t="s">
        <v>251</v>
      </c>
      <c r="F54" s="0" t="n">
        <v>5</v>
      </c>
      <c r="G54" s="0" t="n">
        <v>0</v>
      </c>
      <c r="H54" s="0" t="s">
        <v>122</v>
      </c>
      <c r="K54" s="0" t="s">
        <v>135</v>
      </c>
      <c r="L54" s="0" t="s">
        <v>252</v>
      </c>
    </row>
    <row r="55" customFormat="false" ht="15" hidden="false" customHeight="false" outlineLevel="0" collapsed="false">
      <c r="A55" s="0" t="s">
        <v>6</v>
      </c>
      <c r="C55" s="0" t="s">
        <v>241</v>
      </c>
      <c r="D55" s="0" t="s">
        <v>59</v>
      </c>
      <c r="E55" s="0" t="s">
        <v>253</v>
      </c>
      <c r="F55" s="0" t="n">
        <v>0</v>
      </c>
      <c r="G55" s="0" t="n">
        <v>0</v>
      </c>
      <c r="H55" s="0" t="s">
        <v>117</v>
      </c>
      <c r="K55" s="0" t="s">
        <v>138</v>
      </c>
      <c r="L55" s="0" t="s">
        <v>254</v>
      </c>
    </row>
    <row r="56" customFormat="false" ht="15" hidden="false" customHeight="false" outlineLevel="0" collapsed="false">
      <c r="A56" s="0" t="s">
        <v>6</v>
      </c>
      <c r="C56" s="0" t="s">
        <v>241</v>
      </c>
      <c r="D56" s="0" t="s">
        <v>67</v>
      </c>
      <c r="E56" s="0" t="s">
        <v>255</v>
      </c>
      <c r="F56" s="0" t="n">
        <v>5</v>
      </c>
      <c r="G56" s="0" t="n">
        <v>0</v>
      </c>
      <c r="H56" s="0" t="s">
        <v>122</v>
      </c>
      <c r="K56" s="0" t="s">
        <v>143</v>
      </c>
      <c r="L56" s="0" t="s">
        <v>256</v>
      </c>
    </row>
    <row r="57" customFormat="false" ht="15" hidden="false" customHeight="false" outlineLevel="0" collapsed="false">
      <c r="A57" s="0" t="s">
        <v>6</v>
      </c>
      <c r="B57" s="0" t="s">
        <v>154</v>
      </c>
      <c r="C57" s="0" t="s">
        <v>241</v>
      </c>
      <c r="D57" s="0" t="s">
        <v>70</v>
      </c>
      <c r="E57" s="0" t="s">
        <v>257</v>
      </c>
      <c r="F57" s="0" t="n">
        <v>4</v>
      </c>
      <c r="G57" s="0" t="n">
        <v>3</v>
      </c>
      <c r="H57" s="0" t="s">
        <v>122</v>
      </c>
      <c r="I57" s="0" t="s">
        <v>181</v>
      </c>
      <c r="K57" s="0" t="s">
        <v>146</v>
      </c>
      <c r="L57" s="0" t="s">
        <v>258</v>
      </c>
    </row>
    <row r="58" customFormat="false" ht="15" hidden="false" customHeight="false" outlineLevel="0" collapsed="false">
      <c r="A58" s="0" t="s">
        <v>6</v>
      </c>
      <c r="B58" s="0" t="s">
        <v>140</v>
      </c>
      <c r="C58" s="0" t="s">
        <v>241</v>
      </c>
      <c r="D58" s="0" t="s">
        <v>73</v>
      </c>
      <c r="E58" s="0" t="s">
        <v>259</v>
      </c>
      <c r="F58" s="0" t="n">
        <v>4</v>
      </c>
      <c r="G58" s="0" t="n">
        <v>3</v>
      </c>
      <c r="H58" s="0" t="s">
        <v>122</v>
      </c>
      <c r="I58" s="0" t="s">
        <v>260</v>
      </c>
      <c r="K58" s="0" t="s">
        <v>149</v>
      </c>
      <c r="L58" s="0" t="s">
        <v>261</v>
      </c>
    </row>
    <row r="59" customFormat="false" ht="15" hidden="false" customHeight="false" outlineLevel="0" collapsed="false">
      <c r="A59" s="0" t="s">
        <v>6</v>
      </c>
      <c r="B59" s="0" t="s">
        <v>154</v>
      </c>
      <c r="C59" s="0" t="s">
        <v>241</v>
      </c>
      <c r="D59" s="0" t="s">
        <v>76</v>
      </c>
      <c r="E59" s="0" t="s">
        <v>262</v>
      </c>
      <c r="F59" s="0" t="n">
        <v>4</v>
      </c>
      <c r="G59" s="0" t="n">
        <v>4</v>
      </c>
      <c r="H59" s="0" t="s">
        <v>117</v>
      </c>
      <c r="I59" s="0" t="s">
        <v>245</v>
      </c>
      <c r="K59" s="0" t="s">
        <v>152</v>
      </c>
      <c r="L59" s="0" t="s">
        <v>263</v>
      </c>
    </row>
    <row r="60" customFormat="false" ht="15" hidden="false" customHeight="false" outlineLevel="0" collapsed="false">
      <c r="A60" s="0" t="s">
        <v>6</v>
      </c>
      <c r="B60" s="0" t="s">
        <v>140</v>
      </c>
      <c r="C60" s="0" t="s">
        <v>241</v>
      </c>
      <c r="D60" s="0" t="s">
        <v>79</v>
      </c>
      <c r="E60" s="0" t="s">
        <v>264</v>
      </c>
      <c r="F60" s="0" t="n">
        <v>4</v>
      </c>
      <c r="G60" s="0" t="n">
        <v>3</v>
      </c>
      <c r="H60" s="0" t="s">
        <v>122</v>
      </c>
      <c r="I60" s="0" t="s">
        <v>181</v>
      </c>
      <c r="K60" s="0" t="s">
        <v>156</v>
      </c>
      <c r="L60" s="0" t="s">
        <v>265</v>
      </c>
    </row>
    <row r="61" customFormat="false" ht="15" hidden="false" customHeight="false" outlineLevel="0" collapsed="false">
      <c r="A61" s="0" t="s">
        <v>6</v>
      </c>
      <c r="B61" s="0" t="s">
        <v>129</v>
      </c>
      <c r="C61" s="0" t="s">
        <v>241</v>
      </c>
      <c r="D61" s="0" t="s">
        <v>82</v>
      </c>
      <c r="E61" s="0" t="s">
        <v>266</v>
      </c>
      <c r="F61" s="0" t="n">
        <v>5</v>
      </c>
      <c r="G61" s="0" t="n">
        <v>5</v>
      </c>
      <c r="H61" s="0" t="s">
        <v>117</v>
      </c>
      <c r="I61" s="0" t="s">
        <v>193</v>
      </c>
      <c r="K61" s="0" t="s">
        <v>160</v>
      </c>
      <c r="L61" s="0" t="s">
        <v>267</v>
      </c>
    </row>
    <row r="62" customFormat="false" ht="15" hidden="false" customHeight="false" outlineLevel="0" collapsed="false">
      <c r="A62" s="0" t="s">
        <v>6</v>
      </c>
      <c r="C62" s="0" t="s">
        <v>268</v>
      </c>
      <c r="D62" s="0" t="s">
        <v>115</v>
      </c>
      <c r="E62" s="0" t="s">
        <v>269</v>
      </c>
      <c r="F62" s="0" t="n">
        <v>0</v>
      </c>
      <c r="G62" s="0" t="n">
        <v>0</v>
      </c>
      <c r="H62" s="0" t="s">
        <v>117</v>
      </c>
      <c r="K62" s="0" t="s">
        <v>118</v>
      </c>
      <c r="L62" s="0" t="s">
        <v>270</v>
      </c>
    </row>
    <row r="63" customFormat="false" ht="15" hidden="false" customHeight="false" outlineLevel="0" collapsed="false">
      <c r="A63" s="0" t="s">
        <v>6</v>
      </c>
      <c r="B63" s="0" t="s">
        <v>129</v>
      </c>
      <c r="C63" s="0" t="s">
        <v>268</v>
      </c>
      <c r="D63" s="0" t="s">
        <v>120</v>
      </c>
      <c r="E63" s="0" t="s">
        <v>271</v>
      </c>
      <c r="F63" s="0" t="n">
        <v>5</v>
      </c>
      <c r="G63" s="0" t="n">
        <v>5</v>
      </c>
      <c r="H63" s="0" t="s">
        <v>117</v>
      </c>
      <c r="I63" s="0" t="s">
        <v>272</v>
      </c>
      <c r="K63" s="0" t="s">
        <v>123</v>
      </c>
      <c r="L63" s="0" t="s">
        <v>273</v>
      </c>
    </row>
    <row r="64" customFormat="false" ht="15" hidden="false" customHeight="false" outlineLevel="0" collapsed="false">
      <c r="A64" s="0" t="s">
        <v>6</v>
      </c>
      <c r="B64" s="0" t="s">
        <v>129</v>
      </c>
      <c r="C64" s="0" t="s">
        <v>268</v>
      </c>
      <c r="D64" s="0" t="s">
        <v>125</v>
      </c>
      <c r="E64" s="0" t="s">
        <v>274</v>
      </c>
      <c r="F64" s="0" t="n">
        <v>5</v>
      </c>
      <c r="G64" s="0" t="n">
        <v>5</v>
      </c>
      <c r="H64" s="0" t="s">
        <v>117</v>
      </c>
      <c r="I64" s="0" t="s">
        <v>159</v>
      </c>
      <c r="K64" s="0" t="s">
        <v>127</v>
      </c>
      <c r="L64" s="0" t="s">
        <v>275</v>
      </c>
    </row>
    <row r="65" customFormat="false" ht="15" hidden="false" customHeight="false" outlineLevel="0" collapsed="false">
      <c r="A65" s="0" t="s">
        <v>6</v>
      </c>
      <c r="B65" s="0" t="s">
        <v>129</v>
      </c>
      <c r="C65" s="0" t="s">
        <v>268</v>
      </c>
      <c r="D65" s="0" t="s">
        <v>53</v>
      </c>
      <c r="E65" s="0" t="s">
        <v>276</v>
      </c>
      <c r="F65" s="0" t="n">
        <v>5</v>
      </c>
      <c r="G65" s="0" t="n">
        <v>5</v>
      </c>
      <c r="H65" s="0" t="s">
        <v>117</v>
      </c>
      <c r="I65" s="0" t="s">
        <v>159</v>
      </c>
      <c r="K65" s="0" t="s">
        <v>132</v>
      </c>
      <c r="L65" s="0" t="s">
        <v>277</v>
      </c>
    </row>
    <row r="66" customFormat="false" ht="15" hidden="false" customHeight="false" outlineLevel="0" collapsed="false">
      <c r="A66" s="0" t="s">
        <v>6</v>
      </c>
      <c r="B66" s="0" t="s">
        <v>140</v>
      </c>
      <c r="C66" s="0" t="s">
        <v>268</v>
      </c>
      <c r="D66" s="0" t="s">
        <v>56</v>
      </c>
      <c r="E66" s="0" t="s">
        <v>278</v>
      </c>
      <c r="F66" s="0" t="n">
        <v>4</v>
      </c>
      <c r="G66" s="0" t="n">
        <v>4</v>
      </c>
      <c r="H66" s="0" t="s">
        <v>117</v>
      </c>
      <c r="I66" s="0" t="s">
        <v>181</v>
      </c>
      <c r="K66" s="0" t="s">
        <v>135</v>
      </c>
      <c r="L66" s="0" t="s">
        <v>279</v>
      </c>
    </row>
    <row r="67" customFormat="false" ht="15" hidden="false" customHeight="false" outlineLevel="0" collapsed="false">
      <c r="A67" s="0" t="s">
        <v>6</v>
      </c>
      <c r="B67" s="0" t="s">
        <v>140</v>
      </c>
      <c r="C67" s="0" t="s">
        <v>268</v>
      </c>
      <c r="D67" s="0" t="s">
        <v>59</v>
      </c>
      <c r="E67" s="0" t="s">
        <v>280</v>
      </c>
      <c r="F67" s="0" t="n">
        <v>4</v>
      </c>
      <c r="G67" s="0" t="n">
        <v>2</v>
      </c>
      <c r="H67" s="0" t="s">
        <v>122</v>
      </c>
      <c r="I67" s="0" t="s">
        <v>235</v>
      </c>
      <c r="K67" s="0" t="s">
        <v>138</v>
      </c>
      <c r="L67" s="0" t="s">
        <v>281</v>
      </c>
    </row>
    <row r="68" customFormat="false" ht="15" hidden="false" customHeight="false" outlineLevel="0" collapsed="false">
      <c r="A68" s="0" t="s">
        <v>6</v>
      </c>
      <c r="B68" s="0" t="s">
        <v>129</v>
      </c>
      <c r="C68" s="0" t="s">
        <v>268</v>
      </c>
      <c r="D68" s="0" t="s">
        <v>67</v>
      </c>
      <c r="E68" s="0" t="s">
        <v>282</v>
      </c>
      <c r="F68" s="0" t="n">
        <v>5</v>
      </c>
      <c r="G68" s="0" t="n">
        <v>5</v>
      </c>
      <c r="H68" s="0" t="s">
        <v>117</v>
      </c>
      <c r="I68" s="0" t="s">
        <v>131</v>
      </c>
      <c r="K68" s="0" t="s">
        <v>143</v>
      </c>
      <c r="L68" s="0" t="s">
        <v>283</v>
      </c>
    </row>
    <row r="69" customFormat="false" ht="15" hidden="false" customHeight="false" outlineLevel="0" collapsed="false">
      <c r="A69" s="0" t="s">
        <v>6</v>
      </c>
      <c r="B69" s="0" t="s">
        <v>154</v>
      </c>
      <c r="C69" s="0" t="s">
        <v>268</v>
      </c>
      <c r="D69" s="0" t="s">
        <v>70</v>
      </c>
      <c r="E69" s="0" t="s">
        <v>284</v>
      </c>
      <c r="F69" s="0" t="n">
        <v>4</v>
      </c>
      <c r="G69" s="0" t="n">
        <v>4</v>
      </c>
      <c r="H69" s="0" t="s">
        <v>117</v>
      </c>
      <c r="I69" s="0" t="s">
        <v>235</v>
      </c>
      <c r="K69" s="0" t="s">
        <v>146</v>
      </c>
      <c r="L69" s="0" t="s">
        <v>285</v>
      </c>
    </row>
    <row r="70" customFormat="false" ht="15" hidden="false" customHeight="false" outlineLevel="0" collapsed="false">
      <c r="A70" s="0" t="s">
        <v>6</v>
      </c>
      <c r="B70" s="0" t="s">
        <v>129</v>
      </c>
      <c r="C70" s="0" t="s">
        <v>268</v>
      </c>
      <c r="D70" s="0" t="s">
        <v>73</v>
      </c>
      <c r="E70" s="0" t="s">
        <v>286</v>
      </c>
      <c r="F70" s="0" t="n">
        <v>5</v>
      </c>
      <c r="G70" s="0" t="n">
        <v>5</v>
      </c>
      <c r="H70" s="0" t="s">
        <v>117</v>
      </c>
      <c r="I70" s="0" t="s">
        <v>272</v>
      </c>
      <c r="K70" s="0" t="s">
        <v>149</v>
      </c>
      <c r="L70" s="0" t="s">
        <v>287</v>
      </c>
    </row>
    <row r="71" customFormat="false" ht="15" hidden="false" customHeight="false" outlineLevel="0" collapsed="false">
      <c r="A71" s="0" t="s">
        <v>6</v>
      </c>
      <c r="B71" s="0" t="s">
        <v>140</v>
      </c>
      <c r="C71" s="0" t="s">
        <v>268</v>
      </c>
      <c r="D71" s="0" t="s">
        <v>76</v>
      </c>
      <c r="E71" s="0" t="s">
        <v>288</v>
      </c>
      <c r="F71" s="0" t="n">
        <v>4</v>
      </c>
      <c r="G71" s="0" t="n">
        <v>4</v>
      </c>
      <c r="H71" s="0" t="s">
        <v>117</v>
      </c>
      <c r="I71" s="0" t="s">
        <v>235</v>
      </c>
      <c r="K71" s="0" t="s">
        <v>152</v>
      </c>
      <c r="L71" s="0" t="s">
        <v>289</v>
      </c>
    </row>
    <row r="72" customFormat="false" ht="15" hidden="false" customHeight="false" outlineLevel="0" collapsed="false">
      <c r="A72" s="0" t="s">
        <v>6</v>
      </c>
      <c r="B72" s="0" t="s">
        <v>129</v>
      </c>
      <c r="C72" s="0" t="s">
        <v>268</v>
      </c>
      <c r="D72" s="0" t="s">
        <v>79</v>
      </c>
      <c r="E72" s="0" t="s">
        <v>290</v>
      </c>
      <c r="F72" s="0" t="n">
        <v>5</v>
      </c>
      <c r="G72" s="0" t="n">
        <v>4</v>
      </c>
      <c r="H72" s="0" t="s">
        <v>122</v>
      </c>
      <c r="I72" s="0" t="s">
        <v>131</v>
      </c>
      <c r="K72" s="0" t="s">
        <v>156</v>
      </c>
      <c r="L72" s="0" t="s">
        <v>291</v>
      </c>
    </row>
    <row r="73" customFormat="false" ht="15" hidden="false" customHeight="false" outlineLevel="0" collapsed="false">
      <c r="A73" s="0" t="s">
        <v>6</v>
      </c>
      <c r="C73" s="0" t="s">
        <v>268</v>
      </c>
      <c r="D73" s="0" t="s">
        <v>82</v>
      </c>
      <c r="E73" s="0" t="s">
        <v>292</v>
      </c>
      <c r="F73" s="0" t="n">
        <v>5</v>
      </c>
      <c r="G73" s="0" t="n">
        <v>0</v>
      </c>
      <c r="H73" s="0" t="s">
        <v>122</v>
      </c>
      <c r="K73" s="0" t="s">
        <v>160</v>
      </c>
      <c r="L73" s="0" t="s">
        <v>293</v>
      </c>
    </row>
    <row r="74" customFormat="false" ht="15" hidden="false" customHeight="false" outlineLevel="0" collapsed="false">
      <c r="A74" s="0" t="s">
        <v>6</v>
      </c>
      <c r="C74" s="0" t="s">
        <v>294</v>
      </c>
      <c r="D74" s="0" t="s">
        <v>115</v>
      </c>
      <c r="E74" s="0" t="s">
        <v>295</v>
      </c>
      <c r="F74" s="0" t="n">
        <v>0</v>
      </c>
      <c r="G74" s="0" t="n">
        <v>0</v>
      </c>
      <c r="H74" s="0" t="s">
        <v>117</v>
      </c>
      <c r="K74" s="0" t="s">
        <v>118</v>
      </c>
      <c r="L74" s="0" t="s">
        <v>296</v>
      </c>
    </row>
    <row r="75" customFormat="false" ht="15" hidden="false" customHeight="false" outlineLevel="0" collapsed="false">
      <c r="A75" s="0" t="s">
        <v>6</v>
      </c>
      <c r="B75" s="0" t="s">
        <v>129</v>
      </c>
      <c r="C75" s="0" t="s">
        <v>294</v>
      </c>
      <c r="D75" s="0" t="s">
        <v>120</v>
      </c>
      <c r="E75" s="0" t="s">
        <v>297</v>
      </c>
      <c r="F75" s="0" t="n">
        <v>5</v>
      </c>
      <c r="G75" s="0" t="n">
        <v>5</v>
      </c>
      <c r="H75" s="0" t="s">
        <v>117</v>
      </c>
      <c r="I75" s="0" t="s">
        <v>159</v>
      </c>
      <c r="K75" s="0" t="s">
        <v>123</v>
      </c>
      <c r="L75" s="0" t="s">
        <v>298</v>
      </c>
    </row>
    <row r="76" customFormat="false" ht="15" hidden="false" customHeight="false" outlineLevel="0" collapsed="false">
      <c r="A76" s="0" t="s">
        <v>6</v>
      </c>
      <c r="B76" s="0" t="s">
        <v>129</v>
      </c>
      <c r="C76" s="0" t="s">
        <v>294</v>
      </c>
      <c r="D76" s="0" t="s">
        <v>125</v>
      </c>
      <c r="E76" s="0" t="s">
        <v>299</v>
      </c>
      <c r="F76" s="0" t="n">
        <v>5</v>
      </c>
      <c r="G76" s="0" t="n">
        <v>5</v>
      </c>
      <c r="H76" s="0" t="s">
        <v>117</v>
      </c>
      <c r="I76" s="0" t="s">
        <v>170</v>
      </c>
      <c r="K76" s="0" t="s">
        <v>127</v>
      </c>
      <c r="L76" s="0" t="s">
        <v>300</v>
      </c>
    </row>
    <row r="77" customFormat="false" ht="15" hidden="false" customHeight="false" outlineLevel="0" collapsed="false">
      <c r="A77" s="0" t="s">
        <v>6</v>
      </c>
      <c r="B77" s="0" t="s">
        <v>129</v>
      </c>
      <c r="C77" s="0" t="s">
        <v>294</v>
      </c>
      <c r="D77" s="0" t="s">
        <v>53</v>
      </c>
      <c r="E77" s="0" t="s">
        <v>301</v>
      </c>
      <c r="F77" s="0" t="n">
        <v>5</v>
      </c>
      <c r="G77" s="0" t="n">
        <v>4</v>
      </c>
      <c r="H77" s="0" t="s">
        <v>122</v>
      </c>
      <c r="I77" s="0" t="s">
        <v>193</v>
      </c>
      <c r="K77" s="0" t="s">
        <v>132</v>
      </c>
      <c r="L77" s="0" t="s">
        <v>302</v>
      </c>
    </row>
    <row r="78" customFormat="false" ht="15" hidden="false" customHeight="false" outlineLevel="0" collapsed="false">
      <c r="A78" s="0" t="s">
        <v>6</v>
      </c>
      <c r="B78" s="0" t="s">
        <v>140</v>
      </c>
      <c r="C78" s="0" t="s">
        <v>294</v>
      </c>
      <c r="D78" s="0" t="s">
        <v>56</v>
      </c>
      <c r="E78" s="0" t="s">
        <v>303</v>
      </c>
      <c r="F78" s="0" t="n">
        <v>4</v>
      </c>
      <c r="G78" s="0" t="n">
        <v>4</v>
      </c>
      <c r="H78" s="0" t="s">
        <v>117</v>
      </c>
      <c r="I78" s="0" t="s">
        <v>142</v>
      </c>
      <c r="K78" s="0" t="s">
        <v>135</v>
      </c>
      <c r="L78" s="0" t="s">
        <v>304</v>
      </c>
    </row>
    <row r="79" customFormat="false" ht="15" hidden="false" customHeight="false" outlineLevel="0" collapsed="false">
      <c r="A79" s="0" t="s">
        <v>6</v>
      </c>
      <c r="C79" s="0" t="s">
        <v>294</v>
      </c>
      <c r="D79" s="0" t="s">
        <v>59</v>
      </c>
      <c r="E79" s="0" t="s">
        <v>305</v>
      </c>
      <c r="F79" s="0" t="n">
        <v>5</v>
      </c>
      <c r="G79" s="0" t="n">
        <v>0</v>
      </c>
      <c r="H79" s="0" t="s">
        <v>122</v>
      </c>
      <c r="K79" s="0" t="s">
        <v>138</v>
      </c>
      <c r="L79" s="0" t="s">
        <v>306</v>
      </c>
    </row>
    <row r="80" customFormat="false" ht="15" hidden="false" customHeight="false" outlineLevel="0" collapsed="false">
      <c r="A80" s="0" t="s">
        <v>6</v>
      </c>
      <c r="B80" s="0" t="s">
        <v>129</v>
      </c>
      <c r="C80" s="0" t="s">
        <v>294</v>
      </c>
      <c r="D80" s="0" t="s">
        <v>67</v>
      </c>
      <c r="E80" s="0" t="s">
        <v>307</v>
      </c>
      <c r="F80" s="0" t="n">
        <v>5</v>
      </c>
      <c r="G80" s="0" t="n">
        <v>3</v>
      </c>
      <c r="H80" s="0" t="s">
        <v>122</v>
      </c>
      <c r="I80" s="0" t="s">
        <v>272</v>
      </c>
      <c r="K80" s="0" t="s">
        <v>143</v>
      </c>
      <c r="L80" s="0" t="s">
        <v>308</v>
      </c>
    </row>
    <row r="81" customFormat="false" ht="15" hidden="false" customHeight="false" outlineLevel="0" collapsed="false">
      <c r="A81" s="0" t="s">
        <v>6</v>
      </c>
      <c r="B81" s="0" t="s">
        <v>154</v>
      </c>
      <c r="C81" s="0" t="s">
        <v>294</v>
      </c>
      <c r="D81" s="0" t="s">
        <v>70</v>
      </c>
      <c r="E81" s="0" t="s">
        <v>309</v>
      </c>
      <c r="F81" s="0" t="n">
        <v>4</v>
      </c>
      <c r="G81" s="0" t="n">
        <v>4</v>
      </c>
      <c r="H81" s="0" t="s">
        <v>117</v>
      </c>
      <c r="I81" s="0" t="s">
        <v>131</v>
      </c>
      <c r="K81" s="0" t="s">
        <v>146</v>
      </c>
      <c r="L81" s="0" t="s">
        <v>310</v>
      </c>
    </row>
    <row r="82" customFormat="false" ht="15" hidden="false" customHeight="false" outlineLevel="0" collapsed="false">
      <c r="A82" s="0" t="s">
        <v>6</v>
      </c>
      <c r="B82" s="0" t="s">
        <v>129</v>
      </c>
      <c r="C82" s="0" t="s">
        <v>294</v>
      </c>
      <c r="D82" s="0" t="s">
        <v>73</v>
      </c>
      <c r="E82" s="0" t="s">
        <v>311</v>
      </c>
      <c r="F82" s="0" t="n">
        <v>5</v>
      </c>
      <c r="G82" s="0" t="n">
        <v>4</v>
      </c>
      <c r="H82" s="0" t="s">
        <v>122</v>
      </c>
      <c r="I82" s="0" t="s">
        <v>170</v>
      </c>
      <c r="K82" s="0" t="s">
        <v>149</v>
      </c>
      <c r="L82" s="0" t="s">
        <v>312</v>
      </c>
    </row>
    <row r="83" customFormat="false" ht="15" hidden="false" customHeight="false" outlineLevel="0" collapsed="false">
      <c r="A83" s="0" t="s">
        <v>6</v>
      </c>
      <c r="B83" s="0" t="s">
        <v>154</v>
      </c>
      <c r="C83" s="0" t="s">
        <v>294</v>
      </c>
      <c r="D83" s="0" t="s">
        <v>76</v>
      </c>
      <c r="E83" s="0" t="s">
        <v>313</v>
      </c>
      <c r="F83" s="0" t="n">
        <v>4</v>
      </c>
      <c r="G83" s="0" t="n">
        <v>2</v>
      </c>
      <c r="H83" s="0" t="s">
        <v>122</v>
      </c>
      <c r="I83" s="0" t="s">
        <v>170</v>
      </c>
      <c r="K83" s="0" t="s">
        <v>152</v>
      </c>
      <c r="L83" s="0" t="s">
        <v>314</v>
      </c>
    </row>
    <row r="84" customFormat="false" ht="15" hidden="false" customHeight="false" outlineLevel="0" collapsed="false">
      <c r="A84" s="0" t="s">
        <v>6</v>
      </c>
      <c r="B84" s="0" t="s">
        <v>140</v>
      </c>
      <c r="C84" s="0" t="s">
        <v>294</v>
      </c>
      <c r="D84" s="0" t="s">
        <v>79</v>
      </c>
      <c r="E84" s="0" t="s">
        <v>315</v>
      </c>
      <c r="F84" s="0" t="n">
        <v>4</v>
      </c>
      <c r="G84" s="0" t="n">
        <v>1</v>
      </c>
      <c r="H84" s="0" t="s">
        <v>122</v>
      </c>
      <c r="I84" s="0" t="s">
        <v>260</v>
      </c>
      <c r="K84" s="0" t="s">
        <v>156</v>
      </c>
      <c r="L84" s="0" t="s">
        <v>316</v>
      </c>
    </row>
    <row r="85" customFormat="false" ht="15" hidden="false" customHeight="false" outlineLevel="0" collapsed="false">
      <c r="A85" s="0" t="s">
        <v>6</v>
      </c>
      <c r="C85" s="0" t="s">
        <v>294</v>
      </c>
      <c r="D85" s="0" t="s">
        <v>82</v>
      </c>
      <c r="E85" s="0" t="s">
        <v>317</v>
      </c>
      <c r="F85" s="0" t="n">
        <v>5</v>
      </c>
      <c r="G85" s="0" t="n">
        <v>0</v>
      </c>
      <c r="H85" s="0" t="s">
        <v>122</v>
      </c>
      <c r="K85" s="0" t="s">
        <v>160</v>
      </c>
      <c r="L85" s="0" t="s">
        <v>318</v>
      </c>
    </row>
    <row r="86" customFormat="false" ht="15" hidden="false" customHeight="false" outlineLevel="0" collapsed="false">
      <c r="A86" s="0" t="s">
        <v>6</v>
      </c>
      <c r="B86" s="0" t="s">
        <v>319</v>
      </c>
      <c r="C86" s="0" t="s">
        <v>114</v>
      </c>
      <c r="D86" s="0" t="s">
        <v>320</v>
      </c>
      <c r="E86" s="0" t="s">
        <v>321</v>
      </c>
      <c r="F86" s="0" t="n">
        <v>8</v>
      </c>
      <c r="G86" s="0" t="n">
        <v>0</v>
      </c>
      <c r="H86" s="0" t="s">
        <v>122</v>
      </c>
      <c r="K86" s="0" t="s">
        <v>322</v>
      </c>
      <c r="L86" s="0" t="s">
        <v>323</v>
      </c>
    </row>
    <row r="87" customFormat="false" ht="15" hidden="false" customHeight="false" outlineLevel="0" collapsed="false">
      <c r="A87" s="0" t="s">
        <v>6</v>
      </c>
      <c r="B87" s="0" t="s">
        <v>319</v>
      </c>
      <c r="C87" s="0" t="s">
        <v>162</v>
      </c>
      <c r="D87" s="0" t="s">
        <v>320</v>
      </c>
      <c r="E87" s="0" t="s">
        <v>324</v>
      </c>
      <c r="F87" s="0" t="n">
        <v>8</v>
      </c>
      <c r="G87" s="0" t="n">
        <v>0</v>
      </c>
      <c r="H87" s="0" t="s">
        <v>122</v>
      </c>
      <c r="K87" s="0" t="s">
        <v>322</v>
      </c>
      <c r="L87" s="0" t="s">
        <v>325</v>
      </c>
    </row>
    <row r="88" customFormat="false" ht="15" hidden="false" customHeight="false" outlineLevel="0" collapsed="false">
      <c r="A88" s="0" t="s">
        <v>6</v>
      </c>
      <c r="B88" s="0" t="s">
        <v>319</v>
      </c>
      <c r="C88" s="0" t="s">
        <v>189</v>
      </c>
      <c r="D88" s="0" t="s">
        <v>320</v>
      </c>
      <c r="E88" s="0" t="s">
        <v>326</v>
      </c>
      <c r="F88" s="0" t="n">
        <v>8</v>
      </c>
      <c r="G88" s="0" t="n">
        <v>0</v>
      </c>
      <c r="H88" s="0" t="s">
        <v>122</v>
      </c>
      <c r="K88" s="0" t="s">
        <v>322</v>
      </c>
      <c r="L88" s="0" t="s">
        <v>327</v>
      </c>
    </row>
    <row r="89" customFormat="false" ht="15" hidden="false" customHeight="false" outlineLevel="0" collapsed="false">
      <c r="A89" s="0" t="s">
        <v>6</v>
      </c>
      <c r="B89" s="0" t="s">
        <v>319</v>
      </c>
      <c r="C89" s="0" t="s">
        <v>215</v>
      </c>
      <c r="D89" s="0" t="s">
        <v>320</v>
      </c>
      <c r="E89" s="0" t="s">
        <v>328</v>
      </c>
      <c r="F89" s="0" t="n">
        <v>8</v>
      </c>
      <c r="G89" s="0" t="n">
        <v>0</v>
      </c>
      <c r="H89" s="0" t="s">
        <v>122</v>
      </c>
      <c r="K89" s="0" t="s">
        <v>322</v>
      </c>
      <c r="L89" s="0" t="s">
        <v>329</v>
      </c>
    </row>
    <row r="90" customFormat="false" ht="15" hidden="false" customHeight="false" outlineLevel="0" collapsed="false">
      <c r="A90" s="0" t="s">
        <v>6</v>
      </c>
      <c r="B90" s="0" t="s">
        <v>319</v>
      </c>
      <c r="C90" s="0" t="s">
        <v>241</v>
      </c>
      <c r="D90" s="0" t="s">
        <v>320</v>
      </c>
      <c r="E90" s="0" t="s">
        <v>330</v>
      </c>
      <c r="F90" s="0" t="n">
        <v>8</v>
      </c>
      <c r="G90" s="0" t="n">
        <v>0</v>
      </c>
      <c r="H90" s="0" t="s">
        <v>122</v>
      </c>
      <c r="K90" s="0" t="s">
        <v>322</v>
      </c>
      <c r="L90" s="0" t="s">
        <v>331</v>
      </c>
    </row>
    <row r="91" customFormat="false" ht="15" hidden="false" customHeight="false" outlineLevel="0" collapsed="false">
      <c r="A91" s="0" t="s">
        <v>6</v>
      </c>
      <c r="B91" s="0" t="s">
        <v>319</v>
      </c>
      <c r="C91" s="0" t="s">
        <v>268</v>
      </c>
      <c r="D91" s="0" t="s">
        <v>320</v>
      </c>
      <c r="E91" s="0" t="s">
        <v>332</v>
      </c>
      <c r="F91" s="0" t="n">
        <v>8</v>
      </c>
      <c r="G91" s="0" t="n">
        <v>0</v>
      </c>
      <c r="H91" s="0" t="s">
        <v>122</v>
      </c>
      <c r="K91" s="0" t="s">
        <v>322</v>
      </c>
      <c r="L91" s="0" t="s">
        <v>333</v>
      </c>
    </row>
    <row r="92" customFormat="false" ht="15" hidden="false" customHeight="false" outlineLevel="0" collapsed="false">
      <c r="A92" s="0" t="s">
        <v>6</v>
      </c>
      <c r="B92" s="0" t="s">
        <v>319</v>
      </c>
      <c r="C92" s="0" t="s">
        <v>294</v>
      </c>
      <c r="D92" s="0" t="s">
        <v>320</v>
      </c>
      <c r="E92" s="0" t="s">
        <v>334</v>
      </c>
      <c r="F92" s="0" t="n">
        <v>8</v>
      </c>
      <c r="G92" s="0" t="n">
        <v>0</v>
      </c>
      <c r="H92" s="0" t="s">
        <v>122</v>
      </c>
      <c r="K92" s="0" t="s">
        <v>322</v>
      </c>
      <c r="L92" s="0" t="s">
        <v>335</v>
      </c>
    </row>
    <row r="93" customFormat="false" ht="15" hidden="false" customHeight="false" outlineLevel="0" collapsed="false">
      <c r="A93" s="0" t="s">
        <v>6</v>
      </c>
      <c r="B93" s="0" t="s">
        <v>319</v>
      </c>
      <c r="C93" s="0" t="s">
        <v>114</v>
      </c>
      <c r="D93" s="0" t="s">
        <v>86</v>
      </c>
      <c r="E93" s="0" t="s">
        <v>336</v>
      </c>
      <c r="F93" s="0" t="n">
        <v>8</v>
      </c>
      <c r="G93" s="0" t="n">
        <v>0</v>
      </c>
      <c r="H93" s="0" t="s">
        <v>122</v>
      </c>
      <c r="K93" s="0" t="s">
        <v>322</v>
      </c>
      <c r="L93" s="0" t="s">
        <v>337</v>
      </c>
    </row>
    <row r="94" customFormat="false" ht="15" hidden="false" customHeight="false" outlineLevel="0" collapsed="false">
      <c r="A94" s="0" t="s">
        <v>6</v>
      </c>
      <c r="B94" s="0" t="s">
        <v>319</v>
      </c>
      <c r="C94" s="0" t="s">
        <v>162</v>
      </c>
      <c r="D94" s="0" t="s">
        <v>86</v>
      </c>
      <c r="E94" s="0" t="s">
        <v>338</v>
      </c>
      <c r="F94" s="0" t="n">
        <v>8</v>
      </c>
      <c r="G94" s="0" t="n">
        <v>0</v>
      </c>
      <c r="H94" s="0" t="s">
        <v>122</v>
      </c>
      <c r="K94" s="0" t="s">
        <v>322</v>
      </c>
      <c r="L94" s="0" t="s">
        <v>339</v>
      </c>
    </row>
    <row r="95" customFormat="false" ht="15" hidden="false" customHeight="false" outlineLevel="0" collapsed="false">
      <c r="A95" s="0" t="s">
        <v>6</v>
      </c>
      <c r="B95" s="0" t="s">
        <v>319</v>
      </c>
      <c r="C95" s="0" t="s">
        <v>189</v>
      </c>
      <c r="D95" s="0" t="s">
        <v>86</v>
      </c>
      <c r="E95" s="0" t="s">
        <v>340</v>
      </c>
      <c r="F95" s="0" t="n">
        <v>8</v>
      </c>
      <c r="G95" s="0" t="n">
        <v>0</v>
      </c>
      <c r="H95" s="0" t="s">
        <v>122</v>
      </c>
      <c r="K95" s="0" t="s">
        <v>322</v>
      </c>
      <c r="L95" s="0" t="s">
        <v>341</v>
      </c>
    </row>
    <row r="96" customFormat="false" ht="15" hidden="false" customHeight="false" outlineLevel="0" collapsed="false">
      <c r="A96" s="0" t="s">
        <v>6</v>
      </c>
      <c r="B96" s="0" t="s">
        <v>319</v>
      </c>
      <c r="C96" s="0" t="s">
        <v>215</v>
      </c>
      <c r="D96" s="0" t="s">
        <v>86</v>
      </c>
      <c r="E96" s="0" t="s">
        <v>342</v>
      </c>
      <c r="F96" s="0" t="n">
        <v>8</v>
      </c>
      <c r="G96" s="0" t="n">
        <v>0</v>
      </c>
      <c r="H96" s="0" t="s">
        <v>122</v>
      </c>
      <c r="K96" s="0" t="s">
        <v>322</v>
      </c>
      <c r="L96" s="0" t="s">
        <v>343</v>
      </c>
    </row>
    <row r="97" customFormat="false" ht="15" hidden="false" customHeight="false" outlineLevel="0" collapsed="false">
      <c r="A97" s="0" t="s">
        <v>6</v>
      </c>
      <c r="B97" s="0" t="s">
        <v>319</v>
      </c>
      <c r="C97" s="0" t="s">
        <v>241</v>
      </c>
      <c r="D97" s="0" t="s">
        <v>86</v>
      </c>
      <c r="E97" s="0" t="s">
        <v>344</v>
      </c>
      <c r="F97" s="0" t="n">
        <v>8</v>
      </c>
      <c r="G97" s="0" t="n">
        <v>0</v>
      </c>
      <c r="H97" s="0" t="s">
        <v>122</v>
      </c>
      <c r="K97" s="0" t="s">
        <v>322</v>
      </c>
      <c r="L97" s="0" t="s">
        <v>345</v>
      </c>
    </row>
    <row r="98" customFormat="false" ht="15" hidden="false" customHeight="false" outlineLevel="0" collapsed="false">
      <c r="A98" s="0" t="s">
        <v>6</v>
      </c>
      <c r="B98" s="0" t="s">
        <v>319</v>
      </c>
      <c r="C98" s="0" t="s">
        <v>268</v>
      </c>
      <c r="D98" s="0" t="s">
        <v>86</v>
      </c>
      <c r="E98" s="0" t="s">
        <v>346</v>
      </c>
      <c r="F98" s="0" t="n">
        <v>8</v>
      </c>
      <c r="G98" s="0" t="n">
        <v>0</v>
      </c>
      <c r="H98" s="0" t="s">
        <v>122</v>
      </c>
      <c r="K98" s="0" t="s">
        <v>322</v>
      </c>
      <c r="L98" s="0" t="s">
        <v>347</v>
      </c>
    </row>
    <row r="99" customFormat="false" ht="15" hidden="false" customHeight="false" outlineLevel="0" collapsed="false">
      <c r="A99" s="0" t="s">
        <v>6</v>
      </c>
      <c r="B99" s="0" t="s">
        <v>319</v>
      </c>
      <c r="C99" s="0" t="s">
        <v>294</v>
      </c>
      <c r="D99" s="0" t="s">
        <v>86</v>
      </c>
      <c r="E99" s="0" t="s">
        <v>348</v>
      </c>
      <c r="F99" s="0" t="n">
        <v>8</v>
      </c>
      <c r="G99" s="0" t="n">
        <v>0</v>
      </c>
      <c r="H99" s="0" t="s">
        <v>122</v>
      </c>
      <c r="K99" s="0" t="s">
        <v>322</v>
      </c>
      <c r="L99" s="0" t="s">
        <v>349</v>
      </c>
    </row>
    <row r="100" customFormat="false" ht="15" hidden="false" customHeight="false" outlineLevel="0" collapsed="false">
      <c r="A100" s="0" t="s">
        <v>6</v>
      </c>
      <c r="B100" s="0" t="s">
        <v>350</v>
      </c>
      <c r="C100" s="0" t="s">
        <v>351</v>
      </c>
      <c r="D100" s="0" t="s">
        <v>115</v>
      </c>
      <c r="E100" s="0" t="s">
        <v>352</v>
      </c>
      <c r="F100" s="0" t="n">
        <v>0</v>
      </c>
      <c r="G100" s="0" t="n">
        <v>0</v>
      </c>
      <c r="H100" s="0" t="s">
        <v>117</v>
      </c>
      <c r="K100" s="0" t="s">
        <v>118</v>
      </c>
      <c r="L100" s="0" t="s">
        <v>353</v>
      </c>
    </row>
    <row r="101" customFormat="false" ht="15" hidden="false" customHeight="false" outlineLevel="0" collapsed="false">
      <c r="A101" s="0" t="s">
        <v>6</v>
      </c>
      <c r="B101" s="0" t="s">
        <v>350</v>
      </c>
      <c r="C101" s="0" t="s">
        <v>351</v>
      </c>
      <c r="D101" s="0" t="s">
        <v>120</v>
      </c>
      <c r="E101" s="0" t="s">
        <v>354</v>
      </c>
      <c r="F101" s="0" t="n">
        <v>5</v>
      </c>
      <c r="G101" s="0" t="n">
        <v>3</v>
      </c>
      <c r="H101" s="0" t="s">
        <v>122</v>
      </c>
      <c r="I101" s="0" t="s">
        <v>170</v>
      </c>
      <c r="K101" s="0" t="s">
        <v>123</v>
      </c>
      <c r="L101" s="0" t="s">
        <v>355</v>
      </c>
    </row>
    <row r="102" customFormat="false" ht="15" hidden="false" customHeight="false" outlineLevel="0" collapsed="false">
      <c r="A102" s="0" t="s">
        <v>6</v>
      </c>
      <c r="B102" s="0" t="s">
        <v>350</v>
      </c>
      <c r="C102" s="0" t="s">
        <v>351</v>
      </c>
      <c r="D102" s="0" t="s">
        <v>125</v>
      </c>
      <c r="E102" s="0" t="s">
        <v>356</v>
      </c>
      <c r="F102" s="0" t="n">
        <v>5</v>
      </c>
      <c r="G102" s="0" t="n">
        <v>3</v>
      </c>
      <c r="H102" s="0" t="s">
        <v>122</v>
      </c>
      <c r="I102" s="0" t="s">
        <v>170</v>
      </c>
      <c r="K102" s="0" t="s">
        <v>127</v>
      </c>
      <c r="L102" s="0" t="s">
        <v>357</v>
      </c>
    </row>
    <row r="103" customFormat="false" ht="15" hidden="false" customHeight="false" outlineLevel="0" collapsed="false">
      <c r="A103" s="0" t="s">
        <v>6</v>
      </c>
      <c r="B103" s="0" t="s">
        <v>350</v>
      </c>
      <c r="C103" s="0" t="s">
        <v>351</v>
      </c>
      <c r="D103" s="0" t="s">
        <v>53</v>
      </c>
      <c r="E103" s="0" t="s">
        <v>358</v>
      </c>
      <c r="F103" s="0" t="n">
        <v>5</v>
      </c>
      <c r="G103" s="0" t="n">
        <v>0</v>
      </c>
      <c r="H103" s="0" t="s">
        <v>122</v>
      </c>
      <c r="K103" s="0" t="s">
        <v>132</v>
      </c>
      <c r="L103" s="0" t="s">
        <v>359</v>
      </c>
    </row>
    <row r="104" customFormat="false" ht="15" hidden="false" customHeight="false" outlineLevel="0" collapsed="false">
      <c r="A104" s="0" t="s">
        <v>6</v>
      </c>
      <c r="B104" s="0" t="s">
        <v>350</v>
      </c>
      <c r="C104" s="0" t="s">
        <v>351</v>
      </c>
      <c r="D104" s="0" t="s">
        <v>56</v>
      </c>
      <c r="E104" s="0" t="s">
        <v>360</v>
      </c>
      <c r="F104" s="0" t="n">
        <v>5</v>
      </c>
      <c r="G104" s="0" t="n">
        <v>0</v>
      </c>
      <c r="H104" s="0" t="s">
        <v>122</v>
      </c>
      <c r="K104" s="0" t="s">
        <v>135</v>
      </c>
      <c r="L104" s="0" t="s">
        <v>361</v>
      </c>
    </row>
    <row r="105" customFormat="false" ht="15" hidden="false" customHeight="false" outlineLevel="0" collapsed="false">
      <c r="A105" s="0" t="s">
        <v>6</v>
      </c>
      <c r="B105" s="0" t="s">
        <v>350</v>
      </c>
      <c r="C105" s="0" t="s">
        <v>351</v>
      </c>
      <c r="D105" s="0" t="s">
        <v>59</v>
      </c>
      <c r="E105" s="0" t="s">
        <v>362</v>
      </c>
      <c r="F105" s="0" t="n">
        <v>0</v>
      </c>
      <c r="G105" s="0" t="n">
        <v>0</v>
      </c>
      <c r="H105" s="0" t="s">
        <v>117</v>
      </c>
      <c r="K105" s="0" t="s">
        <v>138</v>
      </c>
      <c r="L105" s="0" t="s">
        <v>363</v>
      </c>
    </row>
    <row r="106" customFormat="false" ht="15" hidden="false" customHeight="false" outlineLevel="0" collapsed="false">
      <c r="A106" s="0" t="s">
        <v>6</v>
      </c>
      <c r="B106" s="0" t="s">
        <v>350</v>
      </c>
      <c r="C106" s="0" t="s">
        <v>351</v>
      </c>
      <c r="D106" s="0" t="s">
        <v>67</v>
      </c>
      <c r="E106" s="0" t="s">
        <v>364</v>
      </c>
      <c r="F106" s="0" t="n">
        <v>5</v>
      </c>
      <c r="G106" s="0" t="n">
        <v>0</v>
      </c>
      <c r="H106" s="0" t="s">
        <v>122</v>
      </c>
      <c r="K106" s="0" t="s">
        <v>143</v>
      </c>
      <c r="L106" s="0" t="s">
        <v>365</v>
      </c>
    </row>
    <row r="107" customFormat="false" ht="15" hidden="false" customHeight="false" outlineLevel="0" collapsed="false">
      <c r="A107" s="0" t="s">
        <v>6</v>
      </c>
      <c r="B107" s="0" t="s">
        <v>350</v>
      </c>
      <c r="C107" s="0" t="s">
        <v>351</v>
      </c>
      <c r="D107" s="0" t="s">
        <v>70</v>
      </c>
      <c r="E107" s="0" t="s">
        <v>366</v>
      </c>
      <c r="F107" s="0" t="n">
        <v>5</v>
      </c>
      <c r="G107" s="0" t="n">
        <v>1</v>
      </c>
      <c r="H107" s="0" t="s">
        <v>122</v>
      </c>
      <c r="I107" s="0" t="s">
        <v>159</v>
      </c>
      <c r="K107" s="0" t="s">
        <v>146</v>
      </c>
      <c r="L107" s="0" t="s">
        <v>367</v>
      </c>
    </row>
    <row r="108" customFormat="false" ht="15" hidden="false" customHeight="false" outlineLevel="0" collapsed="false">
      <c r="A108" s="0" t="s">
        <v>6</v>
      </c>
      <c r="B108" s="0" t="s">
        <v>350</v>
      </c>
      <c r="C108" s="0" t="s">
        <v>351</v>
      </c>
      <c r="D108" s="0" t="s">
        <v>73</v>
      </c>
      <c r="E108" s="0" t="s">
        <v>368</v>
      </c>
      <c r="F108" s="0" t="n">
        <v>0</v>
      </c>
      <c r="G108" s="0" t="n">
        <v>0</v>
      </c>
      <c r="H108" s="0" t="s">
        <v>117</v>
      </c>
      <c r="K108" s="0" t="s">
        <v>149</v>
      </c>
      <c r="L108" s="0" t="s">
        <v>369</v>
      </c>
    </row>
    <row r="109" customFormat="false" ht="15" hidden="false" customHeight="false" outlineLevel="0" collapsed="false">
      <c r="A109" s="0" t="s">
        <v>6</v>
      </c>
      <c r="B109" s="0" t="s">
        <v>350</v>
      </c>
      <c r="C109" s="0" t="s">
        <v>351</v>
      </c>
      <c r="D109" s="0" t="s">
        <v>76</v>
      </c>
      <c r="E109" s="0" t="s">
        <v>370</v>
      </c>
      <c r="F109" s="0" t="n">
        <v>0</v>
      </c>
      <c r="G109" s="0" t="n">
        <v>0</v>
      </c>
      <c r="H109" s="0" t="s">
        <v>117</v>
      </c>
      <c r="K109" s="0" t="s">
        <v>152</v>
      </c>
      <c r="L109" s="0" t="s">
        <v>371</v>
      </c>
    </row>
    <row r="110" customFormat="false" ht="15" hidden="false" customHeight="false" outlineLevel="0" collapsed="false">
      <c r="A110" s="0" t="s">
        <v>6</v>
      </c>
      <c r="B110" s="0" t="s">
        <v>350</v>
      </c>
      <c r="C110" s="0" t="s">
        <v>351</v>
      </c>
      <c r="D110" s="0" t="s">
        <v>79</v>
      </c>
      <c r="E110" s="0" t="s">
        <v>372</v>
      </c>
      <c r="F110" s="0" t="n">
        <v>5</v>
      </c>
      <c r="G110" s="0" t="n">
        <v>0</v>
      </c>
      <c r="H110" s="0" t="s">
        <v>122</v>
      </c>
      <c r="K110" s="0" t="s">
        <v>156</v>
      </c>
      <c r="L110" s="0" t="s">
        <v>373</v>
      </c>
    </row>
    <row r="111" customFormat="false" ht="15" hidden="false" customHeight="false" outlineLevel="0" collapsed="false">
      <c r="A111" s="0" t="s">
        <v>6</v>
      </c>
      <c r="B111" s="0" t="s">
        <v>350</v>
      </c>
      <c r="C111" s="0" t="s">
        <v>351</v>
      </c>
      <c r="D111" s="0" t="s">
        <v>82</v>
      </c>
      <c r="E111" s="0" t="s">
        <v>374</v>
      </c>
      <c r="F111" s="0" t="n">
        <v>5</v>
      </c>
      <c r="G111" s="0" t="n">
        <v>0</v>
      </c>
      <c r="H111" s="0" t="s">
        <v>122</v>
      </c>
      <c r="K111" s="0" t="s">
        <v>160</v>
      </c>
      <c r="L111" s="0" t="s">
        <v>375</v>
      </c>
    </row>
    <row r="112" customFormat="false" ht="15" hidden="false" customHeight="false" outlineLevel="0" collapsed="false">
      <c r="A112" s="0" t="s">
        <v>6</v>
      </c>
      <c r="B112" s="0" t="s">
        <v>350</v>
      </c>
      <c r="C112" s="0" t="s">
        <v>376</v>
      </c>
      <c r="D112" s="0" t="s">
        <v>115</v>
      </c>
      <c r="E112" s="0" t="s">
        <v>377</v>
      </c>
      <c r="F112" s="0" t="n">
        <v>0</v>
      </c>
      <c r="G112" s="0" t="n">
        <v>0</v>
      </c>
      <c r="H112" s="0" t="s">
        <v>117</v>
      </c>
      <c r="K112" s="0" t="s">
        <v>118</v>
      </c>
      <c r="L112" s="0" t="s">
        <v>378</v>
      </c>
    </row>
    <row r="113" customFormat="false" ht="15" hidden="false" customHeight="false" outlineLevel="0" collapsed="false">
      <c r="A113" s="0" t="s">
        <v>6</v>
      </c>
      <c r="B113" s="0" t="s">
        <v>350</v>
      </c>
      <c r="C113" s="0" t="s">
        <v>376</v>
      </c>
      <c r="D113" s="0" t="s">
        <v>120</v>
      </c>
      <c r="E113" s="0" t="s">
        <v>379</v>
      </c>
      <c r="F113" s="0" t="n">
        <v>5</v>
      </c>
      <c r="G113" s="0" t="n">
        <v>5</v>
      </c>
      <c r="H113" s="0" t="s">
        <v>117</v>
      </c>
      <c r="I113" s="0" t="s">
        <v>170</v>
      </c>
      <c r="K113" s="0" t="s">
        <v>123</v>
      </c>
      <c r="L113" s="0" t="s">
        <v>380</v>
      </c>
    </row>
    <row r="114" customFormat="false" ht="15" hidden="false" customHeight="false" outlineLevel="0" collapsed="false">
      <c r="A114" s="0" t="s">
        <v>6</v>
      </c>
      <c r="B114" s="0" t="s">
        <v>350</v>
      </c>
      <c r="C114" s="0" t="s">
        <v>376</v>
      </c>
      <c r="D114" s="0" t="s">
        <v>125</v>
      </c>
      <c r="E114" s="0" t="s">
        <v>381</v>
      </c>
      <c r="F114" s="0" t="n">
        <v>5</v>
      </c>
      <c r="G114" s="0" t="n">
        <v>4</v>
      </c>
      <c r="H114" s="0" t="s">
        <v>122</v>
      </c>
      <c r="I114" s="0" t="s">
        <v>159</v>
      </c>
      <c r="K114" s="0" t="s">
        <v>127</v>
      </c>
      <c r="L114" s="0" t="s">
        <v>382</v>
      </c>
    </row>
    <row r="115" customFormat="false" ht="15" hidden="false" customHeight="false" outlineLevel="0" collapsed="false">
      <c r="A115" s="0" t="s">
        <v>6</v>
      </c>
      <c r="B115" s="0" t="s">
        <v>350</v>
      </c>
      <c r="C115" s="0" t="s">
        <v>376</v>
      </c>
      <c r="D115" s="0" t="s">
        <v>53</v>
      </c>
      <c r="E115" s="0" t="s">
        <v>383</v>
      </c>
      <c r="F115" s="0" t="n">
        <v>5</v>
      </c>
      <c r="G115" s="0" t="n">
        <v>3</v>
      </c>
      <c r="H115" s="0" t="s">
        <v>122</v>
      </c>
      <c r="I115" s="0" t="s">
        <v>159</v>
      </c>
      <c r="K115" s="0" t="s">
        <v>132</v>
      </c>
      <c r="L115" s="0" t="s">
        <v>384</v>
      </c>
    </row>
    <row r="116" customFormat="false" ht="15" hidden="false" customHeight="false" outlineLevel="0" collapsed="false">
      <c r="A116" s="0" t="s">
        <v>6</v>
      </c>
      <c r="B116" s="0" t="s">
        <v>350</v>
      </c>
      <c r="C116" s="0" t="s">
        <v>376</v>
      </c>
      <c r="D116" s="0" t="s">
        <v>56</v>
      </c>
      <c r="E116" s="0" t="s">
        <v>385</v>
      </c>
      <c r="F116" s="0" t="n">
        <v>5</v>
      </c>
      <c r="G116" s="0" t="n">
        <v>0</v>
      </c>
      <c r="H116" s="0" t="s">
        <v>122</v>
      </c>
      <c r="K116" s="0" t="s">
        <v>135</v>
      </c>
      <c r="L116" s="0" t="s">
        <v>386</v>
      </c>
    </row>
    <row r="117" customFormat="false" ht="15" hidden="false" customHeight="false" outlineLevel="0" collapsed="false">
      <c r="A117" s="0" t="s">
        <v>6</v>
      </c>
      <c r="B117" s="0" t="s">
        <v>350</v>
      </c>
      <c r="C117" s="0" t="s">
        <v>376</v>
      </c>
      <c r="D117" s="0" t="s">
        <v>59</v>
      </c>
      <c r="E117" s="0" t="s">
        <v>387</v>
      </c>
      <c r="F117" s="0" t="n">
        <v>0</v>
      </c>
      <c r="G117" s="0" t="n">
        <v>0</v>
      </c>
      <c r="H117" s="0" t="s">
        <v>117</v>
      </c>
      <c r="K117" s="0" t="s">
        <v>138</v>
      </c>
      <c r="L117" s="0" t="s">
        <v>388</v>
      </c>
    </row>
    <row r="118" customFormat="false" ht="15" hidden="false" customHeight="false" outlineLevel="0" collapsed="false">
      <c r="A118" s="0" t="s">
        <v>6</v>
      </c>
      <c r="B118" s="0" t="s">
        <v>350</v>
      </c>
      <c r="C118" s="0" t="s">
        <v>376</v>
      </c>
      <c r="D118" s="0" t="s">
        <v>67</v>
      </c>
      <c r="E118" s="0" t="s">
        <v>389</v>
      </c>
      <c r="F118" s="0" t="n">
        <v>5</v>
      </c>
      <c r="G118" s="0" t="n">
        <v>0</v>
      </c>
      <c r="H118" s="0" t="s">
        <v>122</v>
      </c>
      <c r="K118" s="0" t="s">
        <v>143</v>
      </c>
      <c r="L118" s="0" t="s">
        <v>390</v>
      </c>
    </row>
    <row r="119" customFormat="false" ht="15" hidden="false" customHeight="false" outlineLevel="0" collapsed="false">
      <c r="A119" s="0" t="s">
        <v>6</v>
      </c>
      <c r="B119" s="0" t="s">
        <v>350</v>
      </c>
      <c r="C119" s="0" t="s">
        <v>376</v>
      </c>
      <c r="D119" s="0" t="s">
        <v>70</v>
      </c>
      <c r="E119" s="0" t="s">
        <v>391</v>
      </c>
      <c r="F119" s="0" t="n">
        <v>5</v>
      </c>
      <c r="G119" s="0" t="n">
        <v>2</v>
      </c>
      <c r="H119" s="0" t="s">
        <v>122</v>
      </c>
      <c r="I119" s="0" t="s">
        <v>159</v>
      </c>
      <c r="K119" s="0" t="s">
        <v>146</v>
      </c>
      <c r="L119" s="0" t="s">
        <v>392</v>
      </c>
    </row>
    <row r="120" customFormat="false" ht="15" hidden="false" customHeight="false" outlineLevel="0" collapsed="false">
      <c r="A120" s="0" t="s">
        <v>6</v>
      </c>
      <c r="B120" s="0" t="s">
        <v>350</v>
      </c>
      <c r="C120" s="0" t="s">
        <v>376</v>
      </c>
      <c r="D120" s="0" t="s">
        <v>73</v>
      </c>
      <c r="E120" s="0" t="s">
        <v>393</v>
      </c>
      <c r="F120" s="0" t="n">
        <v>0</v>
      </c>
      <c r="G120" s="0" t="n">
        <v>0</v>
      </c>
      <c r="H120" s="0" t="s">
        <v>117</v>
      </c>
      <c r="K120" s="0" t="s">
        <v>149</v>
      </c>
      <c r="L120" s="0" t="s">
        <v>394</v>
      </c>
    </row>
    <row r="121" customFormat="false" ht="15" hidden="false" customHeight="false" outlineLevel="0" collapsed="false">
      <c r="A121" s="0" t="s">
        <v>6</v>
      </c>
      <c r="B121" s="0" t="s">
        <v>154</v>
      </c>
      <c r="C121" s="0" t="s">
        <v>376</v>
      </c>
      <c r="D121" s="0" t="s">
        <v>76</v>
      </c>
      <c r="E121" s="0" t="s">
        <v>395</v>
      </c>
      <c r="F121" s="0" t="n">
        <v>0</v>
      </c>
      <c r="G121" s="0" t="n">
        <v>4</v>
      </c>
      <c r="H121" s="0" t="s">
        <v>117</v>
      </c>
      <c r="I121" s="0" t="s">
        <v>260</v>
      </c>
      <c r="K121" s="0" t="s">
        <v>152</v>
      </c>
      <c r="L121" s="0" t="s">
        <v>396</v>
      </c>
    </row>
    <row r="122" customFormat="false" ht="15" hidden="false" customHeight="false" outlineLevel="0" collapsed="false">
      <c r="A122" s="0" t="s">
        <v>6</v>
      </c>
      <c r="B122" s="0" t="s">
        <v>350</v>
      </c>
      <c r="C122" s="0" t="s">
        <v>376</v>
      </c>
      <c r="D122" s="0" t="s">
        <v>79</v>
      </c>
      <c r="E122" s="0" t="s">
        <v>397</v>
      </c>
      <c r="F122" s="0" t="n">
        <v>5</v>
      </c>
      <c r="G122" s="0" t="n">
        <v>3</v>
      </c>
      <c r="H122" s="0" t="s">
        <v>122</v>
      </c>
      <c r="I122" s="0" t="s">
        <v>170</v>
      </c>
      <c r="K122" s="0" t="s">
        <v>156</v>
      </c>
      <c r="L122" s="0" t="s">
        <v>398</v>
      </c>
    </row>
    <row r="123" customFormat="false" ht="15" hidden="false" customHeight="false" outlineLevel="0" collapsed="false">
      <c r="A123" s="0" t="s">
        <v>6</v>
      </c>
      <c r="B123" s="0" t="s">
        <v>350</v>
      </c>
      <c r="C123" s="0" t="s">
        <v>376</v>
      </c>
      <c r="D123" s="0" t="s">
        <v>82</v>
      </c>
      <c r="E123" s="0" t="s">
        <v>399</v>
      </c>
      <c r="F123" s="0" t="n">
        <v>5</v>
      </c>
      <c r="G123" s="0" t="n">
        <v>0</v>
      </c>
      <c r="H123" s="0" t="s">
        <v>122</v>
      </c>
      <c r="K123" s="0" t="s">
        <v>160</v>
      </c>
      <c r="L123" s="0" t="s">
        <v>400</v>
      </c>
    </row>
    <row r="124" customFormat="false" ht="15" hidden="false" customHeight="false" outlineLevel="0" collapsed="false">
      <c r="A124" s="0" t="s">
        <v>6</v>
      </c>
      <c r="B124" s="0" t="s">
        <v>350</v>
      </c>
      <c r="C124" s="0" t="s">
        <v>401</v>
      </c>
      <c r="D124" s="0" t="s">
        <v>115</v>
      </c>
      <c r="E124" s="0" t="s">
        <v>402</v>
      </c>
      <c r="F124" s="0" t="n">
        <v>0</v>
      </c>
      <c r="G124" s="0" t="n">
        <v>0</v>
      </c>
      <c r="H124" s="0" t="s">
        <v>117</v>
      </c>
      <c r="K124" s="0" t="s">
        <v>118</v>
      </c>
      <c r="L124" s="0" t="s">
        <v>403</v>
      </c>
    </row>
    <row r="125" customFormat="false" ht="15" hidden="false" customHeight="false" outlineLevel="0" collapsed="false">
      <c r="A125" s="0" t="s">
        <v>6</v>
      </c>
      <c r="B125" s="0" t="s">
        <v>350</v>
      </c>
      <c r="C125" s="0" t="s">
        <v>401</v>
      </c>
      <c r="D125" s="0" t="s">
        <v>120</v>
      </c>
      <c r="E125" s="0" t="s">
        <v>404</v>
      </c>
      <c r="F125" s="0" t="n">
        <v>5</v>
      </c>
      <c r="G125" s="0" t="n">
        <v>4</v>
      </c>
      <c r="H125" s="0" t="s">
        <v>122</v>
      </c>
      <c r="I125" s="0" t="s">
        <v>272</v>
      </c>
      <c r="K125" s="0" t="s">
        <v>123</v>
      </c>
      <c r="L125" s="0" t="s">
        <v>405</v>
      </c>
    </row>
    <row r="126" customFormat="false" ht="15" hidden="false" customHeight="false" outlineLevel="0" collapsed="false">
      <c r="A126" s="0" t="s">
        <v>6</v>
      </c>
      <c r="B126" s="0" t="s">
        <v>350</v>
      </c>
      <c r="C126" s="0" t="s">
        <v>401</v>
      </c>
      <c r="D126" s="0" t="s">
        <v>125</v>
      </c>
      <c r="E126" s="0" t="s">
        <v>406</v>
      </c>
      <c r="F126" s="0" t="n">
        <v>5</v>
      </c>
      <c r="G126" s="0" t="n">
        <v>4</v>
      </c>
      <c r="H126" s="0" t="s">
        <v>122</v>
      </c>
      <c r="I126" s="0" t="s">
        <v>245</v>
      </c>
      <c r="K126" s="0" t="s">
        <v>127</v>
      </c>
      <c r="L126" s="0" t="s">
        <v>407</v>
      </c>
    </row>
    <row r="127" customFormat="false" ht="15" hidden="false" customHeight="false" outlineLevel="0" collapsed="false">
      <c r="A127" s="0" t="s">
        <v>6</v>
      </c>
      <c r="B127" s="0" t="s">
        <v>350</v>
      </c>
      <c r="C127" s="0" t="s">
        <v>401</v>
      </c>
      <c r="D127" s="0" t="s">
        <v>53</v>
      </c>
      <c r="E127" s="0" t="s">
        <v>408</v>
      </c>
      <c r="F127" s="0" t="n">
        <v>5</v>
      </c>
      <c r="G127" s="0" t="n">
        <v>5</v>
      </c>
      <c r="H127" s="0" t="s">
        <v>117</v>
      </c>
      <c r="I127" s="0" t="s">
        <v>245</v>
      </c>
      <c r="K127" s="0" t="s">
        <v>132</v>
      </c>
      <c r="L127" s="0" t="s">
        <v>409</v>
      </c>
    </row>
    <row r="128" customFormat="false" ht="15" hidden="false" customHeight="false" outlineLevel="0" collapsed="false">
      <c r="A128" s="0" t="s">
        <v>6</v>
      </c>
      <c r="B128" s="0" t="s">
        <v>350</v>
      </c>
      <c r="C128" s="0" t="s">
        <v>401</v>
      </c>
      <c r="D128" s="0" t="s">
        <v>56</v>
      </c>
      <c r="E128" s="0" t="s">
        <v>410</v>
      </c>
      <c r="F128" s="0" t="n">
        <v>5</v>
      </c>
      <c r="G128" s="0" t="n">
        <v>0</v>
      </c>
      <c r="H128" s="0" t="s">
        <v>122</v>
      </c>
      <c r="K128" s="0" t="s">
        <v>135</v>
      </c>
      <c r="L128" s="0" t="s">
        <v>411</v>
      </c>
    </row>
    <row r="129" customFormat="false" ht="15" hidden="false" customHeight="false" outlineLevel="0" collapsed="false">
      <c r="A129" s="0" t="s">
        <v>6</v>
      </c>
      <c r="B129" s="0" t="s">
        <v>350</v>
      </c>
      <c r="C129" s="0" t="s">
        <v>401</v>
      </c>
      <c r="D129" s="0" t="s">
        <v>59</v>
      </c>
      <c r="E129" s="0" t="s">
        <v>412</v>
      </c>
      <c r="F129" s="0" t="n">
        <v>0</v>
      </c>
      <c r="G129" s="0" t="n">
        <v>0</v>
      </c>
      <c r="H129" s="0" t="s">
        <v>117</v>
      </c>
      <c r="K129" s="0" t="s">
        <v>138</v>
      </c>
      <c r="L129" s="0" t="s">
        <v>413</v>
      </c>
    </row>
    <row r="130" customFormat="false" ht="15" hidden="false" customHeight="false" outlineLevel="0" collapsed="false">
      <c r="A130" s="0" t="s">
        <v>6</v>
      </c>
      <c r="B130" s="0" t="s">
        <v>350</v>
      </c>
      <c r="C130" s="0" t="s">
        <v>401</v>
      </c>
      <c r="D130" s="0" t="s">
        <v>67</v>
      </c>
      <c r="E130" s="0" t="s">
        <v>414</v>
      </c>
      <c r="F130" s="0" t="n">
        <v>5</v>
      </c>
      <c r="G130" s="0" t="n">
        <v>0</v>
      </c>
      <c r="H130" s="0" t="s">
        <v>122</v>
      </c>
      <c r="K130" s="0" t="s">
        <v>143</v>
      </c>
      <c r="L130" s="0" t="s">
        <v>415</v>
      </c>
    </row>
    <row r="131" customFormat="false" ht="15" hidden="false" customHeight="false" outlineLevel="0" collapsed="false">
      <c r="A131" s="0" t="s">
        <v>6</v>
      </c>
      <c r="B131" s="0" t="s">
        <v>350</v>
      </c>
      <c r="C131" s="0" t="s">
        <v>401</v>
      </c>
      <c r="D131" s="0" t="s">
        <v>70</v>
      </c>
      <c r="E131" s="0" t="s">
        <v>416</v>
      </c>
      <c r="F131" s="0" t="n">
        <v>5</v>
      </c>
      <c r="G131" s="0" t="n">
        <v>0</v>
      </c>
      <c r="H131" s="0" t="s">
        <v>122</v>
      </c>
      <c r="K131" s="0" t="s">
        <v>146</v>
      </c>
      <c r="L131" s="0" t="s">
        <v>417</v>
      </c>
    </row>
    <row r="132" customFormat="false" ht="15" hidden="false" customHeight="false" outlineLevel="0" collapsed="false">
      <c r="A132" s="0" t="s">
        <v>6</v>
      </c>
      <c r="B132" s="0" t="s">
        <v>350</v>
      </c>
      <c r="C132" s="0" t="s">
        <v>401</v>
      </c>
      <c r="D132" s="0" t="s">
        <v>73</v>
      </c>
      <c r="E132" s="0" t="s">
        <v>418</v>
      </c>
      <c r="F132" s="0" t="n">
        <v>0</v>
      </c>
      <c r="G132" s="0" t="n">
        <v>0</v>
      </c>
      <c r="H132" s="0" t="s">
        <v>117</v>
      </c>
      <c r="K132" s="0" t="s">
        <v>149</v>
      </c>
      <c r="L132" s="0" t="s">
        <v>419</v>
      </c>
    </row>
    <row r="133" customFormat="false" ht="15" hidden="false" customHeight="false" outlineLevel="0" collapsed="false">
      <c r="A133" s="0" t="s">
        <v>6</v>
      </c>
      <c r="B133" s="0" t="s">
        <v>350</v>
      </c>
      <c r="C133" s="0" t="s">
        <v>401</v>
      </c>
      <c r="D133" s="0" t="s">
        <v>76</v>
      </c>
      <c r="E133" s="0" t="s">
        <v>420</v>
      </c>
      <c r="F133" s="0" t="n">
        <v>5</v>
      </c>
      <c r="G133" s="0" t="n">
        <v>0</v>
      </c>
      <c r="H133" s="0" t="s">
        <v>122</v>
      </c>
      <c r="K133" s="0" t="s">
        <v>152</v>
      </c>
      <c r="L133" s="0" t="s">
        <v>421</v>
      </c>
    </row>
    <row r="134" customFormat="false" ht="15" hidden="false" customHeight="false" outlineLevel="0" collapsed="false">
      <c r="A134" s="0" t="s">
        <v>6</v>
      </c>
      <c r="B134" s="0" t="s">
        <v>350</v>
      </c>
      <c r="C134" s="0" t="s">
        <v>401</v>
      </c>
      <c r="D134" s="0" t="s">
        <v>79</v>
      </c>
      <c r="E134" s="0" t="s">
        <v>422</v>
      </c>
      <c r="F134" s="0" t="n">
        <v>5</v>
      </c>
      <c r="G134" s="0" t="n">
        <v>5</v>
      </c>
      <c r="H134" s="0" t="s">
        <v>117</v>
      </c>
      <c r="I134" s="0" t="s">
        <v>193</v>
      </c>
      <c r="K134" s="0" t="s">
        <v>156</v>
      </c>
      <c r="L134" s="0" t="s">
        <v>423</v>
      </c>
    </row>
    <row r="135" customFormat="false" ht="15" hidden="false" customHeight="false" outlineLevel="0" collapsed="false">
      <c r="A135" s="0" t="s">
        <v>6</v>
      </c>
      <c r="B135" s="0" t="s">
        <v>350</v>
      </c>
      <c r="C135" s="0" t="s">
        <v>401</v>
      </c>
      <c r="D135" s="0" t="s">
        <v>82</v>
      </c>
      <c r="E135" s="0" t="s">
        <v>424</v>
      </c>
      <c r="F135" s="0" t="n">
        <v>5</v>
      </c>
      <c r="G135" s="0" t="n">
        <v>4</v>
      </c>
      <c r="H135" s="0" t="s">
        <v>122</v>
      </c>
      <c r="I135" s="0" t="s">
        <v>272</v>
      </c>
      <c r="K135" s="0" t="s">
        <v>160</v>
      </c>
      <c r="L135" s="0" t="s">
        <v>425</v>
      </c>
    </row>
    <row r="136" customFormat="false" ht="15" hidden="false" customHeight="false" outlineLevel="0" collapsed="false">
      <c r="A136" s="0" t="s">
        <v>6</v>
      </c>
      <c r="B136" s="0" t="s">
        <v>350</v>
      </c>
      <c r="C136" s="0" t="s">
        <v>426</v>
      </c>
      <c r="D136" s="0" t="s">
        <v>115</v>
      </c>
      <c r="E136" s="0" t="s">
        <v>427</v>
      </c>
      <c r="F136" s="0" t="n">
        <v>0</v>
      </c>
      <c r="G136" s="0" t="n">
        <v>0</v>
      </c>
      <c r="H136" s="0" t="s">
        <v>117</v>
      </c>
      <c r="K136" s="0" t="s">
        <v>118</v>
      </c>
      <c r="L136" s="0" t="s">
        <v>428</v>
      </c>
    </row>
    <row r="137" customFormat="false" ht="15" hidden="false" customHeight="false" outlineLevel="0" collapsed="false">
      <c r="A137" s="0" t="s">
        <v>6</v>
      </c>
      <c r="B137" s="0" t="s">
        <v>350</v>
      </c>
      <c r="C137" s="0" t="s">
        <v>426</v>
      </c>
      <c r="D137" s="0" t="s">
        <v>120</v>
      </c>
      <c r="E137" s="0" t="s">
        <v>429</v>
      </c>
      <c r="F137" s="0" t="n">
        <v>5</v>
      </c>
      <c r="G137" s="0" t="n">
        <v>0</v>
      </c>
      <c r="H137" s="0" t="s">
        <v>122</v>
      </c>
      <c r="K137" s="0" t="s">
        <v>123</v>
      </c>
      <c r="L137" s="0" t="s">
        <v>430</v>
      </c>
    </row>
    <row r="138" customFormat="false" ht="15" hidden="false" customHeight="false" outlineLevel="0" collapsed="false">
      <c r="A138" s="0" t="s">
        <v>6</v>
      </c>
      <c r="B138" s="0" t="s">
        <v>350</v>
      </c>
      <c r="C138" s="0" t="s">
        <v>426</v>
      </c>
      <c r="D138" s="0" t="s">
        <v>125</v>
      </c>
      <c r="E138" s="0" t="s">
        <v>431</v>
      </c>
      <c r="F138" s="0" t="n">
        <v>5</v>
      </c>
      <c r="G138" s="0" t="n">
        <v>4</v>
      </c>
      <c r="H138" s="0" t="s">
        <v>122</v>
      </c>
      <c r="I138" s="0" t="s">
        <v>272</v>
      </c>
      <c r="K138" s="0" t="s">
        <v>127</v>
      </c>
      <c r="L138" s="0" t="s">
        <v>432</v>
      </c>
    </row>
    <row r="139" customFormat="false" ht="15" hidden="false" customHeight="false" outlineLevel="0" collapsed="false">
      <c r="A139" s="0" t="s">
        <v>6</v>
      </c>
      <c r="B139" s="0" t="s">
        <v>350</v>
      </c>
      <c r="C139" s="0" t="s">
        <v>426</v>
      </c>
      <c r="D139" s="0" t="s">
        <v>53</v>
      </c>
      <c r="E139" s="0" t="s">
        <v>433</v>
      </c>
      <c r="F139" s="0" t="n">
        <v>5</v>
      </c>
      <c r="G139" s="0" t="n">
        <v>0</v>
      </c>
      <c r="H139" s="0" t="s">
        <v>122</v>
      </c>
      <c r="K139" s="0" t="s">
        <v>132</v>
      </c>
      <c r="L139" s="0" t="s">
        <v>434</v>
      </c>
    </row>
    <row r="140" customFormat="false" ht="15" hidden="false" customHeight="false" outlineLevel="0" collapsed="false">
      <c r="A140" s="0" t="s">
        <v>6</v>
      </c>
      <c r="B140" s="0" t="s">
        <v>350</v>
      </c>
      <c r="C140" s="0" t="s">
        <v>426</v>
      </c>
      <c r="D140" s="0" t="s">
        <v>56</v>
      </c>
      <c r="E140" s="0" t="s">
        <v>435</v>
      </c>
      <c r="F140" s="0" t="n">
        <v>5</v>
      </c>
      <c r="G140" s="0" t="n">
        <v>0</v>
      </c>
      <c r="H140" s="0" t="s">
        <v>122</v>
      </c>
      <c r="K140" s="0" t="s">
        <v>135</v>
      </c>
      <c r="L140" s="0" t="s">
        <v>436</v>
      </c>
    </row>
    <row r="141" customFormat="false" ht="15" hidden="false" customHeight="false" outlineLevel="0" collapsed="false">
      <c r="A141" s="0" t="s">
        <v>6</v>
      </c>
      <c r="B141" s="0" t="s">
        <v>350</v>
      </c>
      <c r="C141" s="0" t="s">
        <v>426</v>
      </c>
      <c r="D141" s="0" t="s">
        <v>59</v>
      </c>
      <c r="E141" s="0" t="s">
        <v>437</v>
      </c>
      <c r="F141" s="0" t="n">
        <v>0</v>
      </c>
      <c r="G141" s="0" t="n">
        <v>0</v>
      </c>
      <c r="H141" s="0" t="s">
        <v>117</v>
      </c>
      <c r="K141" s="0" t="s">
        <v>138</v>
      </c>
      <c r="L141" s="0" t="s">
        <v>438</v>
      </c>
    </row>
    <row r="142" customFormat="false" ht="15" hidden="false" customHeight="false" outlineLevel="0" collapsed="false">
      <c r="A142" s="0" t="s">
        <v>6</v>
      </c>
      <c r="B142" s="0" t="s">
        <v>350</v>
      </c>
      <c r="C142" s="0" t="s">
        <v>426</v>
      </c>
      <c r="D142" s="0" t="s">
        <v>67</v>
      </c>
      <c r="E142" s="0" t="s">
        <v>439</v>
      </c>
      <c r="F142" s="0" t="n">
        <v>5</v>
      </c>
      <c r="G142" s="0" t="n">
        <v>0</v>
      </c>
      <c r="H142" s="0" t="s">
        <v>122</v>
      </c>
      <c r="K142" s="0" t="s">
        <v>143</v>
      </c>
      <c r="L142" s="0" t="s">
        <v>440</v>
      </c>
    </row>
    <row r="143" customFormat="false" ht="15" hidden="false" customHeight="false" outlineLevel="0" collapsed="false">
      <c r="A143" s="0" t="s">
        <v>6</v>
      </c>
      <c r="B143" s="0" t="s">
        <v>350</v>
      </c>
      <c r="C143" s="0" t="s">
        <v>426</v>
      </c>
      <c r="D143" s="0" t="s">
        <v>70</v>
      </c>
      <c r="E143" s="0" t="s">
        <v>441</v>
      </c>
      <c r="F143" s="0" t="n">
        <v>5</v>
      </c>
      <c r="G143" s="0" t="n">
        <v>0</v>
      </c>
      <c r="H143" s="0" t="s">
        <v>122</v>
      </c>
      <c r="K143" s="0" t="s">
        <v>146</v>
      </c>
      <c r="L143" s="0" t="s">
        <v>442</v>
      </c>
    </row>
    <row r="144" customFormat="false" ht="15" hidden="false" customHeight="false" outlineLevel="0" collapsed="false">
      <c r="A144" s="0" t="s">
        <v>6</v>
      </c>
      <c r="B144" s="0" t="s">
        <v>350</v>
      </c>
      <c r="C144" s="0" t="s">
        <v>426</v>
      </c>
      <c r="D144" s="0" t="s">
        <v>73</v>
      </c>
      <c r="E144" s="0" t="s">
        <v>443</v>
      </c>
      <c r="F144" s="0" t="n">
        <v>0</v>
      </c>
      <c r="G144" s="0" t="n">
        <v>0</v>
      </c>
      <c r="H144" s="0" t="s">
        <v>117</v>
      </c>
      <c r="K144" s="0" t="s">
        <v>149</v>
      </c>
      <c r="L144" s="0" t="s">
        <v>444</v>
      </c>
    </row>
    <row r="145" customFormat="false" ht="15" hidden="false" customHeight="false" outlineLevel="0" collapsed="false">
      <c r="A145" s="0" t="s">
        <v>6</v>
      </c>
      <c r="B145" s="0" t="s">
        <v>350</v>
      </c>
      <c r="C145" s="0" t="s">
        <v>426</v>
      </c>
      <c r="D145" s="0" t="s">
        <v>76</v>
      </c>
      <c r="E145" s="0" t="s">
        <v>445</v>
      </c>
      <c r="F145" s="0" t="n">
        <v>0</v>
      </c>
      <c r="G145" s="0" t="n">
        <v>0</v>
      </c>
      <c r="H145" s="0" t="s">
        <v>117</v>
      </c>
      <c r="K145" s="0" t="s">
        <v>152</v>
      </c>
      <c r="L145" s="0" t="s">
        <v>446</v>
      </c>
    </row>
    <row r="146" customFormat="false" ht="15" hidden="false" customHeight="false" outlineLevel="0" collapsed="false">
      <c r="A146" s="0" t="s">
        <v>6</v>
      </c>
      <c r="B146" s="0" t="s">
        <v>350</v>
      </c>
      <c r="C146" s="0" t="s">
        <v>426</v>
      </c>
      <c r="D146" s="0" t="s">
        <v>79</v>
      </c>
      <c r="E146" s="0" t="s">
        <v>447</v>
      </c>
      <c r="F146" s="0" t="n">
        <v>5</v>
      </c>
      <c r="G146" s="0" t="n">
        <v>0</v>
      </c>
      <c r="H146" s="0" t="s">
        <v>122</v>
      </c>
      <c r="K146" s="0" t="s">
        <v>156</v>
      </c>
      <c r="L146" s="0" t="s">
        <v>448</v>
      </c>
    </row>
    <row r="147" customFormat="false" ht="15" hidden="false" customHeight="false" outlineLevel="0" collapsed="false">
      <c r="A147" s="0" t="s">
        <v>6</v>
      </c>
      <c r="B147" s="0" t="s">
        <v>350</v>
      </c>
      <c r="C147" s="0" t="s">
        <v>426</v>
      </c>
      <c r="D147" s="0" t="s">
        <v>82</v>
      </c>
      <c r="E147" s="0" t="s">
        <v>449</v>
      </c>
      <c r="F147" s="0" t="n">
        <v>5</v>
      </c>
      <c r="G147" s="0" t="n">
        <v>0</v>
      </c>
      <c r="H147" s="0" t="s">
        <v>122</v>
      </c>
      <c r="K147" s="0" t="s">
        <v>160</v>
      </c>
      <c r="L147" s="0" t="s">
        <v>450</v>
      </c>
    </row>
    <row r="148" customFormat="false" ht="15" hidden="false" customHeight="false" outlineLevel="0" collapsed="false">
      <c r="A148" s="0" t="s">
        <v>6</v>
      </c>
      <c r="B148" s="0" t="s">
        <v>350</v>
      </c>
      <c r="C148" s="0" t="s">
        <v>451</v>
      </c>
      <c r="D148" s="0" t="s">
        <v>115</v>
      </c>
      <c r="E148" s="0" t="s">
        <v>452</v>
      </c>
      <c r="F148" s="0" t="n">
        <v>0</v>
      </c>
      <c r="G148" s="0" t="n">
        <v>0</v>
      </c>
      <c r="H148" s="0" t="s">
        <v>117</v>
      </c>
      <c r="K148" s="0" t="s">
        <v>118</v>
      </c>
      <c r="L148" s="0" t="s">
        <v>453</v>
      </c>
    </row>
    <row r="149" customFormat="false" ht="15" hidden="false" customHeight="false" outlineLevel="0" collapsed="false">
      <c r="A149" s="0" t="s">
        <v>6</v>
      </c>
      <c r="B149" s="0" t="s">
        <v>350</v>
      </c>
      <c r="C149" s="0" t="s">
        <v>451</v>
      </c>
      <c r="D149" s="0" t="s">
        <v>120</v>
      </c>
      <c r="E149" s="0" t="s">
        <v>454</v>
      </c>
      <c r="F149" s="0" t="n">
        <v>5</v>
      </c>
      <c r="G149" s="0" t="n">
        <v>2</v>
      </c>
      <c r="H149" s="0" t="s">
        <v>122</v>
      </c>
      <c r="I149" s="0" t="s">
        <v>142</v>
      </c>
      <c r="K149" s="0" t="s">
        <v>123</v>
      </c>
      <c r="L149" s="0" t="s">
        <v>455</v>
      </c>
    </row>
    <row r="150" customFormat="false" ht="15" hidden="false" customHeight="false" outlineLevel="0" collapsed="false">
      <c r="A150" s="0" t="s">
        <v>6</v>
      </c>
      <c r="B150" s="0" t="s">
        <v>350</v>
      </c>
      <c r="C150" s="0" t="s">
        <v>451</v>
      </c>
      <c r="D150" s="0" t="s">
        <v>125</v>
      </c>
      <c r="E150" s="0" t="s">
        <v>456</v>
      </c>
      <c r="F150" s="0" t="n">
        <v>5</v>
      </c>
      <c r="G150" s="0" t="n">
        <v>5</v>
      </c>
      <c r="H150" s="0" t="s">
        <v>117</v>
      </c>
      <c r="I150" s="0" t="s">
        <v>245</v>
      </c>
      <c r="K150" s="0" t="s">
        <v>127</v>
      </c>
      <c r="L150" s="0" t="s">
        <v>457</v>
      </c>
    </row>
    <row r="151" customFormat="false" ht="15" hidden="false" customHeight="false" outlineLevel="0" collapsed="false">
      <c r="A151" s="0" t="s">
        <v>6</v>
      </c>
      <c r="B151" s="0" t="s">
        <v>350</v>
      </c>
      <c r="C151" s="0" t="s">
        <v>451</v>
      </c>
      <c r="D151" s="0" t="s">
        <v>53</v>
      </c>
      <c r="E151" s="0" t="s">
        <v>458</v>
      </c>
      <c r="F151" s="0" t="n">
        <v>5</v>
      </c>
      <c r="G151" s="0" t="n">
        <v>0</v>
      </c>
      <c r="H151" s="0" t="s">
        <v>122</v>
      </c>
      <c r="K151" s="0" t="s">
        <v>132</v>
      </c>
      <c r="L151" s="0" t="s">
        <v>459</v>
      </c>
    </row>
    <row r="152" customFormat="false" ht="15" hidden="false" customHeight="false" outlineLevel="0" collapsed="false">
      <c r="A152" s="0" t="s">
        <v>6</v>
      </c>
      <c r="B152" s="0" t="s">
        <v>350</v>
      </c>
      <c r="C152" s="0" t="s">
        <v>451</v>
      </c>
      <c r="D152" s="0" t="s">
        <v>56</v>
      </c>
      <c r="E152" s="0" t="s">
        <v>460</v>
      </c>
      <c r="F152" s="0" t="n">
        <v>5</v>
      </c>
      <c r="G152" s="0" t="n">
        <v>0</v>
      </c>
      <c r="H152" s="0" t="s">
        <v>122</v>
      </c>
      <c r="K152" s="0" t="s">
        <v>135</v>
      </c>
      <c r="L152" s="0" t="s">
        <v>461</v>
      </c>
    </row>
    <row r="153" customFormat="false" ht="15" hidden="false" customHeight="false" outlineLevel="0" collapsed="false">
      <c r="A153" s="0" t="s">
        <v>6</v>
      </c>
      <c r="B153" s="0" t="s">
        <v>350</v>
      </c>
      <c r="C153" s="0" t="s">
        <v>451</v>
      </c>
      <c r="D153" s="0" t="s">
        <v>59</v>
      </c>
      <c r="E153" s="0" t="s">
        <v>462</v>
      </c>
      <c r="F153" s="0" t="n">
        <v>0</v>
      </c>
      <c r="G153" s="0" t="n">
        <v>0</v>
      </c>
      <c r="H153" s="0" t="s">
        <v>117</v>
      </c>
      <c r="K153" s="0" t="s">
        <v>138</v>
      </c>
      <c r="L153" s="0" t="s">
        <v>463</v>
      </c>
    </row>
    <row r="154" customFormat="false" ht="15" hidden="false" customHeight="false" outlineLevel="0" collapsed="false">
      <c r="A154" s="0" t="s">
        <v>6</v>
      </c>
      <c r="B154" s="0" t="s">
        <v>350</v>
      </c>
      <c r="C154" s="0" t="s">
        <v>451</v>
      </c>
      <c r="D154" s="0" t="s">
        <v>67</v>
      </c>
      <c r="E154" s="0" t="s">
        <v>464</v>
      </c>
      <c r="F154" s="0" t="n">
        <v>5</v>
      </c>
      <c r="G154" s="0" t="n">
        <v>0</v>
      </c>
      <c r="H154" s="0" t="s">
        <v>122</v>
      </c>
      <c r="K154" s="0" t="s">
        <v>143</v>
      </c>
      <c r="L154" s="0" t="s">
        <v>465</v>
      </c>
    </row>
    <row r="155" customFormat="false" ht="15" hidden="false" customHeight="false" outlineLevel="0" collapsed="false">
      <c r="A155" s="0" t="s">
        <v>6</v>
      </c>
      <c r="B155" s="0" t="s">
        <v>350</v>
      </c>
      <c r="C155" s="0" t="s">
        <v>451</v>
      </c>
      <c r="D155" s="0" t="s">
        <v>70</v>
      </c>
      <c r="E155" s="0" t="s">
        <v>466</v>
      </c>
      <c r="F155" s="0" t="n">
        <v>5</v>
      </c>
      <c r="G155" s="0" t="n">
        <v>3</v>
      </c>
      <c r="H155" s="0" t="s">
        <v>122</v>
      </c>
      <c r="I155" s="0" t="s">
        <v>245</v>
      </c>
      <c r="K155" s="0" t="s">
        <v>146</v>
      </c>
      <c r="L155" s="0" t="s">
        <v>467</v>
      </c>
    </row>
    <row r="156" customFormat="false" ht="15" hidden="false" customHeight="false" outlineLevel="0" collapsed="false">
      <c r="A156" s="0" t="s">
        <v>6</v>
      </c>
      <c r="B156" s="0" t="s">
        <v>350</v>
      </c>
      <c r="C156" s="0" t="s">
        <v>451</v>
      </c>
      <c r="D156" s="0" t="s">
        <v>73</v>
      </c>
      <c r="E156" s="0" t="s">
        <v>468</v>
      </c>
      <c r="F156" s="0" t="n">
        <v>0</v>
      </c>
      <c r="G156" s="0" t="n">
        <v>0</v>
      </c>
      <c r="H156" s="0" t="s">
        <v>117</v>
      </c>
      <c r="K156" s="0" t="s">
        <v>149</v>
      </c>
      <c r="L156" s="0" t="s">
        <v>469</v>
      </c>
    </row>
    <row r="157" customFormat="false" ht="15" hidden="false" customHeight="false" outlineLevel="0" collapsed="false">
      <c r="A157" s="0" t="s">
        <v>6</v>
      </c>
      <c r="B157" s="0" t="s">
        <v>154</v>
      </c>
      <c r="C157" s="0" t="s">
        <v>451</v>
      </c>
      <c r="D157" s="0" t="s">
        <v>76</v>
      </c>
      <c r="E157" s="0" t="s">
        <v>470</v>
      </c>
      <c r="F157" s="0" t="n">
        <v>0</v>
      </c>
      <c r="G157" s="0" t="n">
        <v>4</v>
      </c>
      <c r="H157" s="0" t="s">
        <v>117</v>
      </c>
      <c r="I157" s="0" t="s">
        <v>181</v>
      </c>
      <c r="K157" s="0" t="s">
        <v>152</v>
      </c>
      <c r="L157" s="0" t="s">
        <v>471</v>
      </c>
    </row>
    <row r="158" customFormat="false" ht="15" hidden="false" customHeight="false" outlineLevel="0" collapsed="false">
      <c r="A158" s="0" t="s">
        <v>6</v>
      </c>
      <c r="B158" s="0" t="s">
        <v>350</v>
      </c>
      <c r="C158" s="0" t="s">
        <v>451</v>
      </c>
      <c r="D158" s="0" t="s">
        <v>79</v>
      </c>
      <c r="E158" s="0" t="s">
        <v>472</v>
      </c>
      <c r="F158" s="0" t="n">
        <v>5</v>
      </c>
      <c r="G158" s="0" t="n">
        <v>4</v>
      </c>
      <c r="H158" s="0" t="s">
        <v>122</v>
      </c>
      <c r="I158" s="0" t="s">
        <v>245</v>
      </c>
      <c r="K158" s="0" t="s">
        <v>156</v>
      </c>
      <c r="L158" s="0" t="s">
        <v>473</v>
      </c>
    </row>
    <row r="159" customFormat="false" ht="15" hidden="false" customHeight="false" outlineLevel="0" collapsed="false">
      <c r="A159" s="0" t="s">
        <v>6</v>
      </c>
      <c r="B159" s="0" t="s">
        <v>350</v>
      </c>
      <c r="C159" s="0" t="s">
        <v>451</v>
      </c>
      <c r="D159" s="0" t="s">
        <v>82</v>
      </c>
      <c r="E159" s="0" t="s">
        <v>474</v>
      </c>
      <c r="F159" s="0" t="n">
        <v>5</v>
      </c>
      <c r="G159" s="0" t="n">
        <v>3</v>
      </c>
      <c r="H159" s="0" t="s">
        <v>122</v>
      </c>
      <c r="I159" s="0" t="s">
        <v>181</v>
      </c>
      <c r="K159" s="0" t="s">
        <v>160</v>
      </c>
      <c r="L159" s="0" t="s">
        <v>475</v>
      </c>
    </row>
    <row r="160" customFormat="false" ht="15" hidden="false" customHeight="false" outlineLevel="0" collapsed="false">
      <c r="A160" s="0" t="s">
        <v>6</v>
      </c>
      <c r="B160" s="0" t="s">
        <v>350</v>
      </c>
      <c r="C160" s="0" t="s">
        <v>476</v>
      </c>
      <c r="D160" s="0" t="s">
        <v>115</v>
      </c>
      <c r="E160" s="0" t="s">
        <v>477</v>
      </c>
      <c r="F160" s="0" t="n">
        <v>0</v>
      </c>
      <c r="G160" s="0" t="n">
        <v>0</v>
      </c>
      <c r="H160" s="0" t="s">
        <v>117</v>
      </c>
      <c r="K160" s="0" t="s">
        <v>118</v>
      </c>
      <c r="L160" s="0" t="s">
        <v>478</v>
      </c>
    </row>
    <row r="161" customFormat="false" ht="15" hidden="false" customHeight="false" outlineLevel="0" collapsed="false">
      <c r="A161" s="0" t="s">
        <v>6</v>
      </c>
      <c r="B161" s="0" t="s">
        <v>350</v>
      </c>
      <c r="C161" s="0" t="s">
        <v>476</v>
      </c>
      <c r="D161" s="0" t="s">
        <v>120</v>
      </c>
      <c r="E161" s="0" t="s">
        <v>479</v>
      </c>
      <c r="F161" s="0" t="n">
        <v>5</v>
      </c>
      <c r="G161" s="0" t="n">
        <v>5</v>
      </c>
      <c r="H161" s="0" t="s">
        <v>117</v>
      </c>
      <c r="I161" s="0" t="s">
        <v>159</v>
      </c>
      <c r="K161" s="0" t="s">
        <v>123</v>
      </c>
      <c r="L161" s="0" t="s">
        <v>480</v>
      </c>
    </row>
    <row r="162" customFormat="false" ht="15" hidden="false" customHeight="false" outlineLevel="0" collapsed="false">
      <c r="A162" s="0" t="s">
        <v>6</v>
      </c>
      <c r="B162" s="0" t="s">
        <v>350</v>
      </c>
      <c r="C162" s="0" t="s">
        <v>476</v>
      </c>
      <c r="D162" s="0" t="s">
        <v>125</v>
      </c>
      <c r="E162" s="0" t="s">
        <v>481</v>
      </c>
      <c r="F162" s="0" t="n">
        <v>5</v>
      </c>
      <c r="G162" s="0" t="n">
        <v>5</v>
      </c>
      <c r="H162" s="0" t="s">
        <v>117</v>
      </c>
      <c r="I162" s="0" t="s">
        <v>272</v>
      </c>
      <c r="K162" s="0" t="s">
        <v>127</v>
      </c>
      <c r="L162" s="0" t="s">
        <v>482</v>
      </c>
    </row>
    <row r="163" customFormat="false" ht="15" hidden="false" customHeight="false" outlineLevel="0" collapsed="false">
      <c r="A163" s="0" t="s">
        <v>6</v>
      </c>
      <c r="B163" s="0" t="s">
        <v>350</v>
      </c>
      <c r="C163" s="0" t="s">
        <v>476</v>
      </c>
      <c r="D163" s="0" t="s">
        <v>53</v>
      </c>
      <c r="E163" s="0" t="s">
        <v>483</v>
      </c>
      <c r="F163" s="0" t="n">
        <v>5</v>
      </c>
      <c r="G163" s="0" t="n">
        <v>5</v>
      </c>
      <c r="H163" s="0" t="s">
        <v>117</v>
      </c>
      <c r="I163" s="0" t="s">
        <v>272</v>
      </c>
      <c r="K163" s="0" t="s">
        <v>132</v>
      </c>
      <c r="L163" s="0" t="s">
        <v>484</v>
      </c>
    </row>
    <row r="164" customFormat="false" ht="15" hidden="false" customHeight="false" outlineLevel="0" collapsed="false">
      <c r="A164" s="0" t="s">
        <v>6</v>
      </c>
      <c r="B164" s="0" t="s">
        <v>350</v>
      </c>
      <c r="C164" s="0" t="s">
        <v>476</v>
      </c>
      <c r="D164" s="0" t="s">
        <v>56</v>
      </c>
      <c r="E164" s="0" t="s">
        <v>485</v>
      </c>
      <c r="F164" s="0" t="n">
        <v>5</v>
      </c>
      <c r="G164" s="0" t="n">
        <v>4</v>
      </c>
      <c r="H164" s="0" t="s">
        <v>122</v>
      </c>
      <c r="I164" s="0" t="s">
        <v>193</v>
      </c>
      <c r="K164" s="0" t="s">
        <v>135</v>
      </c>
      <c r="L164" s="0" t="s">
        <v>486</v>
      </c>
    </row>
    <row r="165" customFormat="false" ht="15" hidden="false" customHeight="false" outlineLevel="0" collapsed="false">
      <c r="A165" s="0" t="s">
        <v>6</v>
      </c>
      <c r="B165" s="0" t="s">
        <v>487</v>
      </c>
      <c r="C165" s="0" t="s">
        <v>476</v>
      </c>
      <c r="D165" s="0" t="s">
        <v>59</v>
      </c>
      <c r="E165" s="0" t="s">
        <v>488</v>
      </c>
      <c r="F165" s="0" t="n">
        <v>4</v>
      </c>
      <c r="G165" s="0" t="n">
        <v>4</v>
      </c>
      <c r="H165" s="0" t="s">
        <v>117</v>
      </c>
      <c r="I165" s="0" t="s">
        <v>181</v>
      </c>
      <c r="K165" s="0" t="s">
        <v>138</v>
      </c>
      <c r="L165" s="0" t="s">
        <v>489</v>
      </c>
    </row>
    <row r="166" customFormat="false" ht="15" hidden="false" customHeight="false" outlineLevel="0" collapsed="false">
      <c r="A166" s="0" t="s">
        <v>6</v>
      </c>
      <c r="B166" s="0" t="s">
        <v>350</v>
      </c>
      <c r="C166" s="0" t="s">
        <v>476</v>
      </c>
      <c r="D166" s="0" t="s">
        <v>67</v>
      </c>
      <c r="E166" s="0" t="s">
        <v>490</v>
      </c>
      <c r="F166" s="0" t="n">
        <v>5</v>
      </c>
      <c r="G166" s="0" t="n">
        <v>3</v>
      </c>
      <c r="H166" s="0" t="s">
        <v>122</v>
      </c>
      <c r="I166" s="0" t="s">
        <v>170</v>
      </c>
      <c r="K166" s="0" t="s">
        <v>143</v>
      </c>
      <c r="L166" s="0" t="s">
        <v>491</v>
      </c>
    </row>
    <row r="167" customFormat="false" ht="15" hidden="false" customHeight="false" outlineLevel="0" collapsed="false">
      <c r="A167" s="0" t="s">
        <v>6</v>
      </c>
      <c r="B167" s="0" t="s">
        <v>350</v>
      </c>
      <c r="C167" s="0" t="s">
        <v>476</v>
      </c>
      <c r="D167" s="0" t="s">
        <v>70</v>
      </c>
      <c r="E167" s="0" t="s">
        <v>492</v>
      </c>
      <c r="F167" s="0" t="n">
        <v>5</v>
      </c>
      <c r="G167" s="0" t="n">
        <v>5</v>
      </c>
      <c r="H167" s="0" t="s">
        <v>117</v>
      </c>
      <c r="I167" s="0" t="s">
        <v>159</v>
      </c>
      <c r="K167" s="0" t="s">
        <v>146</v>
      </c>
      <c r="L167" s="0" t="s">
        <v>493</v>
      </c>
    </row>
    <row r="168" customFormat="false" ht="15" hidden="false" customHeight="false" outlineLevel="0" collapsed="false">
      <c r="A168" s="0" t="s">
        <v>6</v>
      </c>
      <c r="B168" s="0" t="s">
        <v>350</v>
      </c>
      <c r="C168" s="0" t="s">
        <v>476</v>
      </c>
      <c r="D168" s="0" t="s">
        <v>73</v>
      </c>
      <c r="E168" s="0" t="s">
        <v>494</v>
      </c>
      <c r="F168" s="0" t="n">
        <v>5</v>
      </c>
      <c r="G168" s="0" t="n">
        <v>5</v>
      </c>
      <c r="H168" s="0" t="s">
        <v>117</v>
      </c>
      <c r="I168" s="0" t="s">
        <v>193</v>
      </c>
      <c r="K168" s="0" t="s">
        <v>149</v>
      </c>
      <c r="L168" s="0" t="s">
        <v>495</v>
      </c>
    </row>
    <row r="169" customFormat="false" ht="15" hidden="false" customHeight="false" outlineLevel="0" collapsed="false">
      <c r="A169" s="0" t="s">
        <v>6</v>
      </c>
      <c r="B169" s="0" t="s">
        <v>154</v>
      </c>
      <c r="C169" s="0" t="s">
        <v>476</v>
      </c>
      <c r="D169" s="0" t="s">
        <v>76</v>
      </c>
      <c r="E169" s="0" t="s">
        <v>496</v>
      </c>
      <c r="F169" s="0" t="n">
        <v>4</v>
      </c>
      <c r="G169" s="0" t="n">
        <v>4</v>
      </c>
      <c r="H169" s="0" t="s">
        <v>117</v>
      </c>
      <c r="I169" s="0" t="s">
        <v>142</v>
      </c>
      <c r="K169" s="0" t="s">
        <v>152</v>
      </c>
      <c r="L169" s="0" t="s">
        <v>497</v>
      </c>
    </row>
    <row r="170" customFormat="false" ht="15" hidden="false" customHeight="false" outlineLevel="0" collapsed="false">
      <c r="A170" s="0" t="s">
        <v>6</v>
      </c>
      <c r="B170" s="0" t="s">
        <v>350</v>
      </c>
      <c r="C170" s="0" t="s">
        <v>476</v>
      </c>
      <c r="D170" s="0" t="s">
        <v>79</v>
      </c>
      <c r="E170" s="0" t="s">
        <v>498</v>
      </c>
      <c r="F170" s="0" t="n">
        <v>5</v>
      </c>
      <c r="G170" s="0" t="n">
        <v>5</v>
      </c>
      <c r="H170" s="0" t="s">
        <v>117</v>
      </c>
      <c r="I170" s="0" t="s">
        <v>181</v>
      </c>
      <c r="K170" s="0" t="s">
        <v>156</v>
      </c>
      <c r="L170" s="0" t="s">
        <v>499</v>
      </c>
    </row>
    <row r="171" customFormat="false" ht="15" hidden="false" customHeight="false" outlineLevel="0" collapsed="false">
      <c r="A171" s="0" t="s">
        <v>6</v>
      </c>
      <c r="B171" s="0" t="s">
        <v>350</v>
      </c>
      <c r="C171" s="0" t="s">
        <v>476</v>
      </c>
      <c r="D171" s="0" t="s">
        <v>82</v>
      </c>
      <c r="E171" s="0" t="s">
        <v>500</v>
      </c>
      <c r="F171" s="0" t="n">
        <v>5</v>
      </c>
      <c r="G171" s="0" t="n">
        <v>0</v>
      </c>
      <c r="H171" s="0" t="s">
        <v>122</v>
      </c>
      <c r="K171" s="0" t="s">
        <v>160</v>
      </c>
      <c r="L171" s="0" t="s">
        <v>501</v>
      </c>
    </row>
    <row r="172" customFormat="false" ht="15" hidden="false" customHeight="false" outlineLevel="0" collapsed="false">
      <c r="A172" s="0" t="s">
        <v>6</v>
      </c>
      <c r="B172" s="0" t="s">
        <v>350</v>
      </c>
      <c r="C172" s="0" t="s">
        <v>502</v>
      </c>
      <c r="D172" s="0" t="s">
        <v>115</v>
      </c>
      <c r="E172" s="0" t="s">
        <v>503</v>
      </c>
      <c r="F172" s="0" t="n">
        <v>0</v>
      </c>
      <c r="G172" s="0" t="n">
        <v>0</v>
      </c>
      <c r="H172" s="0" t="s">
        <v>117</v>
      </c>
      <c r="K172" s="0" t="s">
        <v>118</v>
      </c>
      <c r="L172" s="0" t="s">
        <v>504</v>
      </c>
    </row>
    <row r="173" customFormat="false" ht="15" hidden="false" customHeight="false" outlineLevel="0" collapsed="false">
      <c r="A173" s="0" t="s">
        <v>6</v>
      </c>
      <c r="B173" s="0" t="s">
        <v>350</v>
      </c>
      <c r="C173" s="0" t="s">
        <v>502</v>
      </c>
      <c r="D173" s="0" t="s">
        <v>120</v>
      </c>
      <c r="E173" s="0" t="s">
        <v>505</v>
      </c>
      <c r="F173" s="0" t="n">
        <v>5</v>
      </c>
      <c r="G173" s="0" t="n">
        <v>5</v>
      </c>
      <c r="H173" s="0" t="s">
        <v>117</v>
      </c>
      <c r="I173" s="0" t="s">
        <v>131</v>
      </c>
      <c r="K173" s="0" t="s">
        <v>123</v>
      </c>
      <c r="L173" s="0" t="s">
        <v>506</v>
      </c>
    </row>
    <row r="174" customFormat="false" ht="15" hidden="false" customHeight="false" outlineLevel="0" collapsed="false">
      <c r="A174" s="0" t="s">
        <v>6</v>
      </c>
      <c r="B174" s="0" t="s">
        <v>350</v>
      </c>
      <c r="C174" s="0" t="s">
        <v>502</v>
      </c>
      <c r="D174" s="0" t="s">
        <v>125</v>
      </c>
      <c r="E174" s="0" t="s">
        <v>507</v>
      </c>
      <c r="F174" s="0" t="n">
        <v>5</v>
      </c>
      <c r="G174" s="0" t="n">
        <v>4</v>
      </c>
      <c r="H174" s="0" t="s">
        <v>122</v>
      </c>
      <c r="I174" s="0" t="s">
        <v>159</v>
      </c>
      <c r="K174" s="0" t="s">
        <v>127</v>
      </c>
      <c r="L174" s="0" t="s">
        <v>508</v>
      </c>
    </row>
    <row r="175" customFormat="false" ht="15" hidden="false" customHeight="false" outlineLevel="0" collapsed="false">
      <c r="A175" s="0" t="s">
        <v>6</v>
      </c>
      <c r="B175" s="0" t="s">
        <v>350</v>
      </c>
      <c r="C175" s="0" t="s">
        <v>502</v>
      </c>
      <c r="D175" s="0" t="s">
        <v>53</v>
      </c>
      <c r="E175" s="0" t="s">
        <v>509</v>
      </c>
      <c r="F175" s="0" t="n">
        <v>5</v>
      </c>
      <c r="G175" s="0" t="n">
        <v>5</v>
      </c>
      <c r="H175" s="0" t="s">
        <v>117</v>
      </c>
      <c r="I175" s="0" t="s">
        <v>131</v>
      </c>
      <c r="K175" s="0" t="s">
        <v>132</v>
      </c>
      <c r="L175" s="0" t="s">
        <v>510</v>
      </c>
    </row>
    <row r="176" customFormat="false" ht="15" hidden="false" customHeight="false" outlineLevel="0" collapsed="false">
      <c r="A176" s="0" t="s">
        <v>6</v>
      </c>
      <c r="B176" s="0" t="s">
        <v>350</v>
      </c>
      <c r="C176" s="0" t="s">
        <v>502</v>
      </c>
      <c r="D176" s="0" t="s">
        <v>56</v>
      </c>
      <c r="E176" s="0" t="s">
        <v>511</v>
      </c>
      <c r="F176" s="0" t="n">
        <v>5</v>
      </c>
      <c r="G176" s="0" t="n">
        <v>5</v>
      </c>
      <c r="H176" s="0" t="s">
        <v>117</v>
      </c>
      <c r="I176" s="0" t="s">
        <v>245</v>
      </c>
      <c r="K176" s="0" t="s">
        <v>135</v>
      </c>
      <c r="L176" s="0" t="s">
        <v>512</v>
      </c>
    </row>
    <row r="177" customFormat="false" ht="15" hidden="false" customHeight="false" outlineLevel="0" collapsed="false">
      <c r="A177" s="0" t="s">
        <v>6</v>
      </c>
      <c r="B177" s="0" t="s">
        <v>350</v>
      </c>
      <c r="C177" s="0" t="s">
        <v>502</v>
      </c>
      <c r="D177" s="0" t="s">
        <v>59</v>
      </c>
      <c r="E177" s="0" t="s">
        <v>513</v>
      </c>
      <c r="F177" s="0" t="n">
        <v>5</v>
      </c>
      <c r="G177" s="0" t="n">
        <v>2</v>
      </c>
      <c r="H177" s="0" t="s">
        <v>122</v>
      </c>
      <c r="I177" s="0" t="s">
        <v>181</v>
      </c>
      <c r="K177" s="0" t="s">
        <v>138</v>
      </c>
      <c r="L177" s="0" t="s">
        <v>514</v>
      </c>
    </row>
    <row r="178" customFormat="false" ht="15" hidden="false" customHeight="false" outlineLevel="0" collapsed="false">
      <c r="A178" s="0" t="s">
        <v>6</v>
      </c>
      <c r="B178" s="0" t="s">
        <v>350</v>
      </c>
      <c r="C178" s="0" t="s">
        <v>502</v>
      </c>
      <c r="D178" s="0" t="s">
        <v>67</v>
      </c>
      <c r="E178" s="0" t="s">
        <v>515</v>
      </c>
      <c r="F178" s="0" t="n">
        <v>5</v>
      </c>
      <c r="G178" s="0" t="n">
        <v>4</v>
      </c>
      <c r="H178" s="0" t="s">
        <v>122</v>
      </c>
      <c r="I178" s="0" t="s">
        <v>245</v>
      </c>
      <c r="K178" s="0" t="s">
        <v>143</v>
      </c>
      <c r="L178" s="0" t="s">
        <v>516</v>
      </c>
    </row>
    <row r="179" customFormat="false" ht="15" hidden="false" customHeight="false" outlineLevel="0" collapsed="false">
      <c r="A179" s="0" t="s">
        <v>6</v>
      </c>
      <c r="B179" s="0" t="s">
        <v>154</v>
      </c>
      <c r="C179" s="0" t="s">
        <v>502</v>
      </c>
      <c r="D179" s="0" t="s">
        <v>70</v>
      </c>
      <c r="E179" s="0" t="s">
        <v>517</v>
      </c>
      <c r="F179" s="0" t="n">
        <v>4</v>
      </c>
      <c r="G179" s="0" t="n">
        <v>1</v>
      </c>
      <c r="H179" s="0" t="s">
        <v>122</v>
      </c>
      <c r="I179" s="0" t="s">
        <v>181</v>
      </c>
      <c r="K179" s="0" t="s">
        <v>146</v>
      </c>
      <c r="L179" s="0" t="s">
        <v>518</v>
      </c>
    </row>
    <row r="180" customFormat="false" ht="15" hidden="false" customHeight="false" outlineLevel="0" collapsed="false">
      <c r="A180" s="0" t="s">
        <v>6</v>
      </c>
      <c r="B180" s="0" t="s">
        <v>350</v>
      </c>
      <c r="C180" s="0" t="s">
        <v>502</v>
      </c>
      <c r="D180" s="0" t="s">
        <v>73</v>
      </c>
      <c r="E180" s="0" t="s">
        <v>519</v>
      </c>
      <c r="F180" s="0" t="n">
        <v>5</v>
      </c>
      <c r="G180" s="0" t="n">
        <v>3</v>
      </c>
      <c r="H180" s="0" t="s">
        <v>122</v>
      </c>
      <c r="I180" s="0" t="s">
        <v>193</v>
      </c>
      <c r="K180" s="0" t="s">
        <v>149</v>
      </c>
      <c r="L180" s="0" t="s">
        <v>520</v>
      </c>
    </row>
    <row r="181" customFormat="false" ht="15" hidden="false" customHeight="false" outlineLevel="0" collapsed="false">
      <c r="A181" s="0" t="s">
        <v>6</v>
      </c>
      <c r="B181" s="0" t="s">
        <v>350</v>
      </c>
      <c r="C181" s="0" t="s">
        <v>502</v>
      </c>
      <c r="D181" s="0" t="s">
        <v>76</v>
      </c>
      <c r="E181" s="0" t="s">
        <v>521</v>
      </c>
      <c r="F181" s="0" t="n">
        <v>5</v>
      </c>
      <c r="G181" s="0" t="n">
        <v>5</v>
      </c>
      <c r="H181" s="0" t="s">
        <v>117</v>
      </c>
      <c r="I181" s="0" t="s">
        <v>142</v>
      </c>
      <c r="K181" s="0" t="s">
        <v>152</v>
      </c>
      <c r="L181" s="0" t="s">
        <v>522</v>
      </c>
    </row>
    <row r="182" customFormat="false" ht="15" hidden="false" customHeight="false" outlineLevel="0" collapsed="false">
      <c r="A182" s="0" t="s">
        <v>6</v>
      </c>
      <c r="B182" s="0" t="s">
        <v>350</v>
      </c>
      <c r="C182" s="0" t="s">
        <v>502</v>
      </c>
      <c r="D182" s="0" t="s">
        <v>79</v>
      </c>
      <c r="E182" s="0" t="s">
        <v>523</v>
      </c>
      <c r="F182" s="0" t="n">
        <v>5</v>
      </c>
      <c r="G182" s="0" t="n">
        <v>5</v>
      </c>
      <c r="H182" s="0" t="s">
        <v>117</v>
      </c>
      <c r="I182" s="0" t="s">
        <v>193</v>
      </c>
      <c r="K182" s="0" t="s">
        <v>156</v>
      </c>
      <c r="L182" s="0" t="s">
        <v>524</v>
      </c>
    </row>
    <row r="183" customFormat="false" ht="15" hidden="false" customHeight="false" outlineLevel="0" collapsed="false">
      <c r="A183" s="0" t="s">
        <v>6</v>
      </c>
      <c r="B183" s="0" t="s">
        <v>350</v>
      </c>
      <c r="C183" s="0" t="s">
        <v>502</v>
      </c>
      <c r="D183" s="0" t="s">
        <v>82</v>
      </c>
      <c r="E183" s="0" t="s">
        <v>525</v>
      </c>
      <c r="F183" s="0" t="n">
        <v>5</v>
      </c>
      <c r="G183" s="0" t="n">
        <v>0</v>
      </c>
      <c r="H183" s="0" t="s">
        <v>122</v>
      </c>
      <c r="K183" s="0" t="s">
        <v>160</v>
      </c>
      <c r="L183" s="0" t="s">
        <v>526</v>
      </c>
    </row>
    <row r="184" customFormat="false" ht="15" hidden="false" customHeight="false" outlineLevel="0" collapsed="false">
      <c r="A184" s="0" t="s">
        <v>6</v>
      </c>
      <c r="B184" s="0" t="s">
        <v>140</v>
      </c>
      <c r="C184" s="0" t="s">
        <v>527</v>
      </c>
      <c r="D184" s="0" t="s">
        <v>528</v>
      </c>
      <c r="E184" s="0" t="s">
        <v>529</v>
      </c>
      <c r="F184" s="0" t="n">
        <v>0</v>
      </c>
      <c r="G184" s="0" t="n">
        <v>0</v>
      </c>
      <c r="H184" s="0" t="s">
        <v>117</v>
      </c>
      <c r="K184" s="0" t="s">
        <v>118</v>
      </c>
      <c r="L184" s="0" t="s">
        <v>530</v>
      </c>
    </row>
    <row r="185" customFormat="false" ht="15" hidden="false" customHeight="false" outlineLevel="0" collapsed="false">
      <c r="A185" s="0" t="s">
        <v>6</v>
      </c>
      <c r="B185" s="0" t="s">
        <v>140</v>
      </c>
      <c r="C185" s="0" t="s">
        <v>527</v>
      </c>
      <c r="D185" s="0" t="s">
        <v>531</v>
      </c>
      <c r="E185" s="0" t="s">
        <v>532</v>
      </c>
      <c r="F185" s="0" t="n">
        <v>4</v>
      </c>
      <c r="G185" s="0" t="n">
        <v>2</v>
      </c>
      <c r="H185" s="0" t="s">
        <v>122</v>
      </c>
      <c r="I185" s="0" t="s">
        <v>235</v>
      </c>
      <c r="K185" s="0" t="s">
        <v>123</v>
      </c>
      <c r="L185" s="0" t="s">
        <v>533</v>
      </c>
    </row>
    <row r="186" customFormat="false" ht="15" hidden="false" customHeight="false" outlineLevel="0" collapsed="false">
      <c r="A186" s="0" t="s">
        <v>6</v>
      </c>
      <c r="B186" s="0" t="s">
        <v>140</v>
      </c>
      <c r="C186" s="0" t="s">
        <v>527</v>
      </c>
      <c r="D186" s="0" t="s">
        <v>534</v>
      </c>
      <c r="E186" s="0" t="s">
        <v>535</v>
      </c>
      <c r="F186" s="0" t="n">
        <v>4</v>
      </c>
      <c r="G186" s="0" t="n">
        <v>0</v>
      </c>
      <c r="H186" s="0" t="s">
        <v>122</v>
      </c>
      <c r="K186" s="0" t="s">
        <v>127</v>
      </c>
      <c r="L186" s="0" t="s">
        <v>536</v>
      </c>
    </row>
    <row r="187" customFormat="false" ht="15" hidden="false" customHeight="false" outlineLevel="0" collapsed="false">
      <c r="A187" s="0" t="s">
        <v>6</v>
      </c>
      <c r="B187" s="0" t="s">
        <v>140</v>
      </c>
      <c r="C187" s="0" t="s">
        <v>527</v>
      </c>
      <c r="D187" s="0" t="s">
        <v>52</v>
      </c>
      <c r="E187" s="0" t="s">
        <v>537</v>
      </c>
      <c r="F187" s="0" t="n">
        <v>4</v>
      </c>
      <c r="G187" s="0" t="n">
        <v>3</v>
      </c>
      <c r="H187" s="0" t="s">
        <v>122</v>
      </c>
      <c r="I187" s="0" t="s">
        <v>260</v>
      </c>
      <c r="K187" s="0" t="s">
        <v>132</v>
      </c>
      <c r="L187" s="0" t="s">
        <v>538</v>
      </c>
    </row>
    <row r="188" customFormat="false" ht="15" hidden="false" customHeight="false" outlineLevel="0" collapsed="false">
      <c r="A188" s="0" t="s">
        <v>6</v>
      </c>
      <c r="B188" s="0" t="s">
        <v>140</v>
      </c>
      <c r="C188" s="0" t="s">
        <v>527</v>
      </c>
      <c r="D188" s="0" t="s">
        <v>55</v>
      </c>
      <c r="E188" s="0" t="s">
        <v>539</v>
      </c>
      <c r="F188" s="0" t="n">
        <v>4</v>
      </c>
      <c r="G188" s="0" t="n">
        <v>3</v>
      </c>
      <c r="H188" s="0" t="s">
        <v>122</v>
      </c>
      <c r="I188" s="0" t="s">
        <v>159</v>
      </c>
      <c r="K188" s="0" t="s">
        <v>135</v>
      </c>
      <c r="L188" s="0" t="s">
        <v>540</v>
      </c>
    </row>
    <row r="189" customFormat="false" ht="15" hidden="false" customHeight="false" outlineLevel="0" collapsed="false">
      <c r="A189" s="0" t="s">
        <v>6</v>
      </c>
      <c r="B189" s="0" t="s">
        <v>140</v>
      </c>
      <c r="C189" s="0" t="s">
        <v>527</v>
      </c>
      <c r="D189" s="0" t="s">
        <v>58</v>
      </c>
      <c r="E189" s="0" t="s">
        <v>541</v>
      </c>
      <c r="F189" s="0" t="n">
        <v>0</v>
      </c>
      <c r="G189" s="0" t="n">
        <v>2</v>
      </c>
      <c r="H189" s="0" t="s">
        <v>117</v>
      </c>
      <c r="I189" s="0" t="s">
        <v>142</v>
      </c>
      <c r="K189" s="0" t="s">
        <v>138</v>
      </c>
      <c r="L189" s="0" t="s">
        <v>542</v>
      </c>
    </row>
    <row r="190" customFormat="false" ht="15" hidden="false" customHeight="false" outlineLevel="0" collapsed="false">
      <c r="A190" s="0" t="s">
        <v>6</v>
      </c>
      <c r="B190" s="0" t="s">
        <v>140</v>
      </c>
      <c r="C190" s="0" t="s">
        <v>527</v>
      </c>
      <c r="D190" s="0" t="s">
        <v>65</v>
      </c>
      <c r="E190" s="0" t="s">
        <v>543</v>
      </c>
      <c r="F190" s="0" t="n">
        <v>4</v>
      </c>
      <c r="G190" s="0" t="n">
        <v>0</v>
      </c>
      <c r="H190" s="0" t="s">
        <v>122</v>
      </c>
      <c r="K190" s="0" t="s">
        <v>143</v>
      </c>
      <c r="L190" s="0" t="s">
        <v>544</v>
      </c>
    </row>
    <row r="191" customFormat="false" ht="15" hidden="false" customHeight="false" outlineLevel="0" collapsed="false">
      <c r="A191" s="0" t="s">
        <v>6</v>
      </c>
      <c r="B191" s="0" t="s">
        <v>140</v>
      </c>
      <c r="C191" s="0" t="s">
        <v>527</v>
      </c>
      <c r="D191" s="0" t="s">
        <v>69</v>
      </c>
      <c r="E191" s="0" t="s">
        <v>545</v>
      </c>
      <c r="F191" s="0" t="n">
        <v>4</v>
      </c>
      <c r="G191" s="0" t="n">
        <v>2</v>
      </c>
      <c r="H191" s="0" t="s">
        <v>122</v>
      </c>
      <c r="I191" s="0" t="s">
        <v>170</v>
      </c>
      <c r="K191" s="0" t="s">
        <v>146</v>
      </c>
      <c r="L191" s="0" t="s">
        <v>546</v>
      </c>
    </row>
    <row r="192" customFormat="false" ht="15" hidden="false" customHeight="false" outlineLevel="0" collapsed="false">
      <c r="A192" s="0" t="s">
        <v>6</v>
      </c>
      <c r="B192" s="0" t="s">
        <v>140</v>
      </c>
      <c r="C192" s="0" t="s">
        <v>527</v>
      </c>
      <c r="D192" s="0" t="s">
        <v>72</v>
      </c>
      <c r="E192" s="0" t="s">
        <v>547</v>
      </c>
      <c r="F192" s="0" t="n">
        <v>0</v>
      </c>
      <c r="G192" s="0" t="n">
        <v>3</v>
      </c>
      <c r="H192" s="0" t="s">
        <v>117</v>
      </c>
      <c r="I192" s="0" t="s">
        <v>235</v>
      </c>
      <c r="K192" s="0" t="s">
        <v>149</v>
      </c>
      <c r="L192" s="0" t="s">
        <v>548</v>
      </c>
    </row>
    <row r="193" customFormat="false" ht="15" hidden="false" customHeight="false" outlineLevel="0" collapsed="false">
      <c r="A193" s="0" t="s">
        <v>6</v>
      </c>
      <c r="B193" s="0" t="s">
        <v>140</v>
      </c>
      <c r="C193" s="0" t="s">
        <v>527</v>
      </c>
      <c r="D193" s="0" t="s">
        <v>75</v>
      </c>
      <c r="E193" s="0" t="s">
        <v>549</v>
      </c>
      <c r="F193" s="0" t="n">
        <v>4</v>
      </c>
      <c r="G193" s="0" t="n">
        <v>3</v>
      </c>
      <c r="H193" s="0" t="s">
        <v>122</v>
      </c>
      <c r="I193" s="0" t="s">
        <v>260</v>
      </c>
      <c r="K193" s="0" t="s">
        <v>152</v>
      </c>
      <c r="L193" s="0" t="s">
        <v>550</v>
      </c>
    </row>
    <row r="194" customFormat="false" ht="15" hidden="false" customHeight="false" outlineLevel="0" collapsed="false">
      <c r="A194" s="0" t="s">
        <v>6</v>
      </c>
      <c r="B194" s="0" t="s">
        <v>140</v>
      </c>
      <c r="C194" s="0" t="s">
        <v>527</v>
      </c>
      <c r="D194" s="0" t="s">
        <v>78</v>
      </c>
      <c r="E194" s="0" t="s">
        <v>551</v>
      </c>
      <c r="F194" s="0" t="n">
        <v>4</v>
      </c>
      <c r="G194" s="0" t="n">
        <v>3</v>
      </c>
      <c r="H194" s="0" t="s">
        <v>122</v>
      </c>
      <c r="I194" s="0" t="s">
        <v>159</v>
      </c>
      <c r="K194" s="0" t="s">
        <v>156</v>
      </c>
      <c r="L194" s="0" t="s">
        <v>552</v>
      </c>
    </row>
    <row r="195" customFormat="false" ht="15" hidden="false" customHeight="false" outlineLevel="0" collapsed="false">
      <c r="A195" s="0" t="s">
        <v>6</v>
      </c>
      <c r="B195" s="0" t="s">
        <v>140</v>
      </c>
      <c r="C195" s="0" t="s">
        <v>527</v>
      </c>
      <c r="D195" s="0" t="s">
        <v>81</v>
      </c>
      <c r="E195" s="0" t="s">
        <v>553</v>
      </c>
      <c r="F195" s="0" t="n">
        <v>4</v>
      </c>
      <c r="G195" s="0" t="n">
        <v>4</v>
      </c>
      <c r="H195" s="0" t="s">
        <v>117</v>
      </c>
      <c r="I195" s="0" t="s">
        <v>235</v>
      </c>
      <c r="K195" s="0" t="s">
        <v>160</v>
      </c>
      <c r="L195" s="0" t="s">
        <v>554</v>
      </c>
    </row>
    <row r="196" customFormat="false" ht="15" hidden="false" customHeight="false" outlineLevel="0" collapsed="false">
      <c r="A196" s="0" t="s">
        <v>6</v>
      </c>
      <c r="B196" s="0" t="s">
        <v>140</v>
      </c>
      <c r="C196" s="0" t="s">
        <v>555</v>
      </c>
      <c r="D196" s="0" t="s">
        <v>528</v>
      </c>
      <c r="E196" s="0" t="s">
        <v>556</v>
      </c>
      <c r="F196" s="0" t="n">
        <v>0</v>
      </c>
      <c r="G196" s="0" t="n">
        <v>0</v>
      </c>
      <c r="H196" s="0" t="s">
        <v>117</v>
      </c>
      <c r="K196" s="0" t="s">
        <v>118</v>
      </c>
      <c r="L196" s="0" t="s">
        <v>557</v>
      </c>
    </row>
    <row r="197" customFormat="false" ht="15" hidden="false" customHeight="false" outlineLevel="0" collapsed="false">
      <c r="A197" s="0" t="s">
        <v>6</v>
      </c>
      <c r="B197" s="0" t="s">
        <v>140</v>
      </c>
      <c r="C197" s="0" t="s">
        <v>555</v>
      </c>
      <c r="D197" s="0" t="s">
        <v>531</v>
      </c>
      <c r="E197" s="0" t="s">
        <v>558</v>
      </c>
      <c r="F197" s="0" t="n">
        <v>4</v>
      </c>
      <c r="G197" s="0" t="n">
        <v>3</v>
      </c>
      <c r="H197" s="0" t="s">
        <v>122</v>
      </c>
      <c r="I197" s="0" t="s">
        <v>260</v>
      </c>
      <c r="K197" s="0" t="s">
        <v>123</v>
      </c>
      <c r="L197" s="0" t="s">
        <v>559</v>
      </c>
    </row>
    <row r="198" customFormat="false" ht="15" hidden="false" customHeight="false" outlineLevel="0" collapsed="false">
      <c r="A198" s="0" t="s">
        <v>6</v>
      </c>
      <c r="B198" s="0" t="s">
        <v>140</v>
      </c>
      <c r="C198" s="0" t="s">
        <v>555</v>
      </c>
      <c r="D198" s="0" t="s">
        <v>534</v>
      </c>
      <c r="E198" s="0" t="s">
        <v>560</v>
      </c>
      <c r="F198" s="0" t="n">
        <v>4</v>
      </c>
      <c r="G198" s="0" t="n">
        <v>2</v>
      </c>
      <c r="H198" s="0" t="s">
        <v>122</v>
      </c>
      <c r="I198" s="0" t="s">
        <v>260</v>
      </c>
      <c r="K198" s="0" t="s">
        <v>127</v>
      </c>
      <c r="L198" s="0" t="s">
        <v>561</v>
      </c>
    </row>
    <row r="199" customFormat="false" ht="15" hidden="false" customHeight="false" outlineLevel="0" collapsed="false">
      <c r="A199" s="0" t="s">
        <v>6</v>
      </c>
      <c r="B199" s="0" t="s">
        <v>140</v>
      </c>
      <c r="C199" s="0" t="s">
        <v>555</v>
      </c>
      <c r="D199" s="0" t="s">
        <v>52</v>
      </c>
      <c r="E199" s="0" t="s">
        <v>562</v>
      </c>
      <c r="F199" s="0" t="n">
        <v>4</v>
      </c>
      <c r="G199" s="0" t="n">
        <v>2</v>
      </c>
      <c r="H199" s="0" t="s">
        <v>122</v>
      </c>
      <c r="I199" s="0" t="s">
        <v>131</v>
      </c>
      <c r="K199" s="0" t="s">
        <v>132</v>
      </c>
      <c r="L199" s="0" t="s">
        <v>563</v>
      </c>
    </row>
    <row r="200" customFormat="false" ht="15" hidden="false" customHeight="false" outlineLevel="0" collapsed="false">
      <c r="A200" s="0" t="s">
        <v>6</v>
      </c>
      <c r="B200" s="0" t="s">
        <v>140</v>
      </c>
      <c r="C200" s="0" t="s">
        <v>555</v>
      </c>
      <c r="D200" s="0" t="s">
        <v>55</v>
      </c>
      <c r="E200" s="0" t="s">
        <v>564</v>
      </c>
      <c r="F200" s="0" t="n">
        <v>4</v>
      </c>
      <c r="G200" s="0" t="n">
        <v>4</v>
      </c>
      <c r="H200" s="0" t="s">
        <v>117</v>
      </c>
      <c r="I200" s="0" t="s">
        <v>131</v>
      </c>
      <c r="K200" s="0" t="s">
        <v>135</v>
      </c>
      <c r="L200" s="0" t="s">
        <v>565</v>
      </c>
    </row>
    <row r="201" customFormat="false" ht="15" hidden="false" customHeight="false" outlineLevel="0" collapsed="false">
      <c r="A201" s="0" t="s">
        <v>6</v>
      </c>
      <c r="B201" s="0" t="s">
        <v>140</v>
      </c>
      <c r="C201" s="0" t="s">
        <v>555</v>
      </c>
      <c r="D201" s="0" t="s">
        <v>58</v>
      </c>
      <c r="E201" s="0" t="s">
        <v>566</v>
      </c>
      <c r="F201" s="0" t="n">
        <v>0</v>
      </c>
      <c r="G201" s="0" t="n">
        <v>1</v>
      </c>
      <c r="H201" s="0" t="s">
        <v>117</v>
      </c>
      <c r="I201" s="0" t="s">
        <v>181</v>
      </c>
      <c r="K201" s="0" t="s">
        <v>138</v>
      </c>
      <c r="L201" s="0" t="s">
        <v>567</v>
      </c>
    </row>
    <row r="202" customFormat="false" ht="15" hidden="false" customHeight="false" outlineLevel="0" collapsed="false">
      <c r="A202" s="0" t="s">
        <v>6</v>
      </c>
      <c r="B202" s="0" t="s">
        <v>140</v>
      </c>
      <c r="C202" s="0" t="s">
        <v>555</v>
      </c>
      <c r="D202" s="0" t="s">
        <v>65</v>
      </c>
      <c r="E202" s="0" t="s">
        <v>568</v>
      </c>
      <c r="F202" s="0" t="n">
        <v>4</v>
      </c>
      <c r="G202" s="0" t="n">
        <v>0</v>
      </c>
      <c r="H202" s="0" t="s">
        <v>122</v>
      </c>
      <c r="K202" s="0" t="s">
        <v>143</v>
      </c>
      <c r="L202" s="0" t="s">
        <v>569</v>
      </c>
    </row>
    <row r="203" customFormat="false" ht="15" hidden="false" customHeight="false" outlineLevel="0" collapsed="false">
      <c r="A203" s="0" t="s">
        <v>6</v>
      </c>
      <c r="B203" s="0" t="s">
        <v>140</v>
      </c>
      <c r="C203" s="0" t="s">
        <v>555</v>
      </c>
      <c r="D203" s="0" t="s">
        <v>69</v>
      </c>
      <c r="E203" s="0" t="s">
        <v>570</v>
      </c>
      <c r="F203" s="0" t="n">
        <v>4</v>
      </c>
      <c r="G203" s="0" t="n">
        <v>3</v>
      </c>
      <c r="H203" s="0" t="s">
        <v>122</v>
      </c>
      <c r="I203" s="0" t="s">
        <v>131</v>
      </c>
      <c r="K203" s="0" t="s">
        <v>146</v>
      </c>
      <c r="L203" s="0" t="s">
        <v>571</v>
      </c>
    </row>
    <row r="204" customFormat="false" ht="15" hidden="false" customHeight="false" outlineLevel="0" collapsed="false">
      <c r="A204" s="0" t="s">
        <v>6</v>
      </c>
      <c r="B204" s="0" t="s">
        <v>140</v>
      </c>
      <c r="C204" s="0" t="s">
        <v>555</v>
      </c>
      <c r="D204" s="0" t="s">
        <v>72</v>
      </c>
      <c r="E204" s="0" t="s">
        <v>572</v>
      </c>
      <c r="F204" s="0" t="n">
        <v>4</v>
      </c>
      <c r="G204" s="0" t="n">
        <v>3</v>
      </c>
      <c r="H204" s="0" t="s">
        <v>122</v>
      </c>
      <c r="I204" s="0" t="s">
        <v>159</v>
      </c>
      <c r="K204" s="0" t="s">
        <v>149</v>
      </c>
      <c r="L204" s="0" t="s">
        <v>573</v>
      </c>
    </row>
    <row r="205" customFormat="false" ht="15" hidden="false" customHeight="false" outlineLevel="0" collapsed="false">
      <c r="A205" s="0" t="s">
        <v>6</v>
      </c>
      <c r="B205" s="0" t="s">
        <v>140</v>
      </c>
      <c r="C205" s="0" t="s">
        <v>555</v>
      </c>
      <c r="D205" s="0" t="s">
        <v>75</v>
      </c>
      <c r="E205" s="0" t="s">
        <v>574</v>
      </c>
      <c r="F205" s="0" t="n">
        <v>0</v>
      </c>
      <c r="G205" s="0" t="n">
        <v>0</v>
      </c>
      <c r="H205" s="0" t="s">
        <v>117</v>
      </c>
      <c r="K205" s="0" t="s">
        <v>152</v>
      </c>
      <c r="L205" s="0" t="s">
        <v>575</v>
      </c>
    </row>
    <row r="206" customFormat="false" ht="15" hidden="false" customHeight="false" outlineLevel="0" collapsed="false">
      <c r="A206" s="0" t="s">
        <v>6</v>
      </c>
      <c r="B206" s="0" t="s">
        <v>140</v>
      </c>
      <c r="C206" s="0" t="s">
        <v>555</v>
      </c>
      <c r="D206" s="0" t="s">
        <v>78</v>
      </c>
      <c r="E206" s="0" t="s">
        <v>576</v>
      </c>
      <c r="F206" s="0" t="n">
        <v>4</v>
      </c>
      <c r="G206" s="0" t="n">
        <v>4</v>
      </c>
      <c r="H206" s="0" t="s">
        <v>117</v>
      </c>
      <c r="I206" s="0" t="s">
        <v>159</v>
      </c>
      <c r="K206" s="0" t="s">
        <v>156</v>
      </c>
      <c r="L206" s="0" t="s">
        <v>577</v>
      </c>
    </row>
    <row r="207" customFormat="false" ht="15" hidden="false" customHeight="false" outlineLevel="0" collapsed="false">
      <c r="A207" s="0" t="s">
        <v>6</v>
      </c>
      <c r="B207" s="0" t="s">
        <v>140</v>
      </c>
      <c r="C207" s="0" t="s">
        <v>555</v>
      </c>
      <c r="D207" s="0" t="s">
        <v>81</v>
      </c>
      <c r="E207" s="0" t="s">
        <v>578</v>
      </c>
      <c r="F207" s="0" t="n">
        <v>4</v>
      </c>
      <c r="G207" s="0" t="n">
        <v>4</v>
      </c>
      <c r="H207" s="0" t="s">
        <v>117</v>
      </c>
      <c r="I207" s="0" t="s">
        <v>170</v>
      </c>
      <c r="K207" s="0" t="s">
        <v>160</v>
      </c>
      <c r="L207" s="0" t="s">
        <v>579</v>
      </c>
    </row>
    <row r="208" customFormat="false" ht="15" hidden="false" customHeight="false" outlineLevel="0" collapsed="false">
      <c r="A208" s="0" t="s">
        <v>6</v>
      </c>
      <c r="B208" s="0" t="s">
        <v>140</v>
      </c>
      <c r="C208" s="0" t="s">
        <v>580</v>
      </c>
      <c r="D208" s="0" t="s">
        <v>528</v>
      </c>
      <c r="E208" s="0" t="s">
        <v>581</v>
      </c>
      <c r="F208" s="0" t="n">
        <v>0</v>
      </c>
      <c r="G208" s="0" t="n">
        <v>0</v>
      </c>
      <c r="H208" s="0" t="s">
        <v>117</v>
      </c>
      <c r="K208" s="0" t="s">
        <v>118</v>
      </c>
      <c r="L208" s="0" t="s">
        <v>582</v>
      </c>
    </row>
    <row r="209" customFormat="false" ht="15" hidden="false" customHeight="false" outlineLevel="0" collapsed="false">
      <c r="A209" s="0" t="s">
        <v>6</v>
      </c>
      <c r="B209" s="0" t="s">
        <v>140</v>
      </c>
      <c r="C209" s="0" t="s">
        <v>580</v>
      </c>
      <c r="D209" s="0" t="s">
        <v>531</v>
      </c>
      <c r="E209" s="0" t="s">
        <v>583</v>
      </c>
      <c r="F209" s="0" t="n">
        <v>4</v>
      </c>
      <c r="G209" s="0" t="n">
        <v>3</v>
      </c>
      <c r="H209" s="0" t="s">
        <v>122</v>
      </c>
      <c r="I209" s="0" t="s">
        <v>131</v>
      </c>
      <c r="K209" s="0" t="s">
        <v>123</v>
      </c>
      <c r="L209" s="0" t="s">
        <v>584</v>
      </c>
    </row>
    <row r="210" customFormat="false" ht="15" hidden="false" customHeight="false" outlineLevel="0" collapsed="false">
      <c r="A210" s="0" t="s">
        <v>6</v>
      </c>
      <c r="B210" s="0" t="s">
        <v>140</v>
      </c>
      <c r="C210" s="0" t="s">
        <v>580</v>
      </c>
      <c r="D210" s="0" t="s">
        <v>534</v>
      </c>
      <c r="E210" s="0" t="s">
        <v>585</v>
      </c>
      <c r="F210" s="0" t="n">
        <v>4</v>
      </c>
      <c r="G210" s="0" t="n">
        <v>0</v>
      </c>
      <c r="H210" s="0" t="s">
        <v>122</v>
      </c>
      <c r="K210" s="0" t="s">
        <v>127</v>
      </c>
      <c r="L210" s="0" t="s">
        <v>586</v>
      </c>
    </row>
    <row r="211" customFormat="false" ht="15" hidden="false" customHeight="false" outlineLevel="0" collapsed="false">
      <c r="A211" s="0" t="s">
        <v>6</v>
      </c>
      <c r="B211" s="0" t="s">
        <v>140</v>
      </c>
      <c r="C211" s="0" t="s">
        <v>580</v>
      </c>
      <c r="D211" s="0" t="s">
        <v>52</v>
      </c>
      <c r="E211" s="0" t="s">
        <v>587</v>
      </c>
      <c r="F211" s="0" t="n">
        <v>4</v>
      </c>
      <c r="G211" s="0" t="n">
        <v>1</v>
      </c>
      <c r="H211" s="0" t="s">
        <v>122</v>
      </c>
      <c r="I211" s="0" t="s">
        <v>170</v>
      </c>
      <c r="K211" s="0" t="s">
        <v>132</v>
      </c>
      <c r="L211" s="0" t="s">
        <v>588</v>
      </c>
    </row>
    <row r="212" customFormat="false" ht="15" hidden="false" customHeight="false" outlineLevel="0" collapsed="false">
      <c r="A212" s="0" t="s">
        <v>6</v>
      </c>
      <c r="B212" s="0" t="s">
        <v>140</v>
      </c>
      <c r="C212" s="0" t="s">
        <v>580</v>
      </c>
      <c r="D212" s="0" t="s">
        <v>55</v>
      </c>
      <c r="E212" s="0" t="s">
        <v>589</v>
      </c>
      <c r="F212" s="0" t="n">
        <v>4</v>
      </c>
      <c r="G212" s="0" t="n">
        <v>4</v>
      </c>
      <c r="H212" s="0" t="s">
        <v>117</v>
      </c>
      <c r="I212" s="0" t="s">
        <v>131</v>
      </c>
      <c r="K212" s="0" t="s">
        <v>135</v>
      </c>
      <c r="L212" s="0" t="s">
        <v>590</v>
      </c>
    </row>
    <row r="213" customFormat="false" ht="15" hidden="false" customHeight="false" outlineLevel="0" collapsed="false">
      <c r="A213" s="0" t="s">
        <v>6</v>
      </c>
      <c r="B213" s="0" t="s">
        <v>140</v>
      </c>
      <c r="C213" s="0" t="s">
        <v>580</v>
      </c>
      <c r="D213" s="0" t="s">
        <v>58</v>
      </c>
      <c r="E213" s="0" t="s">
        <v>591</v>
      </c>
      <c r="F213" s="0" t="n">
        <v>0</v>
      </c>
      <c r="G213" s="0" t="n">
        <v>0</v>
      </c>
      <c r="H213" s="0" t="s">
        <v>117</v>
      </c>
      <c r="K213" s="0" t="s">
        <v>138</v>
      </c>
      <c r="L213" s="0" t="s">
        <v>592</v>
      </c>
    </row>
    <row r="214" customFormat="false" ht="15" hidden="false" customHeight="false" outlineLevel="0" collapsed="false">
      <c r="A214" s="0" t="s">
        <v>6</v>
      </c>
      <c r="B214" s="0" t="s">
        <v>140</v>
      </c>
      <c r="C214" s="0" t="s">
        <v>580</v>
      </c>
      <c r="D214" s="0" t="s">
        <v>65</v>
      </c>
      <c r="E214" s="0" t="s">
        <v>593</v>
      </c>
      <c r="F214" s="0" t="n">
        <v>4</v>
      </c>
      <c r="G214" s="0" t="n">
        <v>4</v>
      </c>
      <c r="H214" s="0" t="s">
        <v>117</v>
      </c>
      <c r="I214" s="0" t="s">
        <v>170</v>
      </c>
      <c r="K214" s="0" t="s">
        <v>143</v>
      </c>
      <c r="L214" s="0" t="s">
        <v>594</v>
      </c>
    </row>
    <row r="215" customFormat="false" ht="15" hidden="false" customHeight="false" outlineLevel="0" collapsed="false">
      <c r="A215" s="0" t="s">
        <v>6</v>
      </c>
      <c r="B215" s="0" t="s">
        <v>140</v>
      </c>
      <c r="C215" s="0" t="s">
        <v>580</v>
      </c>
      <c r="D215" s="0" t="s">
        <v>69</v>
      </c>
      <c r="E215" s="0" t="s">
        <v>595</v>
      </c>
      <c r="F215" s="0" t="n">
        <v>4</v>
      </c>
      <c r="G215" s="0" t="n">
        <v>3</v>
      </c>
      <c r="H215" s="0" t="s">
        <v>122</v>
      </c>
      <c r="I215" s="0" t="s">
        <v>272</v>
      </c>
      <c r="K215" s="0" t="s">
        <v>146</v>
      </c>
      <c r="L215" s="0" t="s">
        <v>596</v>
      </c>
    </row>
    <row r="216" customFormat="false" ht="15" hidden="false" customHeight="false" outlineLevel="0" collapsed="false">
      <c r="A216" s="0" t="s">
        <v>6</v>
      </c>
      <c r="B216" s="0" t="s">
        <v>140</v>
      </c>
      <c r="C216" s="0" t="s">
        <v>580</v>
      </c>
      <c r="D216" s="0" t="s">
        <v>72</v>
      </c>
      <c r="E216" s="0" t="s">
        <v>597</v>
      </c>
      <c r="F216" s="0" t="n">
        <v>0</v>
      </c>
      <c r="G216" s="0" t="n">
        <v>2</v>
      </c>
      <c r="H216" s="0" t="s">
        <v>117</v>
      </c>
      <c r="I216" s="0" t="s">
        <v>245</v>
      </c>
      <c r="K216" s="0" t="s">
        <v>149</v>
      </c>
      <c r="L216" s="0" t="s">
        <v>598</v>
      </c>
    </row>
    <row r="217" customFormat="false" ht="15" hidden="false" customHeight="false" outlineLevel="0" collapsed="false">
      <c r="A217" s="0" t="s">
        <v>6</v>
      </c>
      <c r="B217" s="0" t="s">
        <v>140</v>
      </c>
      <c r="C217" s="0" t="s">
        <v>580</v>
      </c>
      <c r="D217" s="0" t="s">
        <v>75</v>
      </c>
      <c r="E217" s="0" t="s">
        <v>599</v>
      </c>
      <c r="F217" s="0" t="n">
        <v>4</v>
      </c>
      <c r="G217" s="0" t="n">
        <v>4</v>
      </c>
      <c r="H217" s="0" t="s">
        <v>117</v>
      </c>
      <c r="I217" s="0" t="s">
        <v>245</v>
      </c>
      <c r="K217" s="0" t="s">
        <v>152</v>
      </c>
      <c r="L217" s="0" t="s">
        <v>600</v>
      </c>
    </row>
    <row r="218" customFormat="false" ht="15" hidden="false" customHeight="false" outlineLevel="0" collapsed="false">
      <c r="A218" s="0" t="s">
        <v>6</v>
      </c>
      <c r="B218" s="0" t="s">
        <v>140</v>
      </c>
      <c r="C218" s="0" t="s">
        <v>580</v>
      </c>
      <c r="D218" s="0" t="s">
        <v>78</v>
      </c>
      <c r="E218" s="0" t="s">
        <v>601</v>
      </c>
      <c r="F218" s="0" t="n">
        <v>4</v>
      </c>
      <c r="G218" s="0" t="n">
        <v>3</v>
      </c>
      <c r="H218" s="0" t="s">
        <v>122</v>
      </c>
      <c r="I218" s="0" t="s">
        <v>272</v>
      </c>
      <c r="K218" s="0" t="s">
        <v>156</v>
      </c>
      <c r="L218" s="0" t="s">
        <v>602</v>
      </c>
    </row>
    <row r="219" customFormat="false" ht="15" hidden="false" customHeight="false" outlineLevel="0" collapsed="false">
      <c r="A219" s="0" t="s">
        <v>6</v>
      </c>
      <c r="B219" s="0" t="s">
        <v>140</v>
      </c>
      <c r="C219" s="0" t="s">
        <v>580</v>
      </c>
      <c r="D219" s="0" t="s">
        <v>81</v>
      </c>
      <c r="E219" s="0" t="s">
        <v>603</v>
      </c>
      <c r="F219" s="0" t="n">
        <v>4</v>
      </c>
      <c r="G219" s="0" t="n">
        <v>4</v>
      </c>
      <c r="H219" s="0" t="s">
        <v>117</v>
      </c>
      <c r="I219" s="0" t="s">
        <v>245</v>
      </c>
      <c r="K219" s="0" t="s">
        <v>160</v>
      </c>
      <c r="L219" s="0" t="s">
        <v>604</v>
      </c>
    </row>
    <row r="220" customFormat="false" ht="15" hidden="false" customHeight="false" outlineLevel="0" collapsed="false">
      <c r="A220" s="0" t="s">
        <v>6</v>
      </c>
      <c r="B220" s="0" t="s">
        <v>140</v>
      </c>
      <c r="C220" s="0" t="s">
        <v>605</v>
      </c>
      <c r="D220" s="0" t="s">
        <v>528</v>
      </c>
      <c r="E220" s="0" t="s">
        <v>606</v>
      </c>
      <c r="F220" s="0" t="n">
        <v>0</v>
      </c>
      <c r="G220" s="0" t="n">
        <v>0</v>
      </c>
      <c r="H220" s="0" t="s">
        <v>117</v>
      </c>
      <c r="K220" s="0" t="s">
        <v>118</v>
      </c>
      <c r="L220" s="0" t="s">
        <v>607</v>
      </c>
    </row>
    <row r="221" customFormat="false" ht="15" hidden="false" customHeight="false" outlineLevel="0" collapsed="false">
      <c r="A221" s="0" t="s">
        <v>6</v>
      </c>
      <c r="B221" s="0" t="s">
        <v>140</v>
      </c>
      <c r="C221" s="0" t="s">
        <v>605</v>
      </c>
      <c r="D221" s="0" t="s">
        <v>531</v>
      </c>
      <c r="E221" s="0" t="s">
        <v>608</v>
      </c>
      <c r="F221" s="0" t="n">
        <v>4</v>
      </c>
      <c r="G221" s="0" t="n">
        <v>4</v>
      </c>
      <c r="H221" s="0" t="s">
        <v>117</v>
      </c>
      <c r="I221" s="0" t="s">
        <v>245</v>
      </c>
      <c r="K221" s="0" t="s">
        <v>123</v>
      </c>
      <c r="L221" s="0" t="s">
        <v>609</v>
      </c>
    </row>
    <row r="222" customFormat="false" ht="15" hidden="false" customHeight="false" outlineLevel="0" collapsed="false">
      <c r="A222" s="0" t="s">
        <v>6</v>
      </c>
      <c r="B222" s="0" t="s">
        <v>140</v>
      </c>
      <c r="C222" s="0" t="s">
        <v>605</v>
      </c>
      <c r="D222" s="0" t="s">
        <v>534</v>
      </c>
      <c r="E222" s="0" t="s">
        <v>610</v>
      </c>
      <c r="F222" s="0" t="n">
        <v>4</v>
      </c>
      <c r="G222" s="0" t="n">
        <v>4</v>
      </c>
      <c r="H222" s="0" t="s">
        <v>117</v>
      </c>
      <c r="I222" s="0" t="s">
        <v>235</v>
      </c>
      <c r="K222" s="0" t="s">
        <v>127</v>
      </c>
      <c r="L222" s="0" t="s">
        <v>611</v>
      </c>
    </row>
    <row r="223" customFormat="false" ht="15" hidden="false" customHeight="false" outlineLevel="0" collapsed="false">
      <c r="A223" s="0" t="s">
        <v>6</v>
      </c>
      <c r="B223" s="0" t="s">
        <v>140</v>
      </c>
      <c r="C223" s="0" t="s">
        <v>605</v>
      </c>
      <c r="D223" s="0" t="s">
        <v>52</v>
      </c>
      <c r="E223" s="0" t="s">
        <v>612</v>
      </c>
      <c r="F223" s="0" t="n">
        <v>4</v>
      </c>
      <c r="G223" s="0" t="n">
        <v>3</v>
      </c>
      <c r="H223" s="0" t="s">
        <v>122</v>
      </c>
      <c r="I223" s="0" t="s">
        <v>272</v>
      </c>
      <c r="K223" s="0" t="s">
        <v>132</v>
      </c>
      <c r="L223" s="0" t="s">
        <v>613</v>
      </c>
    </row>
    <row r="224" customFormat="false" ht="15" hidden="false" customHeight="false" outlineLevel="0" collapsed="false">
      <c r="A224" s="0" t="s">
        <v>6</v>
      </c>
      <c r="B224" s="0" t="s">
        <v>140</v>
      </c>
      <c r="C224" s="0" t="s">
        <v>605</v>
      </c>
      <c r="D224" s="0" t="s">
        <v>55</v>
      </c>
      <c r="E224" s="0" t="s">
        <v>614</v>
      </c>
      <c r="F224" s="0" t="n">
        <v>4</v>
      </c>
      <c r="G224" s="0" t="n">
        <v>3</v>
      </c>
      <c r="H224" s="0" t="s">
        <v>122</v>
      </c>
      <c r="I224" s="0" t="s">
        <v>245</v>
      </c>
      <c r="K224" s="0" t="s">
        <v>135</v>
      </c>
      <c r="L224" s="0" t="s">
        <v>615</v>
      </c>
    </row>
    <row r="225" customFormat="false" ht="15" hidden="false" customHeight="false" outlineLevel="0" collapsed="false">
      <c r="A225" s="0" t="s">
        <v>6</v>
      </c>
      <c r="B225" s="0" t="s">
        <v>140</v>
      </c>
      <c r="C225" s="0" t="s">
        <v>605</v>
      </c>
      <c r="D225" s="0" t="s">
        <v>58</v>
      </c>
      <c r="E225" s="0" t="s">
        <v>616</v>
      </c>
      <c r="F225" s="0" t="n">
        <v>0</v>
      </c>
      <c r="G225" s="0" t="n">
        <v>0</v>
      </c>
      <c r="H225" s="0" t="s">
        <v>117</v>
      </c>
      <c r="K225" s="0" t="s">
        <v>138</v>
      </c>
      <c r="L225" s="0" t="s">
        <v>617</v>
      </c>
    </row>
    <row r="226" customFormat="false" ht="15" hidden="false" customHeight="false" outlineLevel="0" collapsed="false">
      <c r="A226" s="0" t="s">
        <v>6</v>
      </c>
      <c r="B226" s="0" t="s">
        <v>140</v>
      </c>
      <c r="C226" s="0" t="s">
        <v>605</v>
      </c>
      <c r="D226" s="0" t="s">
        <v>65</v>
      </c>
      <c r="E226" s="0" t="s">
        <v>618</v>
      </c>
      <c r="F226" s="0" t="n">
        <v>4</v>
      </c>
      <c r="G226" s="0" t="n">
        <v>3</v>
      </c>
      <c r="H226" s="0" t="s">
        <v>122</v>
      </c>
      <c r="I226" s="0" t="s">
        <v>235</v>
      </c>
      <c r="K226" s="0" t="s">
        <v>143</v>
      </c>
      <c r="L226" s="0" t="s">
        <v>619</v>
      </c>
    </row>
    <row r="227" customFormat="false" ht="15" hidden="false" customHeight="false" outlineLevel="0" collapsed="false">
      <c r="A227" s="0" t="s">
        <v>6</v>
      </c>
      <c r="B227" s="0" t="s">
        <v>140</v>
      </c>
      <c r="C227" s="0" t="s">
        <v>605</v>
      </c>
      <c r="D227" s="0" t="s">
        <v>69</v>
      </c>
      <c r="E227" s="0" t="s">
        <v>620</v>
      </c>
      <c r="F227" s="0" t="n">
        <v>4</v>
      </c>
      <c r="G227" s="0" t="n">
        <v>4</v>
      </c>
      <c r="H227" s="0" t="s">
        <v>117</v>
      </c>
      <c r="I227" s="0" t="s">
        <v>193</v>
      </c>
      <c r="K227" s="0" t="s">
        <v>146</v>
      </c>
      <c r="L227" s="0" t="s">
        <v>621</v>
      </c>
    </row>
    <row r="228" customFormat="false" ht="15" hidden="false" customHeight="false" outlineLevel="0" collapsed="false">
      <c r="A228" s="0" t="s">
        <v>6</v>
      </c>
      <c r="B228" s="0" t="s">
        <v>140</v>
      </c>
      <c r="C228" s="0" t="s">
        <v>605</v>
      </c>
      <c r="D228" s="0" t="s">
        <v>72</v>
      </c>
      <c r="E228" s="0" t="s">
        <v>622</v>
      </c>
      <c r="F228" s="0" t="n">
        <v>0</v>
      </c>
      <c r="G228" s="0" t="n">
        <v>0</v>
      </c>
      <c r="H228" s="0" t="s">
        <v>117</v>
      </c>
      <c r="K228" s="0" t="s">
        <v>149</v>
      </c>
      <c r="L228" s="0" t="s">
        <v>623</v>
      </c>
    </row>
    <row r="229" customFormat="false" ht="15" hidden="false" customHeight="false" outlineLevel="0" collapsed="false">
      <c r="A229" s="0" t="s">
        <v>6</v>
      </c>
      <c r="B229" s="0" t="s">
        <v>140</v>
      </c>
      <c r="C229" s="0" t="s">
        <v>605</v>
      </c>
      <c r="D229" s="0" t="s">
        <v>75</v>
      </c>
      <c r="E229" s="0" t="s">
        <v>624</v>
      </c>
      <c r="F229" s="0" t="n">
        <v>4</v>
      </c>
      <c r="G229" s="0" t="n">
        <v>4</v>
      </c>
      <c r="H229" s="0" t="s">
        <v>117</v>
      </c>
      <c r="I229" s="0" t="s">
        <v>245</v>
      </c>
      <c r="K229" s="0" t="s">
        <v>152</v>
      </c>
      <c r="L229" s="0" t="s">
        <v>625</v>
      </c>
    </row>
    <row r="230" customFormat="false" ht="15" hidden="false" customHeight="false" outlineLevel="0" collapsed="false">
      <c r="A230" s="0" t="s">
        <v>6</v>
      </c>
      <c r="B230" s="0" t="s">
        <v>140</v>
      </c>
      <c r="C230" s="0" t="s">
        <v>605</v>
      </c>
      <c r="D230" s="0" t="s">
        <v>78</v>
      </c>
      <c r="E230" s="0" t="s">
        <v>626</v>
      </c>
      <c r="F230" s="0" t="n">
        <v>4</v>
      </c>
      <c r="G230" s="0" t="n">
        <v>4</v>
      </c>
      <c r="H230" s="0" t="s">
        <v>117</v>
      </c>
      <c r="I230" s="0" t="s">
        <v>245</v>
      </c>
      <c r="K230" s="0" t="s">
        <v>156</v>
      </c>
      <c r="L230" s="0" t="s">
        <v>627</v>
      </c>
    </row>
    <row r="231" customFormat="false" ht="15" hidden="false" customHeight="false" outlineLevel="0" collapsed="false">
      <c r="A231" s="0" t="s">
        <v>6</v>
      </c>
      <c r="B231" s="0" t="s">
        <v>140</v>
      </c>
      <c r="C231" s="0" t="s">
        <v>605</v>
      </c>
      <c r="D231" s="0" t="s">
        <v>81</v>
      </c>
      <c r="E231" s="0" t="s">
        <v>628</v>
      </c>
      <c r="F231" s="0" t="n">
        <v>4</v>
      </c>
      <c r="G231" s="0" t="n">
        <v>4</v>
      </c>
      <c r="H231" s="0" t="s">
        <v>117</v>
      </c>
      <c r="I231" s="0" t="s">
        <v>193</v>
      </c>
      <c r="K231" s="0" t="s">
        <v>160</v>
      </c>
      <c r="L231" s="0" t="s">
        <v>629</v>
      </c>
    </row>
    <row r="232" customFormat="false" ht="15" hidden="false" customHeight="false" outlineLevel="0" collapsed="false">
      <c r="A232" s="0" t="s">
        <v>6</v>
      </c>
      <c r="B232" s="0" t="s">
        <v>140</v>
      </c>
      <c r="C232" s="0" t="s">
        <v>630</v>
      </c>
      <c r="D232" s="0" t="s">
        <v>528</v>
      </c>
      <c r="E232" s="0" t="s">
        <v>631</v>
      </c>
      <c r="F232" s="0" t="n">
        <v>0</v>
      </c>
      <c r="G232" s="0" t="n">
        <v>0</v>
      </c>
      <c r="H232" s="0" t="s">
        <v>117</v>
      </c>
      <c r="K232" s="0" t="s">
        <v>118</v>
      </c>
      <c r="L232" s="0" t="s">
        <v>632</v>
      </c>
    </row>
    <row r="233" customFormat="false" ht="15" hidden="false" customHeight="false" outlineLevel="0" collapsed="false">
      <c r="A233" s="0" t="s">
        <v>6</v>
      </c>
      <c r="B233" s="0" t="s">
        <v>140</v>
      </c>
      <c r="C233" s="0" t="s">
        <v>630</v>
      </c>
      <c r="D233" s="0" t="s">
        <v>531</v>
      </c>
      <c r="E233" s="0" t="s">
        <v>633</v>
      </c>
      <c r="F233" s="0" t="n">
        <v>4</v>
      </c>
      <c r="G233" s="0" t="n">
        <v>0</v>
      </c>
      <c r="H233" s="0" t="s">
        <v>122</v>
      </c>
      <c r="K233" s="0" t="s">
        <v>123</v>
      </c>
      <c r="L233" s="0" t="s">
        <v>634</v>
      </c>
    </row>
    <row r="234" customFormat="false" ht="15" hidden="false" customHeight="false" outlineLevel="0" collapsed="false">
      <c r="A234" s="0" t="s">
        <v>6</v>
      </c>
      <c r="B234" s="0" t="s">
        <v>140</v>
      </c>
      <c r="C234" s="0" t="s">
        <v>630</v>
      </c>
      <c r="D234" s="0" t="s">
        <v>534</v>
      </c>
      <c r="E234" s="0" t="s">
        <v>635</v>
      </c>
      <c r="F234" s="0" t="n">
        <v>4</v>
      </c>
      <c r="G234" s="0" t="n">
        <v>0</v>
      </c>
      <c r="H234" s="0" t="s">
        <v>122</v>
      </c>
      <c r="K234" s="0" t="s">
        <v>127</v>
      </c>
      <c r="L234" s="0" t="s">
        <v>636</v>
      </c>
    </row>
    <row r="235" customFormat="false" ht="15" hidden="false" customHeight="false" outlineLevel="0" collapsed="false">
      <c r="A235" s="0" t="s">
        <v>6</v>
      </c>
      <c r="B235" s="0" t="s">
        <v>140</v>
      </c>
      <c r="C235" s="0" t="s">
        <v>630</v>
      </c>
      <c r="D235" s="0" t="s">
        <v>52</v>
      </c>
      <c r="E235" s="0" t="s">
        <v>637</v>
      </c>
      <c r="F235" s="0" t="n">
        <v>4</v>
      </c>
      <c r="G235" s="0" t="n">
        <v>3</v>
      </c>
      <c r="H235" s="0" t="s">
        <v>122</v>
      </c>
      <c r="I235" s="0" t="s">
        <v>272</v>
      </c>
      <c r="K235" s="0" t="s">
        <v>132</v>
      </c>
      <c r="L235" s="0" t="s">
        <v>638</v>
      </c>
    </row>
    <row r="236" customFormat="false" ht="15" hidden="false" customHeight="false" outlineLevel="0" collapsed="false">
      <c r="A236" s="0" t="s">
        <v>6</v>
      </c>
      <c r="B236" s="0" t="s">
        <v>140</v>
      </c>
      <c r="C236" s="0" t="s">
        <v>630</v>
      </c>
      <c r="D236" s="0" t="s">
        <v>55</v>
      </c>
      <c r="E236" s="0" t="s">
        <v>639</v>
      </c>
      <c r="F236" s="0" t="n">
        <v>4</v>
      </c>
      <c r="G236" s="0" t="n">
        <v>2</v>
      </c>
      <c r="H236" s="0" t="s">
        <v>122</v>
      </c>
      <c r="I236" s="0" t="s">
        <v>159</v>
      </c>
      <c r="K236" s="0" t="s">
        <v>135</v>
      </c>
      <c r="L236" s="0" t="s">
        <v>640</v>
      </c>
    </row>
    <row r="237" customFormat="false" ht="15" hidden="false" customHeight="false" outlineLevel="0" collapsed="false">
      <c r="A237" s="0" t="s">
        <v>6</v>
      </c>
      <c r="B237" s="0" t="s">
        <v>140</v>
      </c>
      <c r="C237" s="0" t="s">
        <v>630</v>
      </c>
      <c r="D237" s="0" t="s">
        <v>58</v>
      </c>
      <c r="E237" s="0" t="s">
        <v>641</v>
      </c>
      <c r="F237" s="0" t="n">
        <v>4</v>
      </c>
      <c r="G237" s="0" t="n">
        <v>3</v>
      </c>
      <c r="H237" s="0" t="s">
        <v>122</v>
      </c>
      <c r="I237" s="0" t="s">
        <v>159</v>
      </c>
      <c r="K237" s="0" t="s">
        <v>138</v>
      </c>
      <c r="L237" s="0" t="s">
        <v>642</v>
      </c>
    </row>
    <row r="238" customFormat="false" ht="15" hidden="false" customHeight="false" outlineLevel="0" collapsed="false">
      <c r="A238" s="0" t="s">
        <v>6</v>
      </c>
      <c r="B238" s="0" t="s">
        <v>140</v>
      </c>
      <c r="C238" s="0" t="s">
        <v>630</v>
      </c>
      <c r="D238" s="0" t="s">
        <v>65</v>
      </c>
      <c r="E238" s="0" t="s">
        <v>643</v>
      </c>
      <c r="F238" s="0" t="n">
        <v>0</v>
      </c>
      <c r="G238" s="0" t="n">
        <v>3</v>
      </c>
      <c r="H238" s="0" t="s">
        <v>117</v>
      </c>
      <c r="I238" s="0" t="s">
        <v>193</v>
      </c>
      <c r="K238" s="0" t="s">
        <v>143</v>
      </c>
      <c r="L238" s="0" t="s">
        <v>644</v>
      </c>
    </row>
    <row r="239" customFormat="false" ht="15" hidden="false" customHeight="false" outlineLevel="0" collapsed="false">
      <c r="A239" s="0" t="s">
        <v>6</v>
      </c>
      <c r="B239" s="0" t="s">
        <v>140</v>
      </c>
      <c r="C239" s="0" t="s">
        <v>630</v>
      </c>
      <c r="D239" s="0" t="s">
        <v>69</v>
      </c>
      <c r="E239" s="0" t="s">
        <v>645</v>
      </c>
      <c r="F239" s="0" t="n">
        <v>4</v>
      </c>
      <c r="G239" s="0" t="n">
        <v>2</v>
      </c>
      <c r="H239" s="0" t="s">
        <v>122</v>
      </c>
      <c r="I239" s="0" t="s">
        <v>260</v>
      </c>
      <c r="K239" s="0" t="s">
        <v>146</v>
      </c>
      <c r="L239" s="0" t="s">
        <v>646</v>
      </c>
    </row>
    <row r="240" customFormat="false" ht="15" hidden="false" customHeight="false" outlineLevel="0" collapsed="false">
      <c r="A240" s="0" t="s">
        <v>6</v>
      </c>
      <c r="B240" s="0" t="s">
        <v>140</v>
      </c>
      <c r="C240" s="0" t="s">
        <v>630</v>
      </c>
      <c r="D240" s="0" t="s">
        <v>72</v>
      </c>
      <c r="E240" s="0" t="s">
        <v>647</v>
      </c>
      <c r="F240" s="0" t="n">
        <v>4</v>
      </c>
      <c r="G240" s="0" t="n">
        <v>4</v>
      </c>
      <c r="H240" s="0" t="s">
        <v>117</v>
      </c>
      <c r="I240" s="0" t="s">
        <v>245</v>
      </c>
      <c r="K240" s="0" t="s">
        <v>149</v>
      </c>
      <c r="L240" s="0" t="s">
        <v>648</v>
      </c>
    </row>
    <row r="241" customFormat="false" ht="15" hidden="false" customHeight="false" outlineLevel="0" collapsed="false">
      <c r="A241" s="0" t="s">
        <v>6</v>
      </c>
      <c r="B241" s="0" t="s">
        <v>140</v>
      </c>
      <c r="C241" s="0" t="s">
        <v>630</v>
      </c>
      <c r="D241" s="0" t="s">
        <v>75</v>
      </c>
      <c r="E241" s="0" t="s">
        <v>649</v>
      </c>
      <c r="F241" s="0" t="n">
        <v>4</v>
      </c>
      <c r="G241" s="0" t="n">
        <v>3</v>
      </c>
      <c r="H241" s="0" t="s">
        <v>122</v>
      </c>
      <c r="I241" s="0" t="s">
        <v>272</v>
      </c>
      <c r="K241" s="0" t="s">
        <v>152</v>
      </c>
      <c r="L241" s="0" t="s">
        <v>650</v>
      </c>
    </row>
    <row r="242" customFormat="false" ht="15" hidden="false" customHeight="false" outlineLevel="0" collapsed="false">
      <c r="A242" s="0" t="s">
        <v>6</v>
      </c>
      <c r="B242" s="0" t="s">
        <v>140</v>
      </c>
      <c r="C242" s="0" t="s">
        <v>630</v>
      </c>
      <c r="D242" s="0" t="s">
        <v>78</v>
      </c>
      <c r="E242" s="0" t="s">
        <v>651</v>
      </c>
      <c r="F242" s="0" t="n">
        <v>4</v>
      </c>
      <c r="G242" s="0" t="n">
        <v>4</v>
      </c>
      <c r="H242" s="0" t="s">
        <v>117</v>
      </c>
      <c r="I242" s="0" t="s">
        <v>235</v>
      </c>
      <c r="K242" s="0" t="s">
        <v>156</v>
      </c>
      <c r="L242" s="0" t="s">
        <v>652</v>
      </c>
    </row>
    <row r="243" customFormat="false" ht="15" hidden="false" customHeight="false" outlineLevel="0" collapsed="false">
      <c r="A243" s="0" t="s">
        <v>6</v>
      </c>
      <c r="B243" s="0" t="s">
        <v>140</v>
      </c>
      <c r="C243" s="0" t="s">
        <v>630</v>
      </c>
      <c r="D243" s="0" t="s">
        <v>81</v>
      </c>
      <c r="E243" s="0" t="s">
        <v>653</v>
      </c>
      <c r="F243" s="0" t="n">
        <v>4</v>
      </c>
      <c r="G243" s="0" t="n">
        <v>4</v>
      </c>
      <c r="H243" s="0" t="s">
        <v>117</v>
      </c>
      <c r="I243" s="0" t="s">
        <v>159</v>
      </c>
      <c r="K243" s="0" t="s">
        <v>160</v>
      </c>
      <c r="L243" s="0" t="s">
        <v>654</v>
      </c>
    </row>
    <row r="244" customFormat="false" ht="15" hidden="false" customHeight="false" outlineLevel="0" collapsed="false">
      <c r="A244" s="0" t="s">
        <v>6</v>
      </c>
      <c r="B244" s="0" t="s">
        <v>140</v>
      </c>
      <c r="C244" s="0" t="s">
        <v>655</v>
      </c>
      <c r="D244" s="0" t="s">
        <v>528</v>
      </c>
      <c r="E244" s="0" t="s">
        <v>656</v>
      </c>
      <c r="F244" s="0" t="n">
        <v>0</v>
      </c>
      <c r="G244" s="0" t="n">
        <v>0</v>
      </c>
      <c r="H244" s="0" t="s">
        <v>117</v>
      </c>
      <c r="K244" s="0" t="s">
        <v>118</v>
      </c>
      <c r="L244" s="0" t="s">
        <v>657</v>
      </c>
    </row>
    <row r="245" customFormat="false" ht="15" hidden="false" customHeight="false" outlineLevel="0" collapsed="false">
      <c r="A245" s="0" t="s">
        <v>6</v>
      </c>
      <c r="B245" s="0" t="s">
        <v>140</v>
      </c>
      <c r="C245" s="0" t="s">
        <v>655</v>
      </c>
      <c r="D245" s="0" t="s">
        <v>531</v>
      </c>
      <c r="E245" s="0" t="s">
        <v>658</v>
      </c>
      <c r="F245" s="0" t="n">
        <v>4</v>
      </c>
      <c r="G245" s="0" t="n">
        <v>4</v>
      </c>
      <c r="H245" s="0" t="s">
        <v>117</v>
      </c>
      <c r="I245" s="0" t="s">
        <v>170</v>
      </c>
      <c r="K245" s="0" t="s">
        <v>123</v>
      </c>
      <c r="L245" s="0" t="s">
        <v>659</v>
      </c>
    </row>
    <row r="246" customFormat="false" ht="15" hidden="false" customHeight="false" outlineLevel="0" collapsed="false">
      <c r="A246" s="0" t="s">
        <v>6</v>
      </c>
      <c r="B246" s="0" t="s">
        <v>140</v>
      </c>
      <c r="C246" s="0" t="s">
        <v>655</v>
      </c>
      <c r="D246" s="0" t="s">
        <v>534</v>
      </c>
      <c r="E246" s="0" t="s">
        <v>660</v>
      </c>
      <c r="F246" s="0" t="n">
        <v>4</v>
      </c>
      <c r="G246" s="0" t="n">
        <v>4</v>
      </c>
      <c r="H246" s="0" t="s">
        <v>117</v>
      </c>
      <c r="I246" s="0" t="s">
        <v>245</v>
      </c>
      <c r="K246" s="0" t="s">
        <v>127</v>
      </c>
      <c r="L246" s="0" t="s">
        <v>661</v>
      </c>
    </row>
    <row r="247" customFormat="false" ht="15" hidden="false" customHeight="false" outlineLevel="0" collapsed="false">
      <c r="A247" s="0" t="s">
        <v>6</v>
      </c>
      <c r="B247" s="0" t="s">
        <v>140</v>
      </c>
      <c r="C247" s="0" t="s">
        <v>655</v>
      </c>
      <c r="D247" s="0" t="s">
        <v>52</v>
      </c>
      <c r="E247" s="0" t="s">
        <v>662</v>
      </c>
      <c r="F247" s="0" t="n">
        <v>4</v>
      </c>
      <c r="G247" s="0" t="n">
        <v>4</v>
      </c>
      <c r="H247" s="0" t="s">
        <v>117</v>
      </c>
      <c r="I247" s="0" t="s">
        <v>170</v>
      </c>
      <c r="K247" s="0" t="s">
        <v>132</v>
      </c>
      <c r="L247" s="0" t="s">
        <v>663</v>
      </c>
    </row>
    <row r="248" customFormat="false" ht="15" hidden="false" customHeight="false" outlineLevel="0" collapsed="false">
      <c r="A248" s="0" t="s">
        <v>6</v>
      </c>
      <c r="B248" s="0" t="s">
        <v>140</v>
      </c>
      <c r="C248" s="0" t="s">
        <v>655</v>
      </c>
      <c r="D248" s="0" t="s">
        <v>55</v>
      </c>
      <c r="E248" s="0" t="s">
        <v>664</v>
      </c>
      <c r="F248" s="0" t="n">
        <v>4</v>
      </c>
      <c r="G248" s="0" t="n">
        <v>4</v>
      </c>
      <c r="H248" s="0" t="s">
        <v>117</v>
      </c>
      <c r="I248" s="0" t="s">
        <v>260</v>
      </c>
      <c r="K248" s="0" t="s">
        <v>135</v>
      </c>
      <c r="L248" s="0" t="s">
        <v>665</v>
      </c>
    </row>
    <row r="249" customFormat="false" ht="15" hidden="false" customHeight="false" outlineLevel="0" collapsed="false">
      <c r="A249" s="0" t="s">
        <v>6</v>
      </c>
      <c r="B249" s="0" t="s">
        <v>140</v>
      </c>
      <c r="C249" s="0" t="s">
        <v>655</v>
      </c>
      <c r="D249" s="0" t="s">
        <v>58</v>
      </c>
      <c r="E249" s="0" t="s">
        <v>666</v>
      </c>
      <c r="F249" s="0" t="n">
        <v>4</v>
      </c>
      <c r="G249" s="0" t="n">
        <v>3</v>
      </c>
      <c r="H249" s="0" t="s">
        <v>122</v>
      </c>
      <c r="I249" s="0" t="s">
        <v>170</v>
      </c>
      <c r="K249" s="0" t="s">
        <v>138</v>
      </c>
      <c r="L249" s="0" t="s">
        <v>667</v>
      </c>
    </row>
    <row r="250" customFormat="false" ht="15" hidden="false" customHeight="false" outlineLevel="0" collapsed="false">
      <c r="A250" s="0" t="s">
        <v>6</v>
      </c>
      <c r="B250" s="0" t="s">
        <v>140</v>
      </c>
      <c r="C250" s="0" t="s">
        <v>655</v>
      </c>
      <c r="D250" s="0" t="s">
        <v>65</v>
      </c>
      <c r="E250" s="0" t="s">
        <v>668</v>
      </c>
      <c r="F250" s="0" t="n">
        <v>4</v>
      </c>
      <c r="G250" s="0" t="n">
        <v>4</v>
      </c>
      <c r="H250" s="0" t="s">
        <v>117</v>
      </c>
      <c r="I250" s="0" t="s">
        <v>159</v>
      </c>
      <c r="K250" s="0" t="s">
        <v>143</v>
      </c>
      <c r="L250" s="0" t="s">
        <v>669</v>
      </c>
    </row>
    <row r="251" customFormat="false" ht="15" hidden="false" customHeight="false" outlineLevel="0" collapsed="false">
      <c r="A251" s="0" t="s">
        <v>6</v>
      </c>
      <c r="B251" s="0" t="s">
        <v>140</v>
      </c>
      <c r="C251" s="0" t="s">
        <v>655</v>
      </c>
      <c r="D251" s="0" t="s">
        <v>69</v>
      </c>
      <c r="E251" s="0" t="s">
        <v>670</v>
      </c>
      <c r="F251" s="0" t="n">
        <v>4</v>
      </c>
      <c r="G251" s="0" t="n">
        <v>2</v>
      </c>
      <c r="H251" s="0" t="s">
        <v>122</v>
      </c>
      <c r="I251" s="0" t="s">
        <v>131</v>
      </c>
      <c r="K251" s="0" t="s">
        <v>146</v>
      </c>
      <c r="L251" s="0" t="s">
        <v>671</v>
      </c>
    </row>
    <row r="252" customFormat="false" ht="15" hidden="false" customHeight="false" outlineLevel="0" collapsed="false">
      <c r="A252" s="0" t="s">
        <v>6</v>
      </c>
      <c r="B252" s="0" t="s">
        <v>140</v>
      </c>
      <c r="C252" s="0" t="s">
        <v>655</v>
      </c>
      <c r="D252" s="0" t="s">
        <v>72</v>
      </c>
      <c r="E252" s="0" t="s">
        <v>672</v>
      </c>
      <c r="F252" s="0" t="n">
        <v>4</v>
      </c>
      <c r="G252" s="0" t="n">
        <v>4</v>
      </c>
      <c r="H252" s="0" t="s">
        <v>117</v>
      </c>
      <c r="I252" s="0" t="s">
        <v>181</v>
      </c>
      <c r="K252" s="0" t="s">
        <v>149</v>
      </c>
      <c r="L252" s="0" t="s">
        <v>673</v>
      </c>
    </row>
    <row r="253" customFormat="false" ht="15" hidden="false" customHeight="false" outlineLevel="0" collapsed="false">
      <c r="A253" s="0" t="s">
        <v>6</v>
      </c>
      <c r="B253" s="0" t="s">
        <v>140</v>
      </c>
      <c r="C253" s="0" t="s">
        <v>655</v>
      </c>
      <c r="D253" s="0" t="s">
        <v>75</v>
      </c>
      <c r="E253" s="0" t="s">
        <v>674</v>
      </c>
      <c r="F253" s="0" t="n">
        <v>4</v>
      </c>
      <c r="G253" s="0" t="n">
        <v>4</v>
      </c>
      <c r="H253" s="0" t="s">
        <v>117</v>
      </c>
      <c r="I253" s="0" t="s">
        <v>170</v>
      </c>
      <c r="K253" s="0" t="s">
        <v>152</v>
      </c>
      <c r="L253" s="0" t="s">
        <v>675</v>
      </c>
    </row>
    <row r="254" customFormat="false" ht="15" hidden="false" customHeight="false" outlineLevel="0" collapsed="false">
      <c r="A254" s="0" t="s">
        <v>6</v>
      </c>
      <c r="B254" s="0" t="s">
        <v>140</v>
      </c>
      <c r="C254" s="0" t="s">
        <v>655</v>
      </c>
      <c r="D254" s="0" t="s">
        <v>78</v>
      </c>
      <c r="E254" s="0" t="s">
        <v>676</v>
      </c>
      <c r="F254" s="0" t="n">
        <v>4</v>
      </c>
      <c r="G254" s="0" t="n">
        <v>4</v>
      </c>
      <c r="H254" s="0" t="s">
        <v>117</v>
      </c>
      <c r="I254" s="0" t="s">
        <v>193</v>
      </c>
      <c r="K254" s="0" t="s">
        <v>156</v>
      </c>
      <c r="L254" s="0" t="s">
        <v>677</v>
      </c>
    </row>
    <row r="255" customFormat="false" ht="15" hidden="false" customHeight="false" outlineLevel="0" collapsed="false">
      <c r="A255" s="0" t="s">
        <v>6</v>
      </c>
      <c r="B255" s="0" t="s">
        <v>140</v>
      </c>
      <c r="C255" s="0" t="s">
        <v>655</v>
      </c>
      <c r="D255" s="0" t="s">
        <v>81</v>
      </c>
      <c r="E255" s="0" t="s">
        <v>678</v>
      </c>
      <c r="F255" s="0" t="n">
        <v>4</v>
      </c>
      <c r="G255" s="0" t="n">
        <v>4</v>
      </c>
      <c r="H255" s="0" t="s">
        <v>117</v>
      </c>
      <c r="I255" s="0" t="s">
        <v>131</v>
      </c>
      <c r="K255" s="0" t="s">
        <v>160</v>
      </c>
      <c r="L255" s="0" t="s">
        <v>679</v>
      </c>
    </row>
    <row r="256" customFormat="false" ht="15" hidden="false" customHeight="false" outlineLevel="0" collapsed="false">
      <c r="A256" s="0" t="s">
        <v>6</v>
      </c>
      <c r="B256" s="0" t="s">
        <v>140</v>
      </c>
      <c r="C256" s="0" t="s">
        <v>680</v>
      </c>
      <c r="D256" s="0" t="s">
        <v>528</v>
      </c>
      <c r="E256" s="0" t="s">
        <v>681</v>
      </c>
      <c r="F256" s="0" t="n">
        <v>0</v>
      </c>
      <c r="G256" s="0" t="n">
        <v>0</v>
      </c>
      <c r="H256" s="0" t="s">
        <v>117</v>
      </c>
      <c r="K256" s="0" t="s">
        <v>118</v>
      </c>
      <c r="L256" s="0" t="s">
        <v>682</v>
      </c>
    </row>
    <row r="257" customFormat="false" ht="15" hidden="false" customHeight="false" outlineLevel="0" collapsed="false">
      <c r="A257" s="0" t="s">
        <v>6</v>
      </c>
      <c r="B257" s="0" t="s">
        <v>140</v>
      </c>
      <c r="C257" s="0" t="s">
        <v>680</v>
      </c>
      <c r="D257" s="0" t="s">
        <v>531</v>
      </c>
      <c r="E257" s="0" t="s">
        <v>683</v>
      </c>
      <c r="F257" s="0" t="n">
        <v>4</v>
      </c>
      <c r="G257" s="0" t="n">
        <v>3</v>
      </c>
      <c r="H257" s="0" t="s">
        <v>122</v>
      </c>
      <c r="I257" s="0" t="s">
        <v>170</v>
      </c>
      <c r="K257" s="0" t="s">
        <v>123</v>
      </c>
      <c r="L257" s="0" t="s">
        <v>684</v>
      </c>
    </row>
    <row r="258" customFormat="false" ht="15" hidden="false" customHeight="false" outlineLevel="0" collapsed="false">
      <c r="A258" s="0" t="s">
        <v>6</v>
      </c>
      <c r="B258" s="0" t="s">
        <v>140</v>
      </c>
      <c r="C258" s="0" t="s">
        <v>680</v>
      </c>
      <c r="D258" s="0" t="s">
        <v>534</v>
      </c>
      <c r="E258" s="0" t="s">
        <v>685</v>
      </c>
      <c r="F258" s="0" t="n">
        <v>4</v>
      </c>
      <c r="G258" s="0" t="n">
        <v>4</v>
      </c>
      <c r="H258" s="0" t="s">
        <v>117</v>
      </c>
      <c r="I258" s="0" t="s">
        <v>245</v>
      </c>
      <c r="K258" s="0" t="s">
        <v>127</v>
      </c>
      <c r="L258" s="0" t="s">
        <v>686</v>
      </c>
    </row>
    <row r="259" customFormat="false" ht="15" hidden="false" customHeight="false" outlineLevel="0" collapsed="false">
      <c r="A259" s="0" t="s">
        <v>6</v>
      </c>
      <c r="B259" s="0" t="s">
        <v>140</v>
      </c>
      <c r="C259" s="0" t="s">
        <v>680</v>
      </c>
      <c r="D259" s="0" t="s">
        <v>52</v>
      </c>
      <c r="E259" s="0" t="s">
        <v>687</v>
      </c>
      <c r="F259" s="0" t="n">
        <v>4</v>
      </c>
      <c r="G259" s="0" t="n">
        <v>4</v>
      </c>
      <c r="H259" s="0" t="s">
        <v>117</v>
      </c>
      <c r="I259" s="0" t="s">
        <v>260</v>
      </c>
      <c r="K259" s="0" t="s">
        <v>132</v>
      </c>
      <c r="L259" s="0" t="s">
        <v>688</v>
      </c>
    </row>
    <row r="260" customFormat="false" ht="15" hidden="false" customHeight="false" outlineLevel="0" collapsed="false">
      <c r="A260" s="0" t="s">
        <v>6</v>
      </c>
      <c r="B260" s="0" t="s">
        <v>140</v>
      </c>
      <c r="C260" s="0" t="s">
        <v>680</v>
      </c>
      <c r="D260" s="0" t="s">
        <v>55</v>
      </c>
      <c r="E260" s="0" t="s">
        <v>689</v>
      </c>
      <c r="F260" s="0" t="n">
        <v>4</v>
      </c>
      <c r="G260" s="0" t="n">
        <v>4</v>
      </c>
      <c r="H260" s="0" t="s">
        <v>117</v>
      </c>
      <c r="I260" s="0" t="s">
        <v>272</v>
      </c>
      <c r="K260" s="0" t="s">
        <v>135</v>
      </c>
      <c r="L260" s="0" t="s">
        <v>690</v>
      </c>
    </row>
    <row r="261" customFormat="false" ht="15" hidden="false" customHeight="false" outlineLevel="0" collapsed="false">
      <c r="A261" s="0" t="s">
        <v>6</v>
      </c>
      <c r="B261" s="0" t="s">
        <v>140</v>
      </c>
      <c r="C261" s="0" t="s">
        <v>680</v>
      </c>
      <c r="D261" s="0" t="s">
        <v>58</v>
      </c>
      <c r="E261" s="0" t="s">
        <v>691</v>
      </c>
      <c r="F261" s="0" t="n">
        <v>4</v>
      </c>
      <c r="G261" s="0" t="n">
        <v>4</v>
      </c>
      <c r="H261" s="0" t="s">
        <v>117</v>
      </c>
      <c r="I261" s="0" t="s">
        <v>193</v>
      </c>
      <c r="K261" s="0" t="s">
        <v>138</v>
      </c>
      <c r="L261" s="0" t="s">
        <v>692</v>
      </c>
    </row>
    <row r="262" customFormat="false" ht="15" hidden="false" customHeight="false" outlineLevel="0" collapsed="false">
      <c r="A262" s="0" t="s">
        <v>6</v>
      </c>
      <c r="B262" s="0" t="s">
        <v>140</v>
      </c>
      <c r="C262" s="0" t="s">
        <v>680</v>
      </c>
      <c r="D262" s="0" t="s">
        <v>65</v>
      </c>
      <c r="E262" s="0" t="s">
        <v>693</v>
      </c>
      <c r="F262" s="0" t="n">
        <v>4</v>
      </c>
      <c r="G262" s="0" t="n">
        <v>3</v>
      </c>
      <c r="H262" s="0" t="s">
        <v>122</v>
      </c>
      <c r="I262" s="0" t="s">
        <v>235</v>
      </c>
      <c r="K262" s="0" t="s">
        <v>143</v>
      </c>
      <c r="L262" s="0" t="s">
        <v>694</v>
      </c>
    </row>
    <row r="263" customFormat="false" ht="15" hidden="false" customHeight="false" outlineLevel="0" collapsed="false">
      <c r="A263" s="0" t="s">
        <v>6</v>
      </c>
      <c r="B263" s="0" t="s">
        <v>140</v>
      </c>
      <c r="C263" s="0" t="s">
        <v>680</v>
      </c>
      <c r="D263" s="0" t="s">
        <v>69</v>
      </c>
      <c r="E263" s="0" t="s">
        <v>695</v>
      </c>
      <c r="F263" s="0" t="n">
        <v>4</v>
      </c>
      <c r="G263" s="0" t="n">
        <v>3</v>
      </c>
      <c r="H263" s="0" t="s">
        <v>122</v>
      </c>
      <c r="I263" s="0" t="s">
        <v>170</v>
      </c>
      <c r="K263" s="0" t="s">
        <v>146</v>
      </c>
      <c r="L263" s="0" t="s">
        <v>696</v>
      </c>
    </row>
    <row r="264" customFormat="false" ht="15" hidden="false" customHeight="false" outlineLevel="0" collapsed="false">
      <c r="A264" s="0" t="s">
        <v>6</v>
      </c>
      <c r="B264" s="0" t="s">
        <v>140</v>
      </c>
      <c r="C264" s="0" t="s">
        <v>680</v>
      </c>
      <c r="D264" s="0" t="s">
        <v>72</v>
      </c>
      <c r="E264" s="0" t="s">
        <v>697</v>
      </c>
      <c r="F264" s="0" t="n">
        <v>4</v>
      </c>
      <c r="G264" s="0" t="n">
        <v>4</v>
      </c>
      <c r="H264" s="0" t="s">
        <v>117</v>
      </c>
      <c r="I264" s="0" t="s">
        <v>159</v>
      </c>
      <c r="K264" s="0" t="s">
        <v>149</v>
      </c>
      <c r="L264" s="0" t="s">
        <v>698</v>
      </c>
    </row>
    <row r="265" customFormat="false" ht="15" hidden="false" customHeight="false" outlineLevel="0" collapsed="false">
      <c r="A265" s="0" t="s">
        <v>6</v>
      </c>
      <c r="B265" s="0" t="s">
        <v>140</v>
      </c>
      <c r="C265" s="0" t="s">
        <v>680</v>
      </c>
      <c r="D265" s="0" t="s">
        <v>75</v>
      </c>
      <c r="E265" s="0" t="s">
        <v>699</v>
      </c>
      <c r="F265" s="0" t="n">
        <v>4</v>
      </c>
      <c r="G265" s="0" t="n">
        <v>4</v>
      </c>
      <c r="H265" s="0" t="s">
        <v>117</v>
      </c>
      <c r="I265" s="0" t="s">
        <v>260</v>
      </c>
      <c r="K265" s="0" t="s">
        <v>152</v>
      </c>
      <c r="L265" s="0" t="s">
        <v>700</v>
      </c>
    </row>
    <row r="266" customFormat="false" ht="15" hidden="false" customHeight="false" outlineLevel="0" collapsed="false">
      <c r="A266" s="0" t="s">
        <v>6</v>
      </c>
      <c r="B266" s="0" t="s">
        <v>140</v>
      </c>
      <c r="C266" s="0" t="s">
        <v>680</v>
      </c>
      <c r="D266" s="0" t="s">
        <v>78</v>
      </c>
      <c r="E266" s="0" t="s">
        <v>701</v>
      </c>
      <c r="F266" s="0" t="n">
        <v>4</v>
      </c>
      <c r="G266" s="0" t="n">
        <v>4</v>
      </c>
      <c r="H266" s="0" t="s">
        <v>117</v>
      </c>
      <c r="I266" s="0" t="s">
        <v>131</v>
      </c>
      <c r="K266" s="0" t="s">
        <v>156</v>
      </c>
      <c r="L266" s="0" t="s">
        <v>702</v>
      </c>
    </row>
    <row r="267" customFormat="false" ht="15" hidden="false" customHeight="false" outlineLevel="0" collapsed="false">
      <c r="A267" s="0" t="s">
        <v>6</v>
      </c>
      <c r="B267" s="0" t="s">
        <v>140</v>
      </c>
      <c r="C267" s="0" t="s">
        <v>680</v>
      </c>
      <c r="D267" s="0" t="s">
        <v>81</v>
      </c>
      <c r="E267" s="0" t="s">
        <v>703</v>
      </c>
      <c r="F267" s="0" t="n">
        <v>4</v>
      </c>
      <c r="G267" s="0" t="n">
        <v>3</v>
      </c>
      <c r="H267" s="0" t="s">
        <v>122</v>
      </c>
      <c r="I267" s="0" t="s">
        <v>272</v>
      </c>
      <c r="K267" s="0" t="s">
        <v>160</v>
      </c>
      <c r="L267" s="0" t="s">
        <v>704</v>
      </c>
    </row>
    <row r="268" customFormat="false" ht="15" hidden="false" customHeight="false" outlineLevel="0" collapsed="false">
      <c r="A268" s="0" t="s">
        <v>6</v>
      </c>
      <c r="B268" s="0" t="s">
        <v>154</v>
      </c>
      <c r="C268" s="0" t="s">
        <v>705</v>
      </c>
      <c r="D268" s="0" t="s">
        <v>528</v>
      </c>
      <c r="E268" s="0" t="s">
        <v>706</v>
      </c>
      <c r="F268" s="0" t="n">
        <v>0</v>
      </c>
      <c r="G268" s="0" t="n">
        <v>0</v>
      </c>
      <c r="H268" s="0" t="s">
        <v>117</v>
      </c>
      <c r="K268" s="0" t="s">
        <v>118</v>
      </c>
      <c r="L268" s="0" t="s">
        <v>707</v>
      </c>
    </row>
    <row r="269" customFormat="false" ht="15" hidden="false" customHeight="false" outlineLevel="0" collapsed="false">
      <c r="A269" s="0" t="s">
        <v>6</v>
      </c>
      <c r="B269" s="0" t="s">
        <v>154</v>
      </c>
      <c r="C269" s="0" t="s">
        <v>705</v>
      </c>
      <c r="D269" s="0" t="s">
        <v>531</v>
      </c>
      <c r="E269" s="0" t="s">
        <v>708</v>
      </c>
      <c r="F269" s="0" t="n">
        <v>4</v>
      </c>
      <c r="G269" s="0" t="n">
        <v>0</v>
      </c>
      <c r="H269" s="0" t="s">
        <v>122</v>
      </c>
      <c r="K269" s="0" t="s">
        <v>123</v>
      </c>
      <c r="L269" s="0" t="s">
        <v>709</v>
      </c>
    </row>
    <row r="270" customFormat="false" ht="15" hidden="false" customHeight="false" outlineLevel="0" collapsed="false">
      <c r="A270" s="0" t="s">
        <v>6</v>
      </c>
      <c r="B270" s="0" t="s">
        <v>154</v>
      </c>
      <c r="C270" s="0" t="s">
        <v>705</v>
      </c>
      <c r="D270" s="0" t="s">
        <v>534</v>
      </c>
      <c r="E270" s="0" t="s">
        <v>710</v>
      </c>
      <c r="F270" s="0" t="n">
        <v>4</v>
      </c>
      <c r="G270" s="0" t="n">
        <v>0</v>
      </c>
      <c r="H270" s="0" t="s">
        <v>122</v>
      </c>
      <c r="K270" s="0" t="s">
        <v>127</v>
      </c>
      <c r="L270" s="0" t="s">
        <v>711</v>
      </c>
    </row>
    <row r="271" customFormat="false" ht="15" hidden="false" customHeight="false" outlineLevel="0" collapsed="false">
      <c r="A271" s="0" t="s">
        <v>6</v>
      </c>
      <c r="B271" s="0" t="s">
        <v>154</v>
      </c>
      <c r="C271" s="0" t="s">
        <v>705</v>
      </c>
      <c r="D271" s="0" t="s">
        <v>52</v>
      </c>
      <c r="E271" s="0" t="s">
        <v>712</v>
      </c>
      <c r="F271" s="0" t="n">
        <v>4</v>
      </c>
      <c r="G271" s="0" t="n">
        <v>0</v>
      </c>
      <c r="H271" s="0" t="s">
        <v>122</v>
      </c>
      <c r="K271" s="0" t="s">
        <v>132</v>
      </c>
      <c r="L271" s="0" t="s">
        <v>713</v>
      </c>
    </row>
    <row r="272" customFormat="false" ht="15" hidden="false" customHeight="false" outlineLevel="0" collapsed="false">
      <c r="A272" s="0" t="s">
        <v>6</v>
      </c>
      <c r="B272" s="0" t="s">
        <v>154</v>
      </c>
      <c r="C272" s="0" t="s">
        <v>705</v>
      </c>
      <c r="D272" s="0" t="s">
        <v>55</v>
      </c>
      <c r="E272" s="0" t="s">
        <v>714</v>
      </c>
      <c r="F272" s="0" t="n">
        <v>4</v>
      </c>
      <c r="G272" s="0" t="n">
        <v>0</v>
      </c>
      <c r="H272" s="0" t="s">
        <v>122</v>
      </c>
      <c r="K272" s="0" t="s">
        <v>135</v>
      </c>
      <c r="L272" s="0" t="s">
        <v>715</v>
      </c>
    </row>
    <row r="273" customFormat="false" ht="15" hidden="false" customHeight="false" outlineLevel="0" collapsed="false">
      <c r="A273" s="0" t="s">
        <v>6</v>
      </c>
      <c r="B273" s="0" t="s">
        <v>154</v>
      </c>
      <c r="C273" s="0" t="s">
        <v>705</v>
      </c>
      <c r="D273" s="0" t="s">
        <v>58</v>
      </c>
      <c r="E273" s="0" t="s">
        <v>716</v>
      </c>
      <c r="F273" s="0" t="n">
        <v>0</v>
      </c>
      <c r="G273" s="0" t="n">
        <v>0</v>
      </c>
      <c r="H273" s="0" t="s">
        <v>117</v>
      </c>
      <c r="K273" s="0" t="s">
        <v>138</v>
      </c>
      <c r="L273" s="0" t="s">
        <v>717</v>
      </c>
    </row>
    <row r="274" customFormat="false" ht="15" hidden="false" customHeight="false" outlineLevel="0" collapsed="false">
      <c r="A274" s="0" t="s">
        <v>6</v>
      </c>
      <c r="B274" s="0" t="s">
        <v>154</v>
      </c>
      <c r="C274" s="0" t="s">
        <v>705</v>
      </c>
      <c r="D274" s="0" t="s">
        <v>65</v>
      </c>
      <c r="E274" s="0" t="s">
        <v>718</v>
      </c>
      <c r="F274" s="0" t="n">
        <v>4</v>
      </c>
      <c r="G274" s="0" t="n">
        <v>3</v>
      </c>
      <c r="H274" s="0" t="s">
        <v>122</v>
      </c>
      <c r="I274" s="0" t="s">
        <v>170</v>
      </c>
      <c r="K274" s="0" t="s">
        <v>143</v>
      </c>
      <c r="L274" s="0" t="s">
        <v>719</v>
      </c>
    </row>
    <row r="275" customFormat="false" ht="15" hidden="false" customHeight="false" outlineLevel="0" collapsed="false">
      <c r="A275" s="0" t="s">
        <v>6</v>
      </c>
      <c r="B275" s="0" t="s">
        <v>154</v>
      </c>
      <c r="C275" s="0" t="s">
        <v>705</v>
      </c>
      <c r="D275" s="0" t="s">
        <v>69</v>
      </c>
      <c r="E275" s="0" t="s">
        <v>720</v>
      </c>
      <c r="F275" s="0" t="n">
        <v>4</v>
      </c>
      <c r="G275" s="0" t="n">
        <v>4</v>
      </c>
      <c r="H275" s="0" t="s">
        <v>117</v>
      </c>
      <c r="I275" s="0" t="s">
        <v>260</v>
      </c>
      <c r="K275" s="0" t="s">
        <v>146</v>
      </c>
      <c r="L275" s="0" t="s">
        <v>721</v>
      </c>
    </row>
    <row r="276" customFormat="false" ht="15" hidden="false" customHeight="false" outlineLevel="0" collapsed="false">
      <c r="A276" s="0" t="s">
        <v>6</v>
      </c>
      <c r="B276" s="0" t="s">
        <v>154</v>
      </c>
      <c r="C276" s="0" t="s">
        <v>705</v>
      </c>
      <c r="D276" s="0" t="s">
        <v>72</v>
      </c>
      <c r="E276" s="0" t="s">
        <v>722</v>
      </c>
      <c r="F276" s="0" t="n">
        <v>4</v>
      </c>
      <c r="G276" s="0" t="n">
        <v>4</v>
      </c>
      <c r="H276" s="0" t="s">
        <v>117</v>
      </c>
      <c r="I276" s="0" t="s">
        <v>131</v>
      </c>
      <c r="K276" s="0" t="s">
        <v>149</v>
      </c>
      <c r="L276" s="0" t="s">
        <v>723</v>
      </c>
    </row>
    <row r="277" customFormat="false" ht="15" hidden="false" customHeight="false" outlineLevel="0" collapsed="false">
      <c r="A277" s="0" t="s">
        <v>6</v>
      </c>
      <c r="B277" s="0" t="s">
        <v>154</v>
      </c>
      <c r="C277" s="0" t="s">
        <v>705</v>
      </c>
      <c r="D277" s="0" t="s">
        <v>75</v>
      </c>
      <c r="E277" s="0" t="s">
        <v>724</v>
      </c>
      <c r="F277" s="0" t="n">
        <v>4</v>
      </c>
      <c r="G277" s="0" t="n">
        <v>2</v>
      </c>
      <c r="H277" s="0" t="s">
        <v>122</v>
      </c>
      <c r="I277" s="0" t="s">
        <v>170</v>
      </c>
      <c r="K277" s="0" t="s">
        <v>152</v>
      </c>
      <c r="L277" s="0" t="s">
        <v>725</v>
      </c>
    </row>
    <row r="278" customFormat="false" ht="15" hidden="false" customHeight="false" outlineLevel="0" collapsed="false">
      <c r="A278" s="0" t="s">
        <v>6</v>
      </c>
      <c r="B278" s="0" t="s">
        <v>154</v>
      </c>
      <c r="C278" s="0" t="s">
        <v>705</v>
      </c>
      <c r="D278" s="0" t="s">
        <v>78</v>
      </c>
      <c r="E278" s="0" t="s">
        <v>726</v>
      </c>
      <c r="F278" s="0" t="n">
        <v>4</v>
      </c>
      <c r="G278" s="0" t="n">
        <v>4</v>
      </c>
      <c r="H278" s="0" t="s">
        <v>117</v>
      </c>
      <c r="I278" s="0" t="s">
        <v>131</v>
      </c>
      <c r="K278" s="0" t="s">
        <v>156</v>
      </c>
      <c r="L278" s="0" t="s">
        <v>727</v>
      </c>
    </row>
    <row r="279" customFormat="false" ht="15" hidden="false" customHeight="false" outlineLevel="0" collapsed="false">
      <c r="A279" s="0" t="s">
        <v>6</v>
      </c>
      <c r="B279" s="0" t="s">
        <v>154</v>
      </c>
      <c r="C279" s="0" t="s">
        <v>705</v>
      </c>
      <c r="D279" s="0" t="s">
        <v>81</v>
      </c>
      <c r="E279" s="0" t="s">
        <v>728</v>
      </c>
      <c r="F279" s="0" t="n">
        <v>4</v>
      </c>
      <c r="G279" s="0" t="n">
        <v>4</v>
      </c>
      <c r="H279" s="0" t="s">
        <v>117</v>
      </c>
      <c r="I279" s="0" t="s">
        <v>260</v>
      </c>
      <c r="K279" s="0" t="s">
        <v>160</v>
      </c>
      <c r="L279" s="0" t="s">
        <v>729</v>
      </c>
    </row>
    <row r="280" customFormat="false" ht="15" hidden="false" customHeight="false" outlineLevel="0" collapsed="false">
      <c r="A280" s="0" t="s">
        <v>6</v>
      </c>
      <c r="B280" s="0" t="s">
        <v>154</v>
      </c>
      <c r="C280" s="0" t="s">
        <v>730</v>
      </c>
      <c r="D280" s="0" t="s">
        <v>528</v>
      </c>
      <c r="E280" s="0" t="s">
        <v>731</v>
      </c>
      <c r="F280" s="0" t="n">
        <v>0</v>
      </c>
      <c r="G280" s="0" t="n">
        <v>0</v>
      </c>
      <c r="H280" s="0" t="s">
        <v>117</v>
      </c>
      <c r="K280" s="0" t="s">
        <v>118</v>
      </c>
      <c r="L280" s="0" t="s">
        <v>732</v>
      </c>
    </row>
    <row r="281" customFormat="false" ht="15" hidden="false" customHeight="false" outlineLevel="0" collapsed="false">
      <c r="A281" s="0" t="s">
        <v>6</v>
      </c>
      <c r="B281" s="0" t="s">
        <v>154</v>
      </c>
      <c r="C281" s="0" t="s">
        <v>730</v>
      </c>
      <c r="D281" s="0" t="s">
        <v>531</v>
      </c>
      <c r="E281" s="0" t="s">
        <v>733</v>
      </c>
      <c r="F281" s="0" t="n">
        <v>4</v>
      </c>
      <c r="G281" s="0" t="n">
        <v>0</v>
      </c>
      <c r="H281" s="0" t="s">
        <v>122</v>
      </c>
      <c r="K281" s="0" t="s">
        <v>123</v>
      </c>
      <c r="L281" s="0" t="s">
        <v>734</v>
      </c>
    </row>
    <row r="282" customFormat="false" ht="15" hidden="false" customHeight="false" outlineLevel="0" collapsed="false">
      <c r="A282" s="0" t="s">
        <v>6</v>
      </c>
      <c r="B282" s="0" t="s">
        <v>154</v>
      </c>
      <c r="C282" s="0" t="s">
        <v>730</v>
      </c>
      <c r="D282" s="0" t="s">
        <v>534</v>
      </c>
      <c r="E282" s="0" t="s">
        <v>735</v>
      </c>
      <c r="F282" s="0" t="n">
        <v>4</v>
      </c>
      <c r="G282" s="0" t="n">
        <v>0</v>
      </c>
      <c r="H282" s="0" t="s">
        <v>122</v>
      </c>
      <c r="K282" s="0" t="s">
        <v>127</v>
      </c>
      <c r="L282" s="0" t="s">
        <v>736</v>
      </c>
    </row>
    <row r="283" customFormat="false" ht="15" hidden="false" customHeight="false" outlineLevel="0" collapsed="false">
      <c r="A283" s="0" t="s">
        <v>6</v>
      </c>
      <c r="B283" s="0" t="s">
        <v>154</v>
      </c>
      <c r="C283" s="0" t="s">
        <v>730</v>
      </c>
      <c r="D283" s="0" t="s">
        <v>52</v>
      </c>
      <c r="E283" s="0" t="s">
        <v>737</v>
      </c>
      <c r="F283" s="0" t="n">
        <v>4</v>
      </c>
      <c r="G283" s="0" t="n">
        <v>0</v>
      </c>
      <c r="H283" s="0" t="s">
        <v>122</v>
      </c>
      <c r="K283" s="0" t="s">
        <v>132</v>
      </c>
      <c r="L283" s="0" t="s">
        <v>738</v>
      </c>
    </row>
    <row r="284" customFormat="false" ht="15" hidden="false" customHeight="false" outlineLevel="0" collapsed="false">
      <c r="A284" s="0" t="s">
        <v>6</v>
      </c>
      <c r="B284" s="0" t="s">
        <v>154</v>
      </c>
      <c r="C284" s="0" t="s">
        <v>730</v>
      </c>
      <c r="D284" s="0" t="s">
        <v>55</v>
      </c>
      <c r="E284" s="0" t="s">
        <v>739</v>
      </c>
      <c r="F284" s="0" t="n">
        <v>4</v>
      </c>
      <c r="G284" s="0" t="n">
        <v>0</v>
      </c>
      <c r="H284" s="0" t="s">
        <v>122</v>
      </c>
      <c r="K284" s="0" t="s">
        <v>135</v>
      </c>
      <c r="L284" s="0" t="s">
        <v>740</v>
      </c>
    </row>
    <row r="285" customFormat="false" ht="15" hidden="false" customHeight="false" outlineLevel="0" collapsed="false">
      <c r="A285" s="0" t="s">
        <v>6</v>
      </c>
      <c r="B285" s="0" t="s">
        <v>154</v>
      </c>
      <c r="C285" s="0" t="s">
        <v>730</v>
      </c>
      <c r="D285" s="0" t="s">
        <v>58</v>
      </c>
      <c r="E285" s="0" t="s">
        <v>741</v>
      </c>
      <c r="F285" s="0" t="n">
        <v>0</v>
      </c>
      <c r="G285" s="0" t="n">
        <v>0</v>
      </c>
      <c r="H285" s="0" t="s">
        <v>117</v>
      </c>
      <c r="K285" s="0" t="s">
        <v>138</v>
      </c>
      <c r="L285" s="0" t="s">
        <v>742</v>
      </c>
    </row>
    <row r="286" customFormat="false" ht="15" hidden="false" customHeight="false" outlineLevel="0" collapsed="false">
      <c r="A286" s="0" t="s">
        <v>6</v>
      </c>
      <c r="B286" s="0" t="s">
        <v>154</v>
      </c>
      <c r="C286" s="0" t="s">
        <v>730</v>
      </c>
      <c r="D286" s="0" t="s">
        <v>65</v>
      </c>
      <c r="E286" s="0" t="s">
        <v>743</v>
      </c>
      <c r="F286" s="0" t="n">
        <v>4</v>
      </c>
      <c r="G286" s="0" t="n">
        <v>3</v>
      </c>
      <c r="H286" s="0" t="s">
        <v>122</v>
      </c>
      <c r="I286" s="0" t="s">
        <v>260</v>
      </c>
      <c r="K286" s="0" t="s">
        <v>143</v>
      </c>
      <c r="L286" s="0" t="s">
        <v>744</v>
      </c>
    </row>
    <row r="287" customFormat="false" ht="15" hidden="false" customHeight="false" outlineLevel="0" collapsed="false">
      <c r="A287" s="0" t="s">
        <v>6</v>
      </c>
      <c r="B287" s="0" t="s">
        <v>154</v>
      </c>
      <c r="C287" s="0" t="s">
        <v>730</v>
      </c>
      <c r="D287" s="0" t="s">
        <v>69</v>
      </c>
      <c r="E287" s="0" t="s">
        <v>745</v>
      </c>
      <c r="F287" s="0" t="n">
        <v>4</v>
      </c>
      <c r="G287" s="0" t="n">
        <v>4</v>
      </c>
      <c r="H287" s="0" t="s">
        <v>117</v>
      </c>
      <c r="I287" s="0" t="s">
        <v>170</v>
      </c>
      <c r="K287" s="0" t="s">
        <v>146</v>
      </c>
      <c r="L287" s="0" t="s">
        <v>746</v>
      </c>
    </row>
    <row r="288" customFormat="false" ht="15" hidden="false" customHeight="false" outlineLevel="0" collapsed="false">
      <c r="A288" s="0" t="s">
        <v>6</v>
      </c>
      <c r="B288" s="0" t="s">
        <v>154</v>
      </c>
      <c r="C288" s="0" t="s">
        <v>730</v>
      </c>
      <c r="D288" s="0" t="s">
        <v>72</v>
      </c>
      <c r="E288" s="0" t="s">
        <v>747</v>
      </c>
      <c r="F288" s="0" t="n">
        <v>4</v>
      </c>
      <c r="G288" s="0" t="n">
        <v>4</v>
      </c>
      <c r="H288" s="0" t="s">
        <v>117</v>
      </c>
      <c r="I288" s="0" t="s">
        <v>260</v>
      </c>
      <c r="K288" s="0" t="s">
        <v>149</v>
      </c>
      <c r="L288" s="0" t="s">
        <v>748</v>
      </c>
    </row>
    <row r="289" customFormat="false" ht="15" hidden="false" customHeight="false" outlineLevel="0" collapsed="false">
      <c r="A289" s="0" t="s">
        <v>6</v>
      </c>
      <c r="B289" s="0" t="s">
        <v>154</v>
      </c>
      <c r="C289" s="0" t="s">
        <v>730</v>
      </c>
      <c r="D289" s="0" t="s">
        <v>75</v>
      </c>
      <c r="E289" s="0" t="s">
        <v>749</v>
      </c>
      <c r="F289" s="0" t="n">
        <v>0</v>
      </c>
      <c r="G289" s="0" t="n">
        <v>4</v>
      </c>
      <c r="H289" s="0" t="s">
        <v>117</v>
      </c>
      <c r="I289" s="0" t="s">
        <v>170</v>
      </c>
      <c r="K289" s="0" t="s">
        <v>152</v>
      </c>
      <c r="L289" s="0" t="s">
        <v>750</v>
      </c>
    </row>
    <row r="290" customFormat="false" ht="15" hidden="false" customHeight="false" outlineLevel="0" collapsed="false">
      <c r="A290" s="0" t="s">
        <v>6</v>
      </c>
      <c r="B290" s="0" t="s">
        <v>154</v>
      </c>
      <c r="C290" s="0" t="s">
        <v>730</v>
      </c>
      <c r="D290" s="0" t="s">
        <v>78</v>
      </c>
      <c r="E290" s="0" t="s">
        <v>751</v>
      </c>
      <c r="F290" s="0" t="n">
        <v>4</v>
      </c>
      <c r="G290" s="0" t="n">
        <v>3</v>
      </c>
      <c r="H290" s="0" t="s">
        <v>122</v>
      </c>
      <c r="I290" s="0" t="s">
        <v>131</v>
      </c>
      <c r="K290" s="0" t="s">
        <v>156</v>
      </c>
      <c r="L290" s="0" t="s">
        <v>752</v>
      </c>
    </row>
    <row r="291" customFormat="false" ht="15" hidden="false" customHeight="false" outlineLevel="0" collapsed="false">
      <c r="A291" s="0" t="s">
        <v>6</v>
      </c>
      <c r="B291" s="0" t="s">
        <v>154</v>
      </c>
      <c r="C291" s="0" t="s">
        <v>730</v>
      </c>
      <c r="D291" s="0" t="s">
        <v>81</v>
      </c>
      <c r="E291" s="0" t="s">
        <v>753</v>
      </c>
      <c r="F291" s="0" t="n">
        <v>4</v>
      </c>
      <c r="G291" s="0" t="n">
        <v>4</v>
      </c>
      <c r="H291" s="0" t="s">
        <v>117</v>
      </c>
      <c r="I291" s="0" t="s">
        <v>159</v>
      </c>
      <c r="K291" s="0" t="s">
        <v>160</v>
      </c>
      <c r="L291" s="0" t="s">
        <v>754</v>
      </c>
    </row>
    <row r="292" customFormat="false" ht="15" hidden="false" customHeight="false" outlineLevel="0" collapsed="false">
      <c r="A292" s="0" t="s">
        <v>6</v>
      </c>
      <c r="B292" s="0" t="s">
        <v>154</v>
      </c>
      <c r="C292" s="0" t="s">
        <v>755</v>
      </c>
      <c r="D292" s="0" t="s">
        <v>528</v>
      </c>
      <c r="E292" s="0" t="s">
        <v>756</v>
      </c>
      <c r="F292" s="0" t="n">
        <v>0</v>
      </c>
      <c r="G292" s="0" t="n">
        <v>0</v>
      </c>
      <c r="H292" s="0" t="s">
        <v>117</v>
      </c>
      <c r="K292" s="0" t="s">
        <v>118</v>
      </c>
      <c r="L292" s="0" t="s">
        <v>757</v>
      </c>
    </row>
    <row r="293" customFormat="false" ht="15" hidden="false" customHeight="false" outlineLevel="0" collapsed="false">
      <c r="A293" s="0" t="s">
        <v>6</v>
      </c>
      <c r="B293" s="0" t="s">
        <v>154</v>
      </c>
      <c r="C293" s="0" t="s">
        <v>755</v>
      </c>
      <c r="D293" s="0" t="s">
        <v>531</v>
      </c>
      <c r="E293" s="0" t="s">
        <v>758</v>
      </c>
      <c r="F293" s="0" t="n">
        <v>4</v>
      </c>
      <c r="G293" s="0" t="n">
        <v>3</v>
      </c>
      <c r="H293" s="0" t="s">
        <v>122</v>
      </c>
      <c r="I293" s="0" t="s">
        <v>142</v>
      </c>
      <c r="K293" s="0" t="s">
        <v>123</v>
      </c>
      <c r="L293" s="0" t="s">
        <v>759</v>
      </c>
    </row>
    <row r="294" customFormat="false" ht="15" hidden="false" customHeight="false" outlineLevel="0" collapsed="false">
      <c r="A294" s="0" t="s">
        <v>6</v>
      </c>
      <c r="B294" s="0" t="s">
        <v>154</v>
      </c>
      <c r="C294" s="0" t="s">
        <v>755</v>
      </c>
      <c r="D294" s="0" t="s">
        <v>534</v>
      </c>
      <c r="E294" s="0" t="s">
        <v>760</v>
      </c>
      <c r="F294" s="0" t="n">
        <v>4</v>
      </c>
      <c r="G294" s="0" t="n">
        <v>0</v>
      </c>
      <c r="H294" s="0" t="s">
        <v>122</v>
      </c>
      <c r="K294" s="0" t="s">
        <v>127</v>
      </c>
      <c r="L294" s="0" t="s">
        <v>761</v>
      </c>
    </row>
    <row r="295" customFormat="false" ht="15" hidden="false" customHeight="false" outlineLevel="0" collapsed="false">
      <c r="A295" s="0" t="s">
        <v>6</v>
      </c>
      <c r="B295" s="0" t="s">
        <v>154</v>
      </c>
      <c r="C295" s="0" t="s">
        <v>755</v>
      </c>
      <c r="D295" s="0" t="s">
        <v>52</v>
      </c>
      <c r="E295" s="0" t="s">
        <v>762</v>
      </c>
      <c r="F295" s="0" t="n">
        <v>4</v>
      </c>
      <c r="G295" s="0" t="n">
        <v>0</v>
      </c>
      <c r="H295" s="0" t="s">
        <v>122</v>
      </c>
      <c r="K295" s="0" t="s">
        <v>132</v>
      </c>
      <c r="L295" s="0" t="s">
        <v>763</v>
      </c>
    </row>
    <row r="296" customFormat="false" ht="15" hidden="false" customHeight="false" outlineLevel="0" collapsed="false">
      <c r="A296" s="0" t="s">
        <v>6</v>
      </c>
      <c r="B296" s="0" t="s">
        <v>154</v>
      </c>
      <c r="C296" s="0" t="s">
        <v>755</v>
      </c>
      <c r="D296" s="0" t="s">
        <v>55</v>
      </c>
      <c r="E296" s="0" t="s">
        <v>764</v>
      </c>
      <c r="F296" s="0" t="n">
        <v>4</v>
      </c>
      <c r="G296" s="0" t="n">
        <v>0</v>
      </c>
      <c r="H296" s="0" t="s">
        <v>122</v>
      </c>
      <c r="K296" s="0" t="s">
        <v>135</v>
      </c>
      <c r="L296" s="0" t="s">
        <v>765</v>
      </c>
    </row>
    <row r="297" customFormat="false" ht="15" hidden="false" customHeight="false" outlineLevel="0" collapsed="false">
      <c r="A297" s="0" t="s">
        <v>6</v>
      </c>
      <c r="B297" s="0" t="s">
        <v>154</v>
      </c>
      <c r="C297" s="0" t="s">
        <v>755</v>
      </c>
      <c r="D297" s="0" t="s">
        <v>58</v>
      </c>
      <c r="E297" s="0" t="s">
        <v>766</v>
      </c>
      <c r="F297" s="0" t="n">
        <v>0</v>
      </c>
      <c r="G297" s="0" t="n">
        <v>0</v>
      </c>
      <c r="H297" s="0" t="s">
        <v>117</v>
      </c>
      <c r="K297" s="0" t="s">
        <v>138</v>
      </c>
      <c r="L297" s="0" t="s">
        <v>767</v>
      </c>
    </row>
    <row r="298" customFormat="false" ht="15" hidden="false" customHeight="false" outlineLevel="0" collapsed="false">
      <c r="A298" s="0" t="s">
        <v>6</v>
      </c>
      <c r="B298" s="0" t="s">
        <v>154</v>
      </c>
      <c r="C298" s="0" t="s">
        <v>755</v>
      </c>
      <c r="D298" s="0" t="s">
        <v>65</v>
      </c>
      <c r="E298" s="0" t="s">
        <v>768</v>
      </c>
      <c r="F298" s="0" t="n">
        <v>4</v>
      </c>
      <c r="G298" s="0" t="n">
        <v>4</v>
      </c>
      <c r="H298" s="0" t="s">
        <v>117</v>
      </c>
      <c r="I298" s="0" t="s">
        <v>245</v>
      </c>
      <c r="K298" s="0" t="s">
        <v>143</v>
      </c>
      <c r="L298" s="0" t="s">
        <v>769</v>
      </c>
    </row>
    <row r="299" customFormat="false" ht="15" hidden="false" customHeight="false" outlineLevel="0" collapsed="false">
      <c r="A299" s="0" t="s">
        <v>6</v>
      </c>
      <c r="B299" s="0" t="s">
        <v>154</v>
      </c>
      <c r="C299" s="0" t="s">
        <v>755</v>
      </c>
      <c r="D299" s="0" t="s">
        <v>69</v>
      </c>
      <c r="E299" s="0" t="s">
        <v>770</v>
      </c>
      <c r="F299" s="0" t="n">
        <v>4</v>
      </c>
      <c r="G299" s="0" t="n">
        <v>4</v>
      </c>
      <c r="H299" s="0" t="s">
        <v>117</v>
      </c>
      <c r="I299" s="0" t="s">
        <v>131</v>
      </c>
      <c r="K299" s="0" t="s">
        <v>146</v>
      </c>
      <c r="L299" s="0" t="s">
        <v>771</v>
      </c>
    </row>
    <row r="300" customFormat="false" ht="15" hidden="false" customHeight="false" outlineLevel="0" collapsed="false">
      <c r="A300" s="0" t="s">
        <v>6</v>
      </c>
      <c r="B300" s="0" t="s">
        <v>154</v>
      </c>
      <c r="C300" s="0" t="s">
        <v>755</v>
      </c>
      <c r="D300" s="0" t="s">
        <v>72</v>
      </c>
      <c r="E300" s="0" t="s">
        <v>772</v>
      </c>
      <c r="F300" s="0" t="n">
        <v>4</v>
      </c>
      <c r="G300" s="0" t="n">
        <v>4</v>
      </c>
      <c r="H300" s="0" t="s">
        <v>117</v>
      </c>
      <c r="I300" s="0" t="s">
        <v>131</v>
      </c>
      <c r="K300" s="0" t="s">
        <v>149</v>
      </c>
      <c r="L300" s="0" t="s">
        <v>773</v>
      </c>
    </row>
    <row r="301" customFormat="false" ht="15" hidden="false" customHeight="false" outlineLevel="0" collapsed="false">
      <c r="A301" s="0" t="s">
        <v>6</v>
      </c>
      <c r="B301" s="0" t="s">
        <v>154</v>
      </c>
      <c r="C301" s="0" t="s">
        <v>755</v>
      </c>
      <c r="D301" s="0" t="s">
        <v>75</v>
      </c>
      <c r="E301" s="0" t="s">
        <v>774</v>
      </c>
      <c r="F301" s="0" t="n">
        <v>4</v>
      </c>
      <c r="G301" s="0" t="n">
        <v>4</v>
      </c>
      <c r="H301" s="0" t="s">
        <v>117</v>
      </c>
      <c r="I301" s="0" t="s">
        <v>131</v>
      </c>
      <c r="K301" s="0" t="s">
        <v>152</v>
      </c>
      <c r="L301" s="0" t="s">
        <v>775</v>
      </c>
    </row>
    <row r="302" customFormat="false" ht="15" hidden="false" customHeight="false" outlineLevel="0" collapsed="false">
      <c r="A302" s="0" t="s">
        <v>6</v>
      </c>
      <c r="B302" s="0" t="s">
        <v>154</v>
      </c>
      <c r="C302" s="0" t="s">
        <v>755</v>
      </c>
      <c r="D302" s="0" t="s">
        <v>78</v>
      </c>
      <c r="E302" s="0" t="s">
        <v>776</v>
      </c>
      <c r="F302" s="0" t="n">
        <v>4</v>
      </c>
      <c r="G302" s="0" t="n">
        <v>4</v>
      </c>
      <c r="H302" s="0" t="s">
        <v>117</v>
      </c>
      <c r="I302" s="0" t="s">
        <v>170</v>
      </c>
      <c r="K302" s="0" t="s">
        <v>156</v>
      </c>
      <c r="L302" s="0" t="s">
        <v>777</v>
      </c>
    </row>
    <row r="303" customFormat="false" ht="15" hidden="false" customHeight="false" outlineLevel="0" collapsed="false">
      <c r="A303" s="0" t="s">
        <v>6</v>
      </c>
      <c r="B303" s="0" t="s">
        <v>154</v>
      </c>
      <c r="C303" s="0" t="s">
        <v>755</v>
      </c>
      <c r="D303" s="0" t="s">
        <v>81</v>
      </c>
      <c r="E303" s="0" t="s">
        <v>778</v>
      </c>
      <c r="F303" s="0" t="n">
        <v>4</v>
      </c>
      <c r="G303" s="0" t="n">
        <v>3</v>
      </c>
      <c r="H303" s="0" t="s">
        <v>122</v>
      </c>
      <c r="I303" s="0" t="s">
        <v>170</v>
      </c>
      <c r="K303" s="0" t="s">
        <v>160</v>
      </c>
      <c r="L303" s="0" t="s">
        <v>779</v>
      </c>
    </row>
    <row r="304" customFormat="false" ht="15" hidden="false" customHeight="false" outlineLevel="0" collapsed="false">
      <c r="A304" s="0" t="s">
        <v>6</v>
      </c>
      <c r="B304" s="0" t="s">
        <v>154</v>
      </c>
      <c r="C304" s="0" t="s">
        <v>780</v>
      </c>
      <c r="D304" s="0" t="s">
        <v>528</v>
      </c>
      <c r="E304" s="0" t="s">
        <v>781</v>
      </c>
      <c r="F304" s="0" t="n">
        <v>0</v>
      </c>
      <c r="G304" s="0" t="n">
        <v>0</v>
      </c>
      <c r="H304" s="0" t="s">
        <v>117</v>
      </c>
      <c r="K304" s="0" t="s">
        <v>118</v>
      </c>
      <c r="L304" s="0" t="s">
        <v>782</v>
      </c>
    </row>
    <row r="305" customFormat="false" ht="15" hidden="false" customHeight="false" outlineLevel="0" collapsed="false">
      <c r="A305" s="0" t="s">
        <v>6</v>
      </c>
      <c r="B305" s="0" t="s">
        <v>154</v>
      </c>
      <c r="C305" s="0" t="s">
        <v>780</v>
      </c>
      <c r="D305" s="0" t="s">
        <v>531</v>
      </c>
      <c r="E305" s="0" t="s">
        <v>783</v>
      </c>
      <c r="F305" s="0" t="n">
        <v>4</v>
      </c>
      <c r="G305" s="0" t="n">
        <v>0</v>
      </c>
      <c r="H305" s="0" t="s">
        <v>122</v>
      </c>
      <c r="K305" s="0" t="s">
        <v>123</v>
      </c>
      <c r="L305" s="0" t="s">
        <v>784</v>
      </c>
    </row>
    <row r="306" customFormat="false" ht="15" hidden="false" customHeight="false" outlineLevel="0" collapsed="false">
      <c r="A306" s="0" t="s">
        <v>6</v>
      </c>
      <c r="B306" s="0" t="s">
        <v>154</v>
      </c>
      <c r="C306" s="0" t="s">
        <v>780</v>
      </c>
      <c r="D306" s="0" t="s">
        <v>534</v>
      </c>
      <c r="E306" s="0" t="s">
        <v>785</v>
      </c>
      <c r="F306" s="0" t="n">
        <v>4</v>
      </c>
      <c r="G306" s="0" t="n">
        <v>3</v>
      </c>
      <c r="H306" s="0" t="s">
        <v>122</v>
      </c>
      <c r="I306" s="0" t="s">
        <v>245</v>
      </c>
      <c r="K306" s="0" t="s">
        <v>127</v>
      </c>
      <c r="L306" s="0" t="s">
        <v>786</v>
      </c>
    </row>
    <row r="307" customFormat="false" ht="15" hidden="false" customHeight="false" outlineLevel="0" collapsed="false">
      <c r="A307" s="0" t="s">
        <v>6</v>
      </c>
      <c r="B307" s="0" t="s">
        <v>154</v>
      </c>
      <c r="C307" s="0" t="s">
        <v>780</v>
      </c>
      <c r="D307" s="0" t="s">
        <v>52</v>
      </c>
      <c r="E307" s="0" t="s">
        <v>787</v>
      </c>
      <c r="F307" s="0" t="n">
        <v>4</v>
      </c>
      <c r="G307" s="0" t="n">
        <v>0</v>
      </c>
      <c r="H307" s="0" t="s">
        <v>122</v>
      </c>
      <c r="K307" s="0" t="s">
        <v>132</v>
      </c>
      <c r="L307" s="0" t="s">
        <v>788</v>
      </c>
    </row>
    <row r="308" customFormat="false" ht="15" hidden="false" customHeight="false" outlineLevel="0" collapsed="false">
      <c r="A308" s="0" t="s">
        <v>6</v>
      </c>
      <c r="B308" s="0" t="s">
        <v>154</v>
      </c>
      <c r="C308" s="0" t="s">
        <v>780</v>
      </c>
      <c r="D308" s="0" t="s">
        <v>55</v>
      </c>
      <c r="E308" s="0" t="s">
        <v>789</v>
      </c>
      <c r="F308" s="0" t="n">
        <v>4</v>
      </c>
      <c r="G308" s="0" t="n">
        <v>0</v>
      </c>
      <c r="H308" s="0" t="s">
        <v>122</v>
      </c>
      <c r="K308" s="0" t="s">
        <v>135</v>
      </c>
      <c r="L308" s="0" t="s">
        <v>790</v>
      </c>
    </row>
    <row r="309" customFormat="false" ht="15" hidden="false" customHeight="false" outlineLevel="0" collapsed="false">
      <c r="A309" s="0" t="s">
        <v>6</v>
      </c>
      <c r="B309" s="0" t="s">
        <v>154</v>
      </c>
      <c r="C309" s="0" t="s">
        <v>780</v>
      </c>
      <c r="D309" s="0" t="s">
        <v>58</v>
      </c>
      <c r="E309" s="0" t="s">
        <v>791</v>
      </c>
      <c r="F309" s="0" t="n">
        <v>0</v>
      </c>
      <c r="G309" s="0" t="n">
        <v>0</v>
      </c>
      <c r="H309" s="0" t="s">
        <v>117</v>
      </c>
      <c r="K309" s="0" t="s">
        <v>138</v>
      </c>
      <c r="L309" s="0" t="s">
        <v>792</v>
      </c>
    </row>
    <row r="310" customFormat="false" ht="15" hidden="false" customHeight="false" outlineLevel="0" collapsed="false">
      <c r="A310" s="0" t="s">
        <v>6</v>
      </c>
      <c r="B310" s="0" t="s">
        <v>154</v>
      </c>
      <c r="C310" s="0" t="s">
        <v>780</v>
      </c>
      <c r="D310" s="0" t="s">
        <v>65</v>
      </c>
      <c r="E310" s="0" t="s">
        <v>793</v>
      </c>
      <c r="F310" s="0" t="n">
        <v>4</v>
      </c>
      <c r="G310" s="0" t="n">
        <v>0</v>
      </c>
      <c r="H310" s="0" t="s">
        <v>122</v>
      </c>
      <c r="K310" s="0" t="s">
        <v>143</v>
      </c>
      <c r="L310" s="0" t="s">
        <v>794</v>
      </c>
    </row>
    <row r="311" customFormat="false" ht="15" hidden="false" customHeight="false" outlineLevel="0" collapsed="false">
      <c r="A311" s="0" t="s">
        <v>6</v>
      </c>
      <c r="B311" s="0" t="s">
        <v>154</v>
      </c>
      <c r="C311" s="0" t="s">
        <v>780</v>
      </c>
      <c r="D311" s="0" t="s">
        <v>69</v>
      </c>
      <c r="E311" s="0" t="s">
        <v>795</v>
      </c>
      <c r="F311" s="0" t="n">
        <v>4</v>
      </c>
      <c r="G311" s="0" t="n">
        <v>3</v>
      </c>
      <c r="H311" s="0" t="s">
        <v>122</v>
      </c>
      <c r="I311" s="0" t="s">
        <v>245</v>
      </c>
      <c r="K311" s="0" t="s">
        <v>146</v>
      </c>
      <c r="L311" s="0" t="s">
        <v>796</v>
      </c>
    </row>
    <row r="312" customFormat="false" ht="15" hidden="false" customHeight="false" outlineLevel="0" collapsed="false">
      <c r="A312" s="0" t="s">
        <v>6</v>
      </c>
      <c r="B312" s="0" t="s">
        <v>154</v>
      </c>
      <c r="C312" s="0" t="s">
        <v>780</v>
      </c>
      <c r="D312" s="0" t="s">
        <v>72</v>
      </c>
      <c r="E312" s="0" t="s">
        <v>797</v>
      </c>
      <c r="F312" s="0" t="n">
        <v>0</v>
      </c>
      <c r="G312" s="0" t="n">
        <v>0</v>
      </c>
      <c r="H312" s="0" t="s">
        <v>117</v>
      </c>
      <c r="K312" s="0" t="s">
        <v>149</v>
      </c>
      <c r="L312" s="0" t="s">
        <v>798</v>
      </c>
    </row>
    <row r="313" customFormat="false" ht="15" hidden="false" customHeight="false" outlineLevel="0" collapsed="false">
      <c r="A313" s="0" t="s">
        <v>6</v>
      </c>
      <c r="B313" s="0" t="s">
        <v>154</v>
      </c>
      <c r="C313" s="0" t="s">
        <v>780</v>
      </c>
      <c r="D313" s="0" t="s">
        <v>75</v>
      </c>
      <c r="E313" s="0" t="s">
        <v>799</v>
      </c>
      <c r="F313" s="0" t="n">
        <v>4</v>
      </c>
      <c r="G313" s="0" t="n">
        <v>3</v>
      </c>
      <c r="H313" s="0" t="s">
        <v>122</v>
      </c>
      <c r="I313" s="0" t="s">
        <v>272</v>
      </c>
      <c r="K313" s="0" t="s">
        <v>152</v>
      </c>
      <c r="L313" s="0" t="s">
        <v>800</v>
      </c>
    </row>
    <row r="314" customFormat="false" ht="15" hidden="false" customHeight="false" outlineLevel="0" collapsed="false">
      <c r="A314" s="0" t="s">
        <v>6</v>
      </c>
      <c r="B314" s="0" t="s">
        <v>154</v>
      </c>
      <c r="C314" s="0" t="s">
        <v>780</v>
      </c>
      <c r="D314" s="0" t="s">
        <v>78</v>
      </c>
      <c r="E314" s="0" t="s">
        <v>801</v>
      </c>
      <c r="F314" s="0" t="n">
        <v>4</v>
      </c>
      <c r="G314" s="0" t="n">
        <v>4</v>
      </c>
      <c r="H314" s="0" t="s">
        <v>117</v>
      </c>
      <c r="I314" s="0" t="s">
        <v>272</v>
      </c>
      <c r="K314" s="0" t="s">
        <v>156</v>
      </c>
      <c r="L314" s="0" t="s">
        <v>802</v>
      </c>
    </row>
    <row r="315" customFormat="false" ht="15" hidden="false" customHeight="false" outlineLevel="0" collapsed="false">
      <c r="A315" s="0" t="s">
        <v>6</v>
      </c>
      <c r="B315" s="0" t="s">
        <v>154</v>
      </c>
      <c r="C315" s="0" t="s">
        <v>780</v>
      </c>
      <c r="D315" s="0" t="s">
        <v>81</v>
      </c>
      <c r="E315" s="0" t="s">
        <v>803</v>
      </c>
      <c r="F315" s="0" t="n">
        <v>4</v>
      </c>
      <c r="G315" s="0" t="n">
        <v>4</v>
      </c>
      <c r="H315" s="0" t="s">
        <v>117</v>
      </c>
      <c r="I315" s="0" t="s">
        <v>235</v>
      </c>
      <c r="K315" s="0" t="s">
        <v>160</v>
      </c>
      <c r="L315" s="0" t="s">
        <v>804</v>
      </c>
    </row>
    <row r="316" customFormat="false" ht="15" hidden="false" customHeight="false" outlineLevel="0" collapsed="false">
      <c r="A316" s="0" t="s">
        <v>6</v>
      </c>
      <c r="B316" s="0" t="s">
        <v>154</v>
      </c>
      <c r="C316" s="0" t="s">
        <v>805</v>
      </c>
      <c r="D316" s="0" t="s">
        <v>528</v>
      </c>
      <c r="E316" s="0" t="s">
        <v>806</v>
      </c>
      <c r="F316" s="0" t="n">
        <v>0</v>
      </c>
      <c r="G316" s="0" t="n">
        <v>0</v>
      </c>
      <c r="H316" s="0" t="s">
        <v>117</v>
      </c>
      <c r="K316" s="0" t="s">
        <v>118</v>
      </c>
      <c r="L316" s="0" t="s">
        <v>807</v>
      </c>
    </row>
    <row r="317" customFormat="false" ht="15" hidden="false" customHeight="false" outlineLevel="0" collapsed="false">
      <c r="A317" s="0" t="s">
        <v>6</v>
      </c>
      <c r="B317" s="0" t="s">
        <v>154</v>
      </c>
      <c r="C317" s="0" t="s">
        <v>805</v>
      </c>
      <c r="D317" s="0" t="s">
        <v>531</v>
      </c>
      <c r="E317" s="0" t="s">
        <v>808</v>
      </c>
      <c r="F317" s="0" t="n">
        <v>4</v>
      </c>
      <c r="G317" s="0" t="n">
        <v>0</v>
      </c>
      <c r="H317" s="0" t="s">
        <v>122</v>
      </c>
      <c r="K317" s="0" t="s">
        <v>123</v>
      </c>
      <c r="L317" s="0" t="s">
        <v>809</v>
      </c>
    </row>
    <row r="318" customFormat="false" ht="15" hidden="false" customHeight="false" outlineLevel="0" collapsed="false">
      <c r="A318" s="0" t="s">
        <v>6</v>
      </c>
      <c r="B318" s="0" t="s">
        <v>154</v>
      </c>
      <c r="C318" s="0" t="s">
        <v>805</v>
      </c>
      <c r="D318" s="0" t="s">
        <v>534</v>
      </c>
      <c r="E318" s="0" t="s">
        <v>810</v>
      </c>
      <c r="F318" s="0" t="n">
        <v>4</v>
      </c>
      <c r="G318" s="0" t="n">
        <v>0</v>
      </c>
      <c r="H318" s="0" t="s">
        <v>122</v>
      </c>
      <c r="K318" s="0" t="s">
        <v>127</v>
      </c>
      <c r="L318" s="0" t="s">
        <v>811</v>
      </c>
    </row>
    <row r="319" customFormat="false" ht="15" hidden="false" customHeight="false" outlineLevel="0" collapsed="false">
      <c r="A319" s="0" t="s">
        <v>6</v>
      </c>
      <c r="B319" s="0" t="s">
        <v>154</v>
      </c>
      <c r="C319" s="0" t="s">
        <v>805</v>
      </c>
      <c r="D319" s="0" t="s">
        <v>52</v>
      </c>
      <c r="E319" s="0" t="s">
        <v>812</v>
      </c>
      <c r="F319" s="0" t="n">
        <v>4</v>
      </c>
      <c r="G319" s="0" t="n">
        <v>3</v>
      </c>
      <c r="H319" s="0" t="s">
        <v>122</v>
      </c>
      <c r="I319" s="0" t="s">
        <v>159</v>
      </c>
      <c r="K319" s="0" t="s">
        <v>132</v>
      </c>
      <c r="L319" s="0" t="s">
        <v>813</v>
      </c>
    </row>
    <row r="320" customFormat="false" ht="15" hidden="false" customHeight="false" outlineLevel="0" collapsed="false">
      <c r="A320" s="0" t="s">
        <v>6</v>
      </c>
      <c r="B320" s="0" t="s">
        <v>154</v>
      </c>
      <c r="C320" s="0" t="s">
        <v>805</v>
      </c>
      <c r="D320" s="0" t="s">
        <v>55</v>
      </c>
      <c r="E320" s="0" t="s">
        <v>814</v>
      </c>
      <c r="F320" s="0" t="n">
        <v>4</v>
      </c>
      <c r="G320" s="0" t="n">
        <v>3</v>
      </c>
      <c r="H320" s="0" t="s">
        <v>122</v>
      </c>
      <c r="I320" s="0" t="s">
        <v>272</v>
      </c>
      <c r="K320" s="0" t="s">
        <v>135</v>
      </c>
      <c r="L320" s="0" t="s">
        <v>815</v>
      </c>
    </row>
    <row r="321" customFormat="false" ht="15" hidden="false" customHeight="false" outlineLevel="0" collapsed="false">
      <c r="A321" s="0" t="s">
        <v>6</v>
      </c>
      <c r="B321" s="0" t="s">
        <v>154</v>
      </c>
      <c r="C321" s="0" t="s">
        <v>805</v>
      </c>
      <c r="D321" s="0" t="s">
        <v>58</v>
      </c>
      <c r="E321" s="0" t="s">
        <v>816</v>
      </c>
      <c r="F321" s="0" t="n">
        <v>0</v>
      </c>
      <c r="G321" s="0" t="n">
        <v>0</v>
      </c>
      <c r="H321" s="0" t="s">
        <v>117</v>
      </c>
      <c r="K321" s="0" t="s">
        <v>138</v>
      </c>
      <c r="L321" s="0" t="s">
        <v>817</v>
      </c>
    </row>
    <row r="322" customFormat="false" ht="15" hidden="false" customHeight="false" outlineLevel="0" collapsed="false">
      <c r="A322" s="0" t="s">
        <v>6</v>
      </c>
      <c r="B322" s="0" t="s">
        <v>154</v>
      </c>
      <c r="C322" s="0" t="s">
        <v>805</v>
      </c>
      <c r="D322" s="0" t="s">
        <v>65</v>
      </c>
      <c r="E322" s="0" t="s">
        <v>818</v>
      </c>
      <c r="F322" s="0" t="n">
        <v>4</v>
      </c>
      <c r="G322" s="0" t="n">
        <v>3</v>
      </c>
      <c r="H322" s="0" t="s">
        <v>122</v>
      </c>
      <c r="I322" s="0" t="s">
        <v>272</v>
      </c>
      <c r="K322" s="0" t="s">
        <v>143</v>
      </c>
      <c r="L322" s="0" t="s">
        <v>819</v>
      </c>
    </row>
    <row r="323" customFormat="false" ht="15" hidden="false" customHeight="false" outlineLevel="0" collapsed="false">
      <c r="A323" s="0" t="s">
        <v>6</v>
      </c>
      <c r="B323" s="0" t="s">
        <v>154</v>
      </c>
      <c r="C323" s="0" t="s">
        <v>805</v>
      </c>
      <c r="D323" s="0" t="s">
        <v>69</v>
      </c>
      <c r="E323" s="0" t="s">
        <v>820</v>
      </c>
      <c r="F323" s="0" t="n">
        <v>4</v>
      </c>
      <c r="G323" s="0" t="n">
        <v>2</v>
      </c>
      <c r="H323" s="0" t="s">
        <v>122</v>
      </c>
      <c r="I323" s="0" t="s">
        <v>235</v>
      </c>
      <c r="K323" s="0" t="s">
        <v>146</v>
      </c>
      <c r="L323" s="0" t="s">
        <v>821</v>
      </c>
    </row>
    <row r="324" customFormat="false" ht="15" hidden="false" customHeight="false" outlineLevel="0" collapsed="false">
      <c r="A324" s="0" t="s">
        <v>6</v>
      </c>
      <c r="B324" s="0" t="s">
        <v>154</v>
      </c>
      <c r="C324" s="0" t="s">
        <v>805</v>
      </c>
      <c r="D324" s="0" t="s">
        <v>72</v>
      </c>
      <c r="E324" s="0" t="s">
        <v>822</v>
      </c>
      <c r="F324" s="0" t="n">
        <v>4</v>
      </c>
      <c r="G324" s="0" t="n">
        <v>4</v>
      </c>
      <c r="H324" s="0" t="s">
        <v>117</v>
      </c>
      <c r="I324" s="0" t="s">
        <v>159</v>
      </c>
      <c r="K324" s="0" t="s">
        <v>149</v>
      </c>
      <c r="L324" s="0" t="s">
        <v>823</v>
      </c>
    </row>
    <row r="325" customFormat="false" ht="15" hidden="false" customHeight="false" outlineLevel="0" collapsed="false">
      <c r="A325" s="0" t="s">
        <v>6</v>
      </c>
      <c r="B325" s="0" t="s">
        <v>154</v>
      </c>
      <c r="C325" s="0" t="s">
        <v>805</v>
      </c>
      <c r="D325" s="0" t="s">
        <v>75</v>
      </c>
      <c r="E325" s="0" t="s">
        <v>824</v>
      </c>
      <c r="F325" s="0" t="n">
        <v>0</v>
      </c>
      <c r="G325" s="0" t="n">
        <v>3</v>
      </c>
      <c r="H325" s="0" t="s">
        <v>117</v>
      </c>
      <c r="I325" s="0" t="s">
        <v>235</v>
      </c>
      <c r="K325" s="0" t="s">
        <v>152</v>
      </c>
      <c r="L325" s="0" t="s">
        <v>825</v>
      </c>
    </row>
    <row r="326" customFormat="false" ht="15" hidden="false" customHeight="false" outlineLevel="0" collapsed="false">
      <c r="A326" s="0" t="s">
        <v>6</v>
      </c>
      <c r="B326" s="0" t="s">
        <v>154</v>
      </c>
      <c r="C326" s="0" t="s">
        <v>805</v>
      </c>
      <c r="D326" s="0" t="s">
        <v>78</v>
      </c>
      <c r="E326" s="0" t="s">
        <v>826</v>
      </c>
      <c r="F326" s="0" t="n">
        <v>4</v>
      </c>
      <c r="G326" s="0" t="n">
        <v>4</v>
      </c>
      <c r="H326" s="0" t="s">
        <v>117</v>
      </c>
      <c r="I326" s="0" t="s">
        <v>260</v>
      </c>
      <c r="K326" s="0" t="s">
        <v>156</v>
      </c>
      <c r="L326" s="0" t="s">
        <v>827</v>
      </c>
    </row>
    <row r="327" customFormat="false" ht="15" hidden="false" customHeight="false" outlineLevel="0" collapsed="false">
      <c r="A327" s="0" t="s">
        <v>6</v>
      </c>
      <c r="B327" s="0" t="s">
        <v>154</v>
      </c>
      <c r="C327" s="0" t="s">
        <v>805</v>
      </c>
      <c r="D327" s="0" t="s">
        <v>81</v>
      </c>
      <c r="E327" s="0" t="s">
        <v>828</v>
      </c>
      <c r="F327" s="0" t="n">
        <v>4</v>
      </c>
      <c r="G327" s="0" t="n">
        <v>4</v>
      </c>
      <c r="H327" s="0" t="s">
        <v>117</v>
      </c>
      <c r="I327" s="0" t="s">
        <v>272</v>
      </c>
      <c r="K327" s="0" t="s">
        <v>160</v>
      </c>
      <c r="L327" s="0" t="s">
        <v>829</v>
      </c>
    </row>
    <row r="328" customFormat="false" ht="15" hidden="false" customHeight="false" outlineLevel="0" collapsed="false">
      <c r="A328" s="0" t="s">
        <v>6</v>
      </c>
      <c r="B328" s="0" t="s">
        <v>154</v>
      </c>
      <c r="C328" s="0" t="s">
        <v>830</v>
      </c>
      <c r="D328" s="0" t="s">
        <v>528</v>
      </c>
      <c r="E328" s="0" t="s">
        <v>831</v>
      </c>
      <c r="F328" s="0" t="n">
        <v>0</v>
      </c>
      <c r="G328" s="0" t="n">
        <v>0</v>
      </c>
      <c r="H328" s="0" t="s">
        <v>117</v>
      </c>
      <c r="K328" s="0" t="s">
        <v>118</v>
      </c>
      <c r="L328" s="0" t="s">
        <v>832</v>
      </c>
    </row>
    <row r="329" customFormat="false" ht="15" hidden="false" customHeight="false" outlineLevel="0" collapsed="false">
      <c r="A329" s="0" t="s">
        <v>6</v>
      </c>
      <c r="B329" s="0" t="s">
        <v>154</v>
      </c>
      <c r="C329" s="0" t="s">
        <v>830</v>
      </c>
      <c r="D329" s="0" t="s">
        <v>531</v>
      </c>
      <c r="E329" s="0" t="s">
        <v>833</v>
      </c>
      <c r="F329" s="0" t="n">
        <v>4</v>
      </c>
      <c r="G329" s="0" t="n">
        <v>4</v>
      </c>
      <c r="H329" s="0" t="s">
        <v>117</v>
      </c>
      <c r="I329" s="0" t="s">
        <v>260</v>
      </c>
      <c r="K329" s="0" t="s">
        <v>123</v>
      </c>
      <c r="L329" s="0" t="s">
        <v>834</v>
      </c>
    </row>
    <row r="330" customFormat="false" ht="15" hidden="false" customHeight="false" outlineLevel="0" collapsed="false">
      <c r="A330" s="0" t="s">
        <v>6</v>
      </c>
      <c r="B330" s="0" t="s">
        <v>154</v>
      </c>
      <c r="C330" s="0" t="s">
        <v>830</v>
      </c>
      <c r="D330" s="0" t="s">
        <v>534</v>
      </c>
      <c r="E330" s="0" t="s">
        <v>835</v>
      </c>
      <c r="F330" s="0" t="n">
        <v>4</v>
      </c>
      <c r="G330" s="0" t="n">
        <v>3</v>
      </c>
      <c r="H330" s="0" t="s">
        <v>122</v>
      </c>
      <c r="I330" s="0" t="s">
        <v>260</v>
      </c>
      <c r="K330" s="0" t="s">
        <v>127</v>
      </c>
      <c r="L330" s="0" t="s">
        <v>836</v>
      </c>
    </row>
    <row r="331" customFormat="false" ht="15" hidden="false" customHeight="false" outlineLevel="0" collapsed="false">
      <c r="A331" s="0" t="s">
        <v>6</v>
      </c>
      <c r="B331" s="0" t="s">
        <v>154</v>
      </c>
      <c r="C331" s="0" t="s">
        <v>830</v>
      </c>
      <c r="D331" s="0" t="s">
        <v>52</v>
      </c>
      <c r="E331" s="0" t="s">
        <v>837</v>
      </c>
      <c r="F331" s="0" t="n">
        <v>4</v>
      </c>
      <c r="G331" s="0" t="n">
        <v>4</v>
      </c>
      <c r="H331" s="0" t="s">
        <v>117</v>
      </c>
      <c r="I331" s="0" t="s">
        <v>131</v>
      </c>
      <c r="K331" s="0" t="s">
        <v>132</v>
      </c>
      <c r="L331" s="0" t="s">
        <v>838</v>
      </c>
    </row>
    <row r="332" customFormat="false" ht="15" hidden="false" customHeight="false" outlineLevel="0" collapsed="false">
      <c r="A332" s="0" t="s">
        <v>6</v>
      </c>
      <c r="B332" s="0" t="s">
        <v>154</v>
      </c>
      <c r="C332" s="0" t="s">
        <v>830</v>
      </c>
      <c r="D332" s="0" t="s">
        <v>55</v>
      </c>
      <c r="E332" s="0" t="s">
        <v>839</v>
      </c>
      <c r="F332" s="0" t="n">
        <v>4</v>
      </c>
      <c r="G332" s="0" t="n">
        <v>4</v>
      </c>
      <c r="H332" s="0" t="s">
        <v>117</v>
      </c>
      <c r="I332" s="0" t="s">
        <v>235</v>
      </c>
      <c r="K332" s="0" t="s">
        <v>135</v>
      </c>
      <c r="L332" s="0" t="s">
        <v>840</v>
      </c>
    </row>
    <row r="333" customFormat="false" ht="15" hidden="false" customHeight="false" outlineLevel="0" collapsed="false">
      <c r="A333" s="0" t="s">
        <v>6</v>
      </c>
      <c r="B333" s="0" t="s">
        <v>154</v>
      </c>
      <c r="C333" s="0" t="s">
        <v>830</v>
      </c>
      <c r="D333" s="0" t="s">
        <v>58</v>
      </c>
      <c r="E333" s="0" t="s">
        <v>841</v>
      </c>
      <c r="F333" s="0" t="n">
        <v>4</v>
      </c>
      <c r="G333" s="0" t="n">
        <v>4</v>
      </c>
      <c r="H333" s="0" t="s">
        <v>117</v>
      </c>
      <c r="I333" s="0" t="s">
        <v>245</v>
      </c>
      <c r="K333" s="0" t="s">
        <v>138</v>
      </c>
      <c r="L333" s="0" t="s">
        <v>842</v>
      </c>
    </row>
    <row r="334" customFormat="false" ht="15" hidden="false" customHeight="false" outlineLevel="0" collapsed="false">
      <c r="A334" s="0" t="s">
        <v>6</v>
      </c>
      <c r="B334" s="0" t="s">
        <v>154</v>
      </c>
      <c r="C334" s="0" t="s">
        <v>830</v>
      </c>
      <c r="D334" s="0" t="s">
        <v>65</v>
      </c>
      <c r="E334" s="0" t="s">
        <v>843</v>
      </c>
      <c r="F334" s="0" t="n">
        <v>4</v>
      </c>
      <c r="G334" s="0" t="n">
        <v>3</v>
      </c>
      <c r="H334" s="0" t="s">
        <v>122</v>
      </c>
      <c r="I334" s="0" t="s">
        <v>245</v>
      </c>
      <c r="K334" s="0" t="s">
        <v>143</v>
      </c>
      <c r="L334" s="0" t="s">
        <v>844</v>
      </c>
    </row>
    <row r="335" customFormat="false" ht="15" hidden="false" customHeight="false" outlineLevel="0" collapsed="false">
      <c r="A335" s="0" t="s">
        <v>6</v>
      </c>
      <c r="B335" s="0" t="s">
        <v>154</v>
      </c>
      <c r="C335" s="0" t="s">
        <v>830</v>
      </c>
      <c r="D335" s="0" t="s">
        <v>69</v>
      </c>
      <c r="E335" s="0" t="s">
        <v>845</v>
      </c>
      <c r="F335" s="0" t="n">
        <v>4</v>
      </c>
      <c r="G335" s="0" t="n">
        <v>4</v>
      </c>
      <c r="H335" s="0" t="s">
        <v>117</v>
      </c>
      <c r="I335" s="0" t="s">
        <v>193</v>
      </c>
      <c r="K335" s="0" t="s">
        <v>146</v>
      </c>
      <c r="L335" s="0" t="s">
        <v>846</v>
      </c>
    </row>
    <row r="336" customFormat="false" ht="15" hidden="false" customHeight="false" outlineLevel="0" collapsed="false">
      <c r="A336" s="0" t="s">
        <v>6</v>
      </c>
      <c r="B336" s="0" t="s">
        <v>154</v>
      </c>
      <c r="C336" s="0" t="s">
        <v>830</v>
      </c>
      <c r="D336" s="0" t="s">
        <v>72</v>
      </c>
      <c r="E336" s="0" t="s">
        <v>847</v>
      </c>
      <c r="F336" s="0" t="n">
        <v>4</v>
      </c>
      <c r="G336" s="0" t="n">
        <v>4</v>
      </c>
      <c r="H336" s="0" t="s">
        <v>117</v>
      </c>
      <c r="I336" s="0" t="s">
        <v>245</v>
      </c>
      <c r="K336" s="0" t="s">
        <v>149</v>
      </c>
      <c r="L336" s="0" t="s">
        <v>848</v>
      </c>
    </row>
    <row r="337" customFormat="false" ht="15" hidden="false" customHeight="false" outlineLevel="0" collapsed="false">
      <c r="A337" s="0" t="s">
        <v>6</v>
      </c>
      <c r="B337" s="0" t="s">
        <v>154</v>
      </c>
      <c r="C337" s="0" t="s">
        <v>830</v>
      </c>
      <c r="D337" s="0" t="s">
        <v>75</v>
      </c>
      <c r="E337" s="0" t="s">
        <v>849</v>
      </c>
      <c r="F337" s="0" t="n">
        <v>4</v>
      </c>
      <c r="G337" s="0" t="n">
        <v>3</v>
      </c>
      <c r="H337" s="0" t="s">
        <v>122</v>
      </c>
      <c r="I337" s="0" t="s">
        <v>260</v>
      </c>
      <c r="K337" s="0" t="s">
        <v>152</v>
      </c>
      <c r="L337" s="0" t="s">
        <v>850</v>
      </c>
    </row>
    <row r="338" customFormat="false" ht="15" hidden="false" customHeight="false" outlineLevel="0" collapsed="false">
      <c r="A338" s="0" t="s">
        <v>6</v>
      </c>
      <c r="B338" s="0" t="s">
        <v>154</v>
      </c>
      <c r="C338" s="0" t="s">
        <v>830</v>
      </c>
      <c r="D338" s="0" t="s">
        <v>78</v>
      </c>
      <c r="E338" s="0" t="s">
        <v>851</v>
      </c>
      <c r="F338" s="0" t="n">
        <v>4</v>
      </c>
      <c r="G338" s="0" t="n">
        <v>3</v>
      </c>
      <c r="H338" s="0" t="s">
        <v>122</v>
      </c>
      <c r="I338" s="0" t="s">
        <v>170</v>
      </c>
      <c r="K338" s="0" t="s">
        <v>156</v>
      </c>
      <c r="L338" s="0" t="s">
        <v>852</v>
      </c>
    </row>
    <row r="339" customFormat="false" ht="15" hidden="false" customHeight="false" outlineLevel="0" collapsed="false">
      <c r="A339" s="0" t="s">
        <v>6</v>
      </c>
      <c r="B339" s="0" t="s">
        <v>154</v>
      </c>
      <c r="C339" s="0" t="s">
        <v>830</v>
      </c>
      <c r="D339" s="0" t="s">
        <v>81</v>
      </c>
      <c r="E339" s="0" t="s">
        <v>853</v>
      </c>
      <c r="F339" s="0" t="n">
        <v>4</v>
      </c>
      <c r="G339" s="0" t="n">
        <v>4</v>
      </c>
      <c r="H339" s="0" t="s">
        <v>117</v>
      </c>
      <c r="I339" s="0" t="s">
        <v>235</v>
      </c>
      <c r="K339" s="0" t="s">
        <v>160</v>
      </c>
      <c r="L339" s="0" t="s">
        <v>854</v>
      </c>
    </row>
    <row r="340" customFormat="false" ht="15" hidden="false" customHeight="false" outlineLevel="0" collapsed="false">
      <c r="A340" s="0" t="s">
        <v>6</v>
      </c>
      <c r="B340" s="0" t="s">
        <v>154</v>
      </c>
      <c r="C340" s="0" t="s">
        <v>855</v>
      </c>
      <c r="D340" s="0" t="s">
        <v>528</v>
      </c>
      <c r="E340" s="0" t="s">
        <v>856</v>
      </c>
      <c r="F340" s="0" t="n">
        <v>0</v>
      </c>
      <c r="G340" s="0" t="n">
        <v>0</v>
      </c>
      <c r="H340" s="0" t="s">
        <v>117</v>
      </c>
      <c r="K340" s="0" t="s">
        <v>118</v>
      </c>
      <c r="L340" s="0" t="s">
        <v>857</v>
      </c>
    </row>
    <row r="341" customFormat="false" ht="15" hidden="false" customHeight="false" outlineLevel="0" collapsed="false">
      <c r="A341" s="0" t="s">
        <v>6</v>
      </c>
      <c r="B341" s="0" t="s">
        <v>154</v>
      </c>
      <c r="C341" s="0" t="s">
        <v>855</v>
      </c>
      <c r="D341" s="0" t="s">
        <v>531</v>
      </c>
      <c r="E341" s="0" t="s">
        <v>858</v>
      </c>
      <c r="F341" s="0" t="n">
        <v>4</v>
      </c>
      <c r="G341" s="0" t="n">
        <v>4</v>
      </c>
      <c r="H341" s="0" t="s">
        <v>117</v>
      </c>
      <c r="I341" s="0" t="s">
        <v>260</v>
      </c>
      <c r="K341" s="0" t="s">
        <v>123</v>
      </c>
      <c r="L341" s="0" t="s">
        <v>859</v>
      </c>
    </row>
    <row r="342" customFormat="false" ht="15" hidden="false" customHeight="false" outlineLevel="0" collapsed="false">
      <c r="A342" s="0" t="s">
        <v>6</v>
      </c>
      <c r="B342" s="0" t="s">
        <v>154</v>
      </c>
      <c r="C342" s="0" t="s">
        <v>855</v>
      </c>
      <c r="D342" s="0" t="s">
        <v>534</v>
      </c>
      <c r="E342" s="0" t="s">
        <v>860</v>
      </c>
      <c r="F342" s="0" t="n">
        <v>4</v>
      </c>
      <c r="G342" s="0" t="n">
        <v>3</v>
      </c>
      <c r="H342" s="0" t="s">
        <v>122</v>
      </c>
      <c r="I342" s="0" t="s">
        <v>272</v>
      </c>
      <c r="K342" s="0" t="s">
        <v>127</v>
      </c>
      <c r="L342" s="0" t="s">
        <v>861</v>
      </c>
    </row>
    <row r="343" customFormat="false" ht="15" hidden="false" customHeight="false" outlineLevel="0" collapsed="false">
      <c r="A343" s="0" t="s">
        <v>6</v>
      </c>
      <c r="B343" s="0" t="s">
        <v>154</v>
      </c>
      <c r="C343" s="0" t="s">
        <v>855</v>
      </c>
      <c r="D343" s="0" t="s">
        <v>52</v>
      </c>
      <c r="E343" s="0" t="s">
        <v>862</v>
      </c>
      <c r="F343" s="0" t="n">
        <v>4</v>
      </c>
      <c r="G343" s="0" t="n">
        <v>4</v>
      </c>
      <c r="H343" s="0" t="s">
        <v>117</v>
      </c>
      <c r="I343" s="0" t="s">
        <v>235</v>
      </c>
      <c r="K343" s="0" t="s">
        <v>132</v>
      </c>
      <c r="L343" s="0" t="s">
        <v>863</v>
      </c>
    </row>
    <row r="344" customFormat="false" ht="15" hidden="false" customHeight="false" outlineLevel="0" collapsed="false">
      <c r="A344" s="0" t="s">
        <v>6</v>
      </c>
      <c r="B344" s="0" t="s">
        <v>154</v>
      </c>
      <c r="C344" s="0" t="s">
        <v>855</v>
      </c>
      <c r="D344" s="0" t="s">
        <v>55</v>
      </c>
      <c r="E344" s="0" t="s">
        <v>864</v>
      </c>
      <c r="F344" s="0" t="n">
        <v>4</v>
      </c>
      <c r="G344" s="0" t="n">
        <v>4</v>
      </c>
      <c r="H344" s="0" t="s">
        <v>117</v>
      </c>
      <c r="I344" s="0" t="s">
        <v>193</v>
      </c>
      <c r="K344" s="0" t="s">
        <v>135</v>
      </c>
      <c r="L344" s="0" t="s">
        <v>865</v>
      </c>
    </row>
    <row r="345" customFormat="false" ht="15" hidden="false" customHeight="false" outlineLevel="0" collapsed="false">
      <c r="A345" s="0" t="s">
        <v>6</v>
      </c>
      <c r="B345" s="0" t="s">
        <v>154</v>
      </c>
      <c r="C345" s="0" t="s">
        <v>855</v>
      </c>
      <c r="D345" s="0" t="s">
        <v>58</v>
      </c>
      <c r="E345" s="0" t="s">
        <v>866</v>
      </c>
      <c r="F345" s="0" t="n">
        <v>4</v>
      </c>
      <c r="G345" s="0" t="n">
        <v>4</v>
      </c>
      <c r="H345" s="0" t="s">
        <v>117</v>
      </c>
      <c r="I345" s="0" t="s">
        <v>170</v>
      </c>
      <c r="K345" s="0" t="s">
        <v>138</v>
      </c>
      <c r="L345" s="0" t="s">
        <v>867</v>
      </c>
    </row>
    <row r="346" customFormat="false" ht="15" hidden="false" customHeight="false" outlineLevel="0" collapsed="false">
      <c r="A346" s="0" t="s">
        <v>6</v>
      </c>
      <c r="B346" s="0" t="s">
        <v>154</v>
      </c>
      <c r="C346" s="0" t="s">
        <v>855</v>
      </c>
      <c r="D346" s="0" t="s">
        <v>65</v>
      </c>
      <c r="E346" s="0" t="s">
        <v>868</v>
      </c>
      <c r="F346" s="0" t="n">
        <v>4</v>
      </c>
      <c r="G346" s="0" t="n">
        <v>4</v>
      </c>
      <c r="H346" s="0" t="s">
        <v>117</v>
      </c>
      <c r="I346" s="0" t="s">
        <v>159</v>
      </c>
      <c r="K346" s="0" t="s">
        <v>143</v>
      </c>
      <c r="L346" s="0" t="s">
        <v>869</v>
      </c>
    </row>
    <row r="347" customFormat="false" ht="15" hidden="false" customHeight="false" outlineLevel="0" collapsed="false">
      <c r="A347" s="0" t="s">
        <v>6</v>
      </c>
      <c r="B347" s="0" t="s">
        <v>154</v>
      </c>
      <c r="C347" s="0" t="s">
        <v>855</v>
      </c>
      <c r="D347" s="0" t="s">
        <v>69</v>
      </c>
      <c r="E347" s="0" t="s">
        <v>870</v>
      </c>
      <c r="F347" s="0" t="n">
        <v>4</v>
      </c>
      <c r="G347" s="0" t="n">
        <v>4</v>
      </c>
      <c r="H347" s="0" t="s">
        <v>117</v>
      </c>
      <c r="I347" s="0" t="s">
        <v>235</v>
      </c>
      <c r="K347" s="0" t="s">
        <v>146</v>
      </c>
      <c r="L347" s="0" t="s">
        <v>871</v>
      </c>
    </row>
    <row r="348" customFormat="false" ht="15" hidden="false" customHeight="false" outlineLevel="0" collapsed="false">
      <c r="A348" s="0" t="s">
        <v>6</v>
      </c>
      <c r="B348" s="0" t="s">
        <v>154</v>
      </c>
      <c r="C348" s="0" t="s">
        <v>855</v>
      </c>
      <c r="D348" s="0" t="s">
        <v>72</v>
      </c>
      <c r="E348" s="0" t="s">
        <v>872</v>
      </c>
      <c r="F348" s="0" t="n">
        <v>4</v>
      </c>
      <c r="G348" s="0" t="n">
        <v>4</v>
      </c>
      <c r="H348" s="0" t="s">
        <v>117</v>
      </c>
      <c r="I348" s="0" t="s">
        <v>260</v>
      </c>
      <c r="K348" s="0" t="s">
        <v>149</v>
      </c>
      <c r="L348" s="0" t="s">
        <v>873</v>
      </c>
    </row>
    <row r="349" customFormat="false" ht="15" hidden="false" customHeight="false" outlineLevel="0" collapsed="false">
      <c r="A349" s="0" t="s">
        <v>6</v>
      </c>
      <c r="B349" s="0" t="s">
        <v>154</v>
      </c>
      <c r="C349" s="0" t="s">
        <v>855</v>
      </c>
      <c r="D349" s="0" t="s">
        <v>75</v>
      </c>
      <c r="E349" s="0" t="s">
        <v>874</v>
      </c>
      <c r="F349" s="0" t="n">
        <v>4</v>
      </c>
      <c r="G349" s="0" t="n">
        <v>4</v>
      </c>
      <c r="H349" s="0" t="s">
        <v>117</v>
      </c>
      <c r="I349" s="0" t="s">
        <v>245</v>
      </c>
      <c r="K349" s="0" t="s">
        <v>152</v>
      </c>
      <c r="L349" s="0" t="s">
        <v>875</v>
      </c>
    </row>
    <row r="350" customFormat="false" ht="15" hidden="false" customHeight="false" outlineLevel="0" collapsed="false">
      <c r="A350" s="0" t="s">
        <v>6</v>
      </c>
      <c r="B350" s="0" t="s">
        <v>154</v>
      </c>
      <c r="C350" s="0" t="s">
        <v>855</v>
      </c>
      <c r="D350" s="0" t="s">
        <v>78</v>
      </c>
      <c r="E350" s="0" t="s">
        <v>876</v>
      </c>
      <c r="F350" s="0" t="n">
        <v>4</v>
      </c>
      <c r="G350" s="0" t="n">
        <v>4</v>
      </c>
      <c r="H350" s="0" t="s">
        <v>117</v>
      </c>
      <c r="I350" s="0" t="s">
        <v>272</v>
      </c>
      <c r="K350" s="0" t="s">
        <v>156</v>
      </c>
      <c r="L350" s="0" t="s">
        <v>877</v>
      </c>
    </row>
    <row r="351" customFormat="false" ht="15" hidden="false" customHeight="false" outlineLevel="0" collapsed="false">
      <c r="A351" s="0" t="s">
        <v>6</v>
      </c>
      <c r="B351" s="0" t="s">
        <v>154</v>
      </c>
      <c r="C351" s="0" t="s">
        <v>855</v>
      </c>
      <c r="D351" s="0" t="s">
        <v>81</v>
      </c>
      <c r="E351" s="0" t="s">
        <v>878</v>
      </c>
      <c r="F351" s="0" t="n">
        <v>4</v>
      </c>
      <c r="G351" s="0" t="n">
        <v>2</v>
      </c>
      <c r="H351" s="0" t="s">
        <v>122</v>
      </c>
      <c r="I351" s="0" t="s">
        <v>879</v>
      </c>
      <c r="K351" s="0" t="s">
        <v>160</v>
      </c>
      <c r="L351" s="0" t="s">
        <v>880</v>
      </c>
    </row>
    <row r="352" customFormat="false" ht="15" hidden="false" customHeight="false" outlineLevel="0" collapsed="false">
      <c r="A352" s="0" t="s">
        <v>6</v>
      </c>
      <c r="C352" s="0" t="s">
        <v>881</v>
      </c>
      <c r="D352" s="0" t="s">
        <v>528</v>
      </c>
      <c r="E352" s="0" t="s">
        <v>882</v>
      </c>
      <c r="F352" s="0" t="n">
        <v>0</v>
      </c>
      <c r="G352" s="0" t="n">
        <v>0</v>
      </c>
      <c r="H352" s="0" t="s">
        <v>117</v>
      </c>
      <c r="K352" s="0" t="s">
        <v>118</v>
      </c>
      <c r="L352" s="0" t="s">
        <v>883</v>
      </c>
    </row>
    <row r="353" customFormat="false" ht="15" hidden="false" customHeight="false" outlineLevel="0" collapsed="false">
      <c r="A353" s="0" t="s">
        <v>6</v>
      </c>
      <c r="C353" s="0" t="s">
        <v>881</v>
      </c>
      <c r="D353" s="0" t="s">
        <v>531</v>
      </c>
      <c r="E353" s="0" t="s">
        <v>884</v>
      </c>
      <c r="F353" s="0" t="n">
        <v>4</v>
      </c>
      <c r="G353" s="0" t="n">
        <v>0</v>
      </c>
      <c r="H353" s="0" t="s">
        <v>122</v>
      </c>
      <c r="K353" s="0" t="s">
        <v>123</v>
      </c>
      <c r="L353" s="0" t="s">
        <v>885</v>
      </c>
    </row>
    <row r="354" customFormat="false" ht="15" hidden="false" customHeight="false" outlineLevel="0" collapsed="false">
      <c r="A354" s="0" t="s">
        <v>6</v>
      </c>
      <c r="C354" s="0" t="s">
        <v>881</v>
      </c>
      <c r="D354" s="0" t="s">
        <v>534</v>
      </c>
      <c r="E354" s="0" t="s">
        <v>886</v>
      </c>
      <c r="F354" s="0" t="n">
        <v>4</v>
      </c>
      <c r="G354" s="0" t="n">
        <v>0</v>
      </c>
      <c r="H354" s="0" t="s">
        <v>122</v>
      </c>
      <c r="K354" s="0" t="s">
        <v>127</v>
      </c>
      <c r="L354" s="0" t="s">
        <v>887</v>
      </c>
    </row>
    <row r="355" customFormat="false" ht="15" hidden="false" customHeight="false" outlineLevel="0" collapsed="false">
      <c r="A355" s="0" t="s">
        <v>6</v>
      </c>
      <c r="C355" s="0" t="s">
        <v>881</v>
      </c>
      <c r="D355" s="0" t="s">
        <v>52</v>
      </c>
      <c r="E355" s="0" t="s">
        <v>888</v>
      </c>
      <c r="F355" s="0" t="n">
        <v>4</v>
      </c>
      <c r="G355" s="0" t="n">
        <v>0</v>
      </c>
      <c r="H355" s="0" t="s">
        <v>122</v>
      </c>
      <c r="K355" s="0" t="s">
        <v>132</v>
      </c>
      <c r="L355" s="0" t="s">
        <v>889</v>
      </c>
    </row>
    <row r="356" customFormat="false" ht="15" hidden="false" customHeight="false" outlineLevel="0" collapsed="false">
      <c r="A356" s="0" t="s">
        <v>6</v>
      </c>
      <c r="C356" s="0" t="s">
        <v>881</v>
      </c>
      <c r="D356" s="0" t="s">
        <v>55</v>
      </c>
      <c r="E356" s="0" t="s">
        <v>890</v>
      </c>
      <c r="F356" s="0" t="n">
        <v>4</v>
      </c>
      <c r="G356" s="0" t="n">
        <v>0</v>
      </c>
      <c r="H356" s="0" t="s">
        <v>122</v>
      </c>
      <c r="K356" s="0" t="s">
        <v>135</v>
      </c>
      <c r="L356" s="0" t="s">
        <v>891</v>
      </c>
    </row>
    <row r="357" customFormat="false" ht="15" hidden="false" customHeight="false" outlineLevel="0" collapsed="false">
      <c r="A357" s="0" t="s">
        <v>6</v>
      </c>
      <c r="C357" s="0" t="s">
        <v>881</v>
      </c>
      <c r="D357" s="0" t="s">
        <v>58</v>
      </c>
      <c r="E357" s="0" t="s">
        <v>892</v>
      </c>
      <c r="F357" s="0" t="n">
        <v>0</v>
      </c>
      <c r="G357" s="0" t="n">
        <v>0</v>
      </c>
      <c r="H357" s="0" t="s">
        <v>117</v>
      </c>
      <c r="K357" s="0" t="s">
        <v>138</v>
      </c>
      <c r="L357" s="0" t="s">
        <v>893</v>
      </c>
    </row>
    <row r="358" customFormat="false" ht="15" hidden="false" customHeight="false" outlineLevel="0" collapsed="false">
      <c r="A358" s="0" t="s">
        <v>6</v>
      </c>
      <c r="C358" s="0" t="s">
        <v>881</v>
      </c>
      <c r="D358" s="0" t="s">
        <v>65</v>
      </c>
      <c r="E358" s="0" t="s">
        <v>894</v>
      </c>
      <c r="F358" s="0" t="n">
        <v>4</v>
      </c>
      <c r="G358" s="0" t="n">
        <v>0</v>
      </c>
      <c r="H358" s="0" t="s">
        <v>122</v>
      </c>
      <c r="K358" s="0" t="s">
        <v>143</v>
      </c>
      <c r="L358" s="0" t="s">
        <v>895</v>
      </c>
    </row>
    <row r="359" customFormat="false" ht="15" hidden="false" customHeight="false" outlineLevel="0" collapsed="false">
      <c r="A359" s="0" t="s">
        <v>6</v>
      </c>
      <c r="B359" s="0" t="s">
        <v>140</v>
      </c>
      <c r="C359" s="0" t="s">
        <v>881</v>
      </c>
      <c r="D359" s="0" t="s">
        <v>69</v>
      </c>
      <c r="E359" s="0" t="s">
        <v>896</v>
      </c>
      <c r="F359" s="0" t="n">
        <v>4</v>
      </c>
      <c r="G359" s="0" t="n">
        <v>3</v>
      </c>
      <c r="H359" s="0" t="s">
        <v>122</v>
      </c>
      <c r="I359" s="0" t="s">
        <v>235</v>
      </c>
      <c r="K359" s="0" t="s">
        <v>146</v>
      </c>
      <c r="L359" s="0" t="s">
        <v>897</v>
      </c>
    </row>
    <row r="360" customFormat="false" ht="15" hidden="false" customHeight="false" outlineLevel="0" collapsed="false">
      <c r="A360" s="0" t="s">
        <v>6</v>
      </c>
      <c r="B360" s="0" t="s">
        <v>154</v>
      </c>
      <c r="C360" s="0" t="s">
        <v>881</v>
      </c>
      <c r="D360" s="0" t="s">
        <v>72</v>
      </c>
      <c r="E360" s="0" t="s">
        <v>898</v>
      </c>
      <c r="F360" s="0" t="n">
        <v>4</v>
      </c>
      <c r="G360" s="0" t="n">
        <v>4</v>
      </c>
      <c r="H360" s="0" t="s">
        <v>117</v>
      </c>
      <c r="I360" s="0" t="s">
        <v>260</v>
      </c>
      <c r="K360" s="0" t="s">
        <v>149</v>
      </c>
      <c r="L360" s="0" t="s">
        <v>899</v>
      </c>
    </row>
    <row r="361" customFormat="false" ht="15" hidden="false" customHeight="false" outlineLevel="0" collapsed="false">
      <c r="A361" s="0" t="s">
        <v>6</v>
      </c>
      <c r="B361" s="0" t="s">
        <v>154</v>
      </c>
      <c r="C361" s="0" t="s">
        <v>881</v>
      </c>
      <c r="D361" s="0" t="s">
        <v>75</v>
      </c>
      <c r="E361" s="0" t="s">
        <v>900</v>
      </c>
      <c r="F361" s="0" t="n">
        <v>4</v>
      </c>
      <c r="G361" s="0" t="n">
        <v>4</v>
      </c>
      <c r="H361" s="0" t="s">
        <v>117</v>
      </c>
      <c r="I361" s="0" t="s">
        <v>159</v>
      </c>
      <c r="K361" s="0" t="s">
        <v>152</v>
      </c>
      <c r="L361" s="0" t="s">
        <v>901</v>
      </c>
    </row>
    <row r="362" customFormat="false" ht="15" hidden="false" customHeight="false" outlineLevel="0" collapsed="false">
      <c r="A362" s="0" t="s">
        <v>6</v>
      </c>
      <c r="B362" s="0" t="s">
        <v>154</v>
      </c>
      <c r="C362" s="0" t="s">
        <v>881</v>
      </c>
      <c r="D362" s="0" t="s">
        <v>78</v>
      </c>
      <c r="E362" s="0" t="s">
        <v>902</v>
      </c>
      <c r="F362" s="0" t="n">
        <v>4</v>
      </c>
      <c r="G362" s="0" t="n">
        <v>2</v>
      </c>
      <c r="H362" s="0" t="s">
        <v>122</v>
      </c>
      <c r="I362" s="0" t="s">
        <v>235</v>
      </c>
      <c r="K362" s="0" t="s">
        <v>156</v>
      </c>
      <c r="L362" s="0" t="s">
        <v>903</v>
      </c>
    </row>
    <row r="363" customFormat="false" ht="15" hidden="false" customHeight="false" outlineLevel="0" collapsed="false">
      <c r="A363" s="0" t="s">
        <v>6</v>
      </c>
      <c r="B363" s="0" t="s">
        <v>154</v>
      </c>
      <c r="C363" s="0" t="s">
        <v>881</v>
      </c>
      <c r="D363" s="0" t="s">
        <v>81</v>
      </c>
      <c r="E363" s="0" t="s">
        <v>904</v>
      </c>
      <c r="F363" s="0" t="n">
        <v>4</v>
      </c>
      <c r="G363" s="0" t="n">
        <v>4</v>
      </c>
      <c r="H363" s="0" t="s">
        <v>117</v>
      </c>
      <c r="I363" s="0" t="s">
        <v>131</v>
      </c>
      <c r="K363" s="0" t="s">
        <v>160</v>
      </c>
      <c r="L363" s="0" t="s">
        <v>905</v>
      </c>
    </row>
    <row r="364" customFormat="false" ht="15" hidden="false" customHeight="false" outlineLevel="0" collapsed="false">
      <c r="A364" s="0" t="s">
        <v>6</v>
      </c>
      <c r="C364" s="0" t="s">
        <v>906</v>
      </c>
      <c r="D364" s="0" t="s">
        <v>528</v>
      </c>
      <c r="E364" s="0" t="s">
        <v>907</v>
      </c>
      <c r="F364" s="0" t="n">
        <v>0</v>
      </c>
      <c r="G364" s="0" t="n">
        <v>0</v>
      </c>
      <c r="H364" s="0" t="s">
        <v>117</v>
      </c>
      <c r="K364" s="0" t="s">
        <v>118</v>
      </c>
      <c r="L364" s="0" t="s">
        <v>908</v>
      </c>
    </row>
    <row r="365" customFormat="false" ht="15" hidden="false" customHeight="false" outlineLevel="0" collapsed="false">
      <c r="A365" s="0" t="s">
        <v>6</v>
      </c>
      <c r="C365" s="0" t="s">
        <v>906</v>
      </c>
      <c r="D365" s="0" t="s">
        <v>531</v>
      </c>
      <c r="E365" s="0" t="s">
        <v>909</v>
      </c>
      <c r="F365" s="0" t="n">
        <v>4</v>
      </c>
      <c r="G365" s="0" t="n">
        <v>0</v>
      </c>
      <c r="H365" s="0" t="s">
        <v>122</v>
      </c>
      <c r="K365" s="0" t="s">
        <v>123</v>
      </c>
      <c r="L365" s="0" t="s">
        <v>910</v>
      </c>
    </row>
    <row r="366" customFormat="false" ht="15" hidden="false" customHeight="false" outlineLevel="0" collapsed="false">
      <c r="A366" s="0" t="s">
        <v>6</v>
      </c>
      <c r="C366" s="0" t="s">
        <v>906</v>
      </c>
      <c r="D366" s="0" t="s">
        <v>534</v>
      </c>
      <c r="E366" s="0" t="s">
        <v>911</v>
      </c>
      <c r="F366" s="0" t="n">
        <v>4</v>
      </c>
      <c r="G366" s="0" t="n">
        <v>0</v>
      </c>
      <c r="H366" s="0" t="s">
        <v>122</v>
      </c>
      <c r="K366" s="0" t="s">
        <v>127</v>
      </c>
      <c r="L366" s="0" t="s">
        <v>912</v>
      </c>
    </row>
    <row r="367" customFormat="false" ht="15" hidden="false" customHeight="false" outlineLevel="0" collapsed="false">
      <c r="A367" s="0" t="s">
        <v>6</v>
      </c>
      <c r="C367" s="0" t="s">
        <v>906</v>
      </c>
      <c r="D367" s="0" t="s">
        <v>52</v>
      </c>
      <c r="E367" s="0" t="s">
        <v>913</v>
      </c>
      <c r="F367" s="0" t="n">
        <v>4</v>
      </c>
      <c r="G367" s="0" t="n">
        <v>0</v>
      </c>
      <c r="H367" s="0" t="s">
        <v>122</v>
      </c>
      <c r="K367" s="0" t="s">
        <v>132</v>
      </c>
      <c r="L367" s="0" t="s">
        <v>914</v>
      </c>
    </row>
    <row r="368" customFormat="false" ht="15" hidden="false" customHeight="false" outlineLevel="0" collapsed="false">
      <c r="A368" s="0" t="s">
        <v>6</v>
      </c>
      <c r="C368" s="0" t="s">
        <v>906</v>
      </c>
      <c r="D368" s="0" t="s">
        <v>55</v>
      </c>
      <c r="E368" s="0" t="s">
        <v>915</v>
      </c>
      <c r="F368" s="0" t="n">
        <v>4</v>
      </c>
      <c r="G368" s="0" t="n">
        <v>0</v>
      </c>
      <c r="H368" s="0" t="s">
        <v>122</v>
      </c>
      <c r="K368" s="0" t="s">
        <v>135</v>
      </c>
      <c r="L368" s="0" t="s">
        <v>916</v>
      </c>
    </row>
    <row r="369" customFormat="false" ht="15" hidden="false" customHeight="false" outlineLevel="0" collapsed="false">
      <c r="A369" s="0" t="s">
        <v>6</v>
      </c>
      <c r="C369" s="0" t="s">
        <v>906</v>
      </c>
      <c r="D369" s="0" t="s">
        <v>58</v>
      </c>
      <c r="E369" s="0" t="s">
        <v>917</v>
      </c>
      <c r="F369" s="0" t="n">
        <v>0</v>
      </c>
      <c r="G369" s="0" t="n">
        <v>0</v>
      </c>
      <c r="H369" s="0" t="s">
        <v>117</v>
      </c>
      <c r="K369" s="0" t="s">
        <v>138</v>
      </c>
      <c r="L369" s="0" t="s">
        <v>918</v>
      </c>
    </row>
    <row r="370" customFormat="false" ht="15" hidden="false" customHeight="false" outlineLevel="0" collapsed="false">
      <c r="A370" s="0" t="s">
        <v>6</v>
      </c>
      <c r="C370" s="0" t="s">
        <v>906</v>
      </c>
      <c r="D370" s="0" t="s">
        <v>65</v>
      </c>
      <c r="E370" s="0" t="s">
        <v>919</v>
      </c>
      <c r="F370" s="0" t="n">
        <v>4</v>
      </c>
      <c r="G370" s="0" t="n">
        <v>0</v>
      </c>
      <c r="H370" s="0" t="s">
        <v>122</v>
      </c>
      <c r="K370" s="0" t="s">
        <v>143</v>
      </c>
      <c r="L370" s="0" t="s">
        <v>920</v>
      </c>
    </row>
    <row r="371" customFormat="false" ht="15" hidden="false" customHeight="false" outlineLevel="0" collapsed="false">
      <c r="A371" s="0" t="s">
        <v>6</v>
      </c>
      <c r="B371" s="0" t="s">
        <v>140</v>
      </c>
      <c r="C371" s="0" t="s">
        <v>906</v>
      </c>
      <c r="D371" s="0" t="s">
        <v>69</v>
      </c>
      <c r="E371" s="0" t="s">
        <v>921</v>
      </c>
      <c r="F371" s="0" t="n">
        <v>4</v>
      </c>
      <c r="G371" s="0" t="n">
        <v>3</v>
      </c>
      <c r="H371" s="0" t="s">
        <v>122</v>
      </c>
      <c r="I371" s="0" t="s">
        <v>181</v>
      </c>
      <c r="K371" s="0" t="s">
        <v>146</v>
      </c>
      <c r="L371" s="0" t="s">
        <v>922</v>
      </c>
    </row>
    <row r="372" customFormat="false" ht="15" hidden="false" customHeight="false" outlineLevel="0" collapsed="false">
      <c r="A372" s="0" t="s">
        <v>6</v>
      </c>
      <c r="C372" s="0" t="s">
        <v>906</v>
      </c>
      <c r="D372" s="0" t="s">
        <v>72</v>
      </c>
      <c r="E372" s="0" t="s">
        <v>923</v>
      </c>
      <c r="F372" s="0" t="n">
        <v>4</v>
      </c>
      <c r="G372" s="0" t="n">
        <v>0</v>
      </c>
      <c r="H372" s="0" t="s">
        <v>122</v>
      </c>
      <c r="K372" s="0" t="s">
        <v>149</v>
      </c>
      <c r="L372" s="0" t="s">
        <v>924</v>
      </c>
    </row>
    <row r="373" customFormat="false" ht="15" hidden="false" customHeight="false" outlineLevel="0" collapsed="false">
      <c r="A373" s="0" t="s">
        <v>6</v>
      </c>
      <c r="B373" s="0" t="s">
        <v>140</v>
      </c>
      <c r="C373" s="0" t="s">
        <v>906</v>
      </c>
      <c r="D373" s="0" t="s">
        <v>75</v>
      </c>
      <c r="E373" s="0" t="s">
        <v>925</v>
      </c>
      <c r="F373" s="0" t="n">
        <v>4</v>
      </c>
      <c r="G373" s="0" t="n">
        <v>2</v>
      </c>
      <c r="H373" s="0" t="s">
        <v>122</v>
      </c>
      <c r="I373" s="0" t="s">
        <v>131</v>
      </c>
      <c r="K373" s="0" t="s">
        <v>152</v>
      </c>
      <c r="L373" s="0" t="s">
        <v>926</v>
      </c>
    </row>
    <row r="374" customFormat="false" ht="15" hidden="false" customHeight="false" outlineLevel="0" collapsed="false">
      <c r="A374" s="0" t="s">
        <v>6</v>
      </c>
      <c r="B374" s="0" t="s">
        <v>154</v>
      </c>
      <c r="C374" s="0" t="s">
        <v>906</v>
      </c>
      <c r="D374" s="0" t="s">
        <v>78</v>
      </c>
      <c r="E374" s="0" t="s">
        <v>927</v>
      </c>
      <c r="F374" s="0" t="n">
        <v>4</v>
      </c>
      <c r="G374" s="0" t="n">
        <v>4</v>
      </c>
      <c r="H374" s="0" t="s">
        <v>117</v>
      </c>
      <c r="I374" s="0" t="s">
        <v>181</v>
      </c>
      <c r="K374" s="0" t="s">
        <v>156</v>
      </c>
      <c r="L374" s="0" t="s">
        <v>928</v>
      </c>
    </row>
    <row r="375" customFormat="false" ht="15" hidden="false" customHeight="false" outlineLevel="0" collapsed="false">
      <c r="A375" s="0" t="s">
        <v>6</v>
      </c>
      <c r="B375" s="0" t="s">
        <v>140</v>
      </c>
      <c r="C375" s="0" t="s">
        <v>906</v>
      </c>
      <c r="D375" s="0" t="s">
        <v>81</v>
      </c>
      <c r="E375" s="0" t="s">
        <v>929</v>
      </c>
      <c r="F375" s="0" t="n">
        <v>4</v>
      </c>
      <c r="G375" s="0" t="n">
        <v>4</v>
      </c>
      <c r="H375" s="0" t="s">
        <v>117</v>
      </c>
      <c r="I375" s="0" t="s">
        <v>260</v>
      </c>
      <c r="K375" s="0" t="s">
        <v>160</v>
      </c>
      <c r="L375" s="0" t="s">
        <v>930</v>
      </c>
    </row>
    <row r="376" customFormat="false" ht="15" hidden="false" customHeight="false" outlineLevel="0" collapsed="false">
      <c r="A376" s="0" t="s">
        <v>6</v>
      </c>
      <c r="C376" s="0" t="s">
        <v>931</v>
      </c>
      <c r="D376" s="0" t="s">
        <v>528</v>
      </c>
      <c r="E376" s="0" t="s">
        <v>932</v>
      </c>
      <c r="F376" s="0" t="n">
        <v>0</v>
      </c>
      <c r="G376" s="0" t="n">
        <v>0</v>
      </c>
      <c r="H376" s="0" t="s">
        <v>117</v>
      </c>
      <c r="K376" s="0" t="s">
        <v>118</v>
      </c>
      <c r="L376" s="0" t="s">
        <v>933</v>
      </c>
    </row>
    <row r="377" customFormat="false" ht="15" hidden="false" customHeight="false" outlineLevel="0" collapsed="false">
      <c r="A377" s="0" t="s">
        <v>6</v>
      </c>
      <c r="C377" s="0" t="s">
        <v>931</v>
      </c>
      <c r="D377" s="0" t="s">
        <v>531</v>
      </c>
      <c r="E377" s="0" t="s">
        <v>934</v>
      </c>
      <c r="F377" s="0" t="n">
        <v>4</v>
      </c>
      <c r="G377" s="0" t="n">
        <v>0</v>
      </c>
      <c r="H377" s="0" t="s">
        <v>122</v>
      </c>
      <c r="K377" s="0" t="s">
        <v>123</v>
      </c>
      <c r="L377" s="0" t="s">
        <v>935</v>
      </c>
    </row>
    <row r="378" customFormat="false" ht="15" hidden="false" customHeight="false" outlineLevel="0" collapsed="false">
      <c r="A378" s="0" t="s">
        <v>6</v>
      </c>
      <c r="C378" s="0" t="s">
        <v>931</v>
      </c>
      <c r="D378" s="0" t="s">
        <v>534</v>
      </c>
      <c r="E378" s="0" t="s">
        <v>936</v>
      </c>
      <c r="F378" s="0" t="n">
        <v>4</v>
      </c>
      <c r="G378" s="0" t="n">
        <v>0</v>
      </c>
      <c r="H378" s="0" t="s">
        <v>122</v>
      </c>
      <c r="K378" s="0" t="s">
        <v>127</v>
      </c>
      <c r="L378" s="0" t="s">
        <v>937</v>
      </c>
    </row>
    <row r="379" customFormat="false" ht="15" hidden="false" customHeight="false" outlineLevel="0" collapsed="false">
      <c r="A379" s="0" t="s">
        <v>6</v>
      </c>
      <c r="C379" s="0" t="s">
        <v>931</v>
      </c>
      <c r="D379" s="0" t="s">
        <v>52</v>
      </c>
      <c r="E379" s="0" t="s">
        <v>938</v>
      </c>
      <c r="F379" s="0" t="n">
        <v>4</v>
      </c>
      <c r="G379" s="0" t="n">
        <v>0</v>
      </c>
      <c r="H379" s="0" t="s">
        <v>122</v>
      </c>
      <c r="K379" s="0" t="s">
        <v>132</v>
      </c>
      <c r="L379" s="0" t="s">
        <v>939</v>
      </c>
    </row>
    <row r="380" customFormat="false" ht="15" hidden="false" customHeight="false" outlineLevel="0" collapsed="false">
      <c r="A380" s="0" t="s">
        <v>6</v>
      </c>
      <c r="C380" s="0" t="s">
        <v>931</v>
      </c>
      <c r="D380" s="0" t="s">
        <v>55</v>
      </c>
      <c r="E380" s="0" t="s">
        <v>940</v>
      </c>
      <c r="F380" s="0" t="n">
        <v>4</v>
      </c>
      <c r="G380" s="0" t="n">
        <v>0</v>
      </c>
      <c r="H380" s="0" t="s">
        <v>122</v>
      </c>
      <c r="K380" s="0" t="s">
        <v>135</v>
      </c>
      <c r="L380" s="0" t="s">
        <v>941</v>
      </c>
    </row>
    <row r="381" customFormat="false" ht="15" hidden="false" customHeight="false" outlineLevel="0" collapsed="false">
      <c r="A381" s="0" t="s">
        <v>6</v>
      </c>
      <c r="C381" s="0" t="s">
        <v>931</v>
      </c>
      <c r="D381" s="0" t="s">
        <v>58</v>
      </c>
      <c r="E381" s="0" t="s">
        <v>942</v>
      </c>
      <c r="F381" s="0" t="n">
        <v>4</v>
      </c>
      <c r="G381" s="0" t="n">
        <v>0</v>
      </c>
      <c r="H381" s="0" t="s">
        <v>122</v>
      </c>
      <c r="K381" s="0" t="s">
        <v>138</v>
      </c>
      <c r="L381" s="0" t="s">
        <v>943</v>
      </c>
    </row>
    <row r="382" customFormat="false" ht="15" hidden="false" customHeight="false" outlineLevel="0" collapsed="false">
      <c r="A382" s="0" t="s">
        <v>6</v>
      </c>
      <c r="B382" s="0" t="s">
        <v>140</v>
      </c>
      <c r="C382" s="0" t="s">
        <v>931</v>
      </c>
      <c r="D382" s="0" t="s">
        <v>65</v>
      </c>
      <c r="E382" s="0" t="s">
        <v>944</v>
      </c>
      <c r="F382" s="0" t="n">
        <v>4</v>
      </c>
      <c r="G382" s="0" t="n">
        <v>3</v>
      </c>
      <c r="H382" s="0" t="s">
        <v>122</v>
      </c>
      <c r="I382" s="0" t="s">
        <v>272</v>
      </c>
      <c r="K382" s="0" t="s">
        <v>143</v>
      </c>
      <c r="L382" s="0" t="s">
        <v>945</v>
      </c>
    </row>
    <row r="383" customFormat="false" ht="15" hidden="false" customHeight="false" outlineLevel="0" collapsed="false">
      <c r="A383" s="0" t="s">
        <v>6</v>
      </c>
      <c r="C383" s="0" t="s">
        <v>931</v>
      </c>
      <c r="D383" s="0" t="s">
        <v>69</v>
      </c>
      <c r="E383" s="0" t="s">
        <v>946</v>
      </c>
      <c r="F383" s="0" t="n">
        <v>4</v>
      </c>
      <c r="G383" s="0" t="n">
        <v>0</v>
      </c>
      <c r="H383" s="0" t="s">
        <v>122</v>
      </c>
      <c r="K383" s="0" t="s">
        <v>146</v>
      </c>
      <c r="L383" s="0" t="s">
        <v>947</v>
      </c>
    </row>
    <row r="384" customFormat="false" ht="15" hidden="false" customHeight="false" outlineLevel="0" collapsed="false">
      <c r="A384" s="0" t="s">
        <v>6</v>
      </c>
      <c r="C384" s="0" t="s">
        <v>931</v>
      </c>
      <c r="D384" s="0" t="s">
        <v>72</v>
      </c>
      <c r="E384" s="0" t="s">
        <v>948</v>
      </c>
      <c r="F384" s="0" t="n">
        <v>4</v>
      </c>
      <c r="G384" s="0" t="n">
        <v>0</v>
      </c>
      <c r="H384" s="0" t="s">
        <v>122</v>
      </c>
      <c r="K384" s="0" t="s">
        <v>149</v>
      </c>
      <c r="L384" s="0" t="s">
        <v>949</v>
      </c>
    </row>
    <row r="385" customFormat="false" ht="15" hidden="false" customHeight="false" outlineLevel="0" collapsed="false">
      <c r="A385" s="0" t="s">
        <v>6</v>
      </c>
      <c r="B385" s="0" t="s">
        <v>154</v>
      </c>
      <c r="C385" s="0" t="s">
        <v>931</v>
      </c>
      <c r="D385" s="0" t="s">
        <v>75</v>
      </c>
      <c r="E385" s="0" t="s">
        <v>950</v>
      </c>
      <c r="F385" s="0" t="n">
        <v>4</v>
      </c>
      <c r="G385" s="0" t="n">
        <v>4</v>
      </c>
      <c r="H385" s="0" t="s">
        <v>117</v>
      </c>
      <c r="I385" s="0" t="s">
        <v>193</v>
      </c>
      <c r="K385" s="0" t="s">
        <v>152</v>
      </c>
      <c r="L385" s="0" t="s">
        <v>951</v>
      </c>
    </row>
    <row r="386" customFormat="false" ht="15" hidden="false" customHeight="false" outlineLevel="0" collapsed="false">
      <c r="A386" s="0" t="s">
        <v>6</v>
      </c>
      <c r="B386" s="0" t="s">
        <v>154</v>
      </c>
      <c r="C386" s="0" t="s">
        <v>931</v>
      </c>
      <c r="D386" s="0" t="s">
        <v>78</v>
      </c>
      <c r="E386" s="0" t="s">
        <v>952</v>
      </c>
      <c r="F386" s="0" t="n">
        <v>4</v>
      </c>
      <c r="G386" s="0" t="n">
        <v>4</v>
      </c>
      <c r="H386" s="0" t="s">
        <v>117</v>
      </c>
      <c r="I386" s="0" t="s">
        <v>131</v>
      </c>
      <c r="K386" s="0" t="s">
        <v>156</v>
      </c>
      <c r="L386" s="0" t="s">
        <v>953</v>
      </c>
    </row>
    <row r="387" customFormat="false" ht="15" hidden="false" customHeight="false" outlineLevel="0" collapsed="false">
      <c r="A387" s="0" t="s">
        <v>6</v>
      </c>
      <c r="B387" s="0" t="s">
        <v>154</v>
      </c>
      <c r="C387" s="0" t="s">
        <v>931</v>
      </c>
      <c r="D387" s="0" t="s">
        <v>81</v>
      </c>
      <c r="E387" s="0" t="s">
        <v>954</v>
      </c>
      <c r="F387" s="0" t="n">
        <v>4</v>
      </c>
      <c r="G387" s="0" t="n">
        <v>4</v>
      </c>
      <c r="H387" s="0" t="s">
        <v>117</v>
      </c>
      <c r="I387" s="0" t="s">
        <v>193</v>
      </c>
      <c r="K387" s="0" t="s">
        <v>160</v>
      </c>
      <c r="L387" s="0" t="s">
        <v>955</v>
      </c>
    </row>
    <row r="388" customFormat="false" ht="15" hidden="false" customHeight="false" outlineLevel="0" collapsed="false">
      <c r="A388" s="0" t="s">
        <v>6</v>
      </c>
      <c r="C388" s="0" t="s">
        <v>956</v>
      </c>
      <c r="D388" s="0" t="s">
        <v>528</v>
      </c>
      <c r="E388" s="0" t="s">
        <v>957</v>
      </c>
      <c r="F388" s="0" t="n">
        <v>0</v>
      </c>
      <c r="G388" s="0" t="n">
        <v>0</v>
      </c>
      <c r="H388" s="0" t="s">
        <v>117</v>
      </c>
      <c r="K388" s="0" t="s">
        <v>118</v>
      </c>
      <c r="L388" s="0" t="s">
        <v>958</v>
      </c>
    </row>
    <row r="389" customFormat="false" ht="15" hidden="false" customHeight="false" outlineLevel="0" collapsed="false">
      <c r="A389" s="0" t="s">
        <v>6</v>
      </c>
      <c r="C389" s="0" t="s">
        <v>956</v>
      </c>
      <c r="D389" s="0" t="s">
        <v>531</v>
      </c>
      <c r="E389" s="0" t="s">
        <v>959</v>
      </c>
      <c r="F389" s="0" t="n">
        <v>4</v>
      </c>
      <c r="G389" s="0" t="n">
        <v>0</v>
      </c>
      <c r="H389" s="0" t="s">
        <v>122</v>
      </c>
      <c r="K389" s="0" t="s">
        <v>123</v>
      </c>
      <c r="L389" s="0" t="s">
        <v>960</v>
      </c>
    </row>
    <row r="390" customFormat="false" ht="15" hidden="false" customHeight="false" outlineLevel="0" collapsed="false">
      <c r="A390" s="0" t="s">
        <v>6</v>
      </c>
      <c r="C390" s="0" t="s">
        <v>956</v>
      </c>
      <c r="D390" s="0" t="s">
        <v>534</v>
      </c>
      <c r="E390" s="0" t="s">
        <v>961</v>
      </c>
      <c r="F390" s="0" t="n">
        <v>4</v>
      </c>
      <c r="G390" s="0" t="n">
        <v>0</v>
      </c>
      <c r="H390" s="0" t="s">
        <v>122</v>
      </c>
      <c r="K390" s="0" t="s">
        <v>127</v>
      </c>
      <c r="L390" s="0" t="s">
        <v>962</v>
      </c>
    </row>
    <row r="391" customFormat="false" ht="15" hidden="false" customHeight="false" outlineLevel="0" collapsed="false">
      <c r="A391" s="0" t="s">
        <v>6</v>
      </c>
      <c r="C391" s="0" t="s">
        <v>956</v>
      </c>
      <c r="D391" s="0" t="s">
        <v>52</v>
      </c>
      <c r="E391" s="0" t="s">
        <v>963</v>
      </c>
      <c r="F391" s="0" t="n">
        <v>4</v>
      </c>
      <c r="G391" s="0" t="n">
        <v>0</v>
      </c>
      <c r="H391" s="0" t="s">
        <v>122</v>
      </c>
      <c r="K391" s="0" t="s">
        <v>132</v>
      </c>
      <c r="L391" s="0" t="s">
        <v>964</v>
      </c>
    </row>
    <row r="392" customFormat="false" ht="15" hidden="false" customHeight="false" outlineLevel="0" collapsed="false">
      <c r="A392" s="0" t="s">
        <v>6</v>
      </c>
      <c r="C392" s="0" t="s">
        <v>956</v>
      </c>
      <c r="D392" s="0" t="s">
        <v>55</v>
      </c>
      <c r="E392" s="0" t="s">
        <v>965</v>
      </c>
      <c r="F392" s="0" t="n">
        <v>4</v>
      </c>
      <c r="G392" s="0" t="n">
        <v>0</v>
      </c>
      <c r="H392" s="0" t="s">
        <v>122</v>
      </c>
      <c r="K392" s="0" t="s">
        <v>135</v>
      </c>
      <c r="L392" s="0" t="s">
        <v>966</v>
      </c>
    </row>
    <row r="393" customFormat="false" ht="15" hidden="false" customHeight="false" outlineLevel="0" collapsed="false">
      <c r="A393" s="0" t="s">
        <v>6</v>
      </c>
      <c r="C393" s="0" t="s">
        <v>956</v>
      </c>
      <c r="D393" s="0" t="s">
        <v>58</v>
      </c>
      <c r="E393" s="0" t="s">
        <v>967</v>
      </c>
      <c r="F393" s="0" t="n">
        <v>4</v>
      </c>
      <c r="G393" s="0" t="n">
        <v>0</v>
      </c>
      <c r="H393" s="0" t="s">
        <v>122</v>
      </c>
      <c r="K393" s="0" t="s">
        <v>138</v>
      </c>
      <c r="L393" s="0" t="s">
        <v>968</v>
      </c>
    </row>
    <row r="394" customFormat="false" ht="15" hidden="false" customHeight="false" outlineLevel="0" collapsed="false">
      <c r="A394" s="0" t="s">
        <v>6</v>
      </c>
      <c r="B394" s="0" t="s">
        <v>140</v>
      </c>
      <c r="C394" s="0" t="s">
        <v>956</v>
      </c>
      <c r="D394" s="0" t="s">
        <v>65</v>
      </c>
      <c r="E394" s="0" t="s">
        <v>969</v>
      </c>
      <c r="F394" s="0" t="n">
        <v>4</v>
      </c>
      <c r="G394" s="0" t="n">
        <v>2</v>
      </c>
      <c r="H394" s="0" t="s">
        <v>122</v>
      </c>
      <c r="I394" s="0" t="s">
        <v>193</v>
      </c>
      <c r="K394" s="0" t="s">
        <v>143</v>
      </c>
      <c r="L394" s="0" t="s">
        <v>970</v>
      </c>
    </row>
    <row r="395" customFormat="false" ht="15" hidden="false" customHeight="false" outlineLevel="0" collapsed="false">
      <c r="A395" s="0" t="s">
        <v>6</v>
      </c>
      <c r="B395" s="0" t="s">
        <v>154</v>
      </c>
      <c r="C395" s="0" t="s">
        <v>956</v>
      </c>
      <c r="D395" s="0" t="s">
        <v>69</v>
      </c>
      <c r="E395" s="0" t="s">
        <v>971</v>
      </c>
      <c r="F395" s="0" t="n">
        <v>4</v>
      </c>
      <c r="G395" s="0" t="n">
        <v>4</v>
      </c>
      <c r="H395" s="0" t="s">
        <v>117</v>
      </c>
      <c r="I395" s="0" t="s">
        <v>272</v>
      </c>
      <c r="K395" s="0" t="s">
        <v>146</v>
      </c>
      <c r="L395" s="0" t="s">
        <v>972</v>
      </c>
    </row>
    <row r="396" customFormat="false" ht="15" hidden="false" customHeight="false" outlineLevel="0" collapsed="false">
      <c r="A396" s="0" t="s">
        <v>6</v>
      </c>
      <c r="C396" s="0" t="s">
        <v>956</v>
      </c>
      <c r="D396" s="0" t="s">
        <v>72</v>
      </c>
      <c r="E396" s="0" t="s">
        <v>973</v>
      </c>
      <c r="F396" s="0" t="n">
        <v>0</v>
      </c>
      <c r="G396" s="0" t="n">
        <v>0</v>
      </c>
      <c r="H396" s="0" t="s">
        <v>117</v>
      </c>
      <c r="K396" s="0" t="s">
        <v>149</v>
      </c>
      <c r="L396" s="0" t="s">
        <v>974</v>
      </c>
    </row>
    <row r="397" customFormat="false" ht="15" hidden="false" customHeight="false" outlineLevel="0" collapsed="false">
      <c r="A397" s="0" t="s">
        <v>6</v>
      </c>
      <c r="B397" s="0" t="s">
        <v>154</v>
      </c>
      <c r="C397" s="0" t="s">
        <v>956</v>
      </c>
      <c r="D397" s="0" t="s">
        <v>75</v>
      </c>
      <c r="E397" s="0" t="s">
        <v>975</v>
      </c>
      <c r="F397" s="0" t="n">
        <v>0</v>
      </c>
      <c r="G397" s="0" t="n">
        <v>4</v>
      </c>
      <c r="H397" s="0" t="s">
        <v>117</v>
      </c>
      <c r="I397" s="0" t="s">
        <v>193</v>
      </c>
      <c r="K397" s="0" t="s">
        <v>152</v>
      </c>
      <c r="L397" s="0" t="s">
        <v>976</v>
      </c>
    </row>
    <row r="398" customFormat="false" ht="15" hidden="false" customHeight="false" outlineLevel="0" collapsed="false">
      <c r="A398" s="0" t="s">
        <v>6</v>
      </c>
      <c r="B398" s="0" t="s">
        <v>154</v>
      </c>
      <c r="C398" s="0" t="s">
        <v>956</v>
      </c>
      <c r="D398" s="0" t="s">
        <v>78</v>
      </c>
      <c r="E398" s="0" t="s">
        <v>977</v>
      </c>
      <c r="F398" s="0" t="n">
        <v>0</v>
      </c>
      <c r="G398" s="0" t="n">
        <v>4</v>
      </c>
      <c r="H398" s="0" t="s">
        <v>117</v>
      </c>
      <c r="I398" s="0" t="s">
        <v>193</v>
      </c>
      <c r="K398" s="0" t="s">
        <v>156</v>
      </c>
      <c r="L398" s="0" t="s">
        <v>978</v>
      </c>
    </row>
    <row r="399" customFormat="false" ht="15" hidden="false" customHeight="false" outlineLevel="0" collapsed="false">
      <c r="A399" s="0" t="s">
        <v>6</v>
      </c>
      <c r="B399" s="0" t="s">
        <v>154</v>
      </c>
      <c r="C399" s="0" t="s">
        <v>956</v>
      </c>
      <c r="D399" s="0" t="s">
        <v>81</v>
      </c>
      <c r="E399" s="0" t="s">
        <v>979</v>
      </c>
      <c r="F399" s="0" t="n">
        <v>0</v>
      </c>
      <c r="G399" s="0" t="n">
        <v>4</v>
      </c>
      <c r="H399" s="0" t="s">
        <v>117</v>
      </c>
      <c r="I399" s="0" t="s">
        <v>272</v>
      </c>
      <c r="K399" s="0" t="s">
        <v>160</v>
      </c>
      <c r="L399" s="0" t="s">
        <v>980</v>
      </c>
    </row>
    <row r="400" customFormat="false" ht="15" hidden="false" customHeight="false" outlineLevel="0" collapsed="false">
      <c r="A400" s="0" t="s">
        <v>6</v>
      </c>
      <c r="C400" s="0" t="s">
        <v>981</v>
      </c>
      <c r="D400" s="0" t="s">
        <v>528</v>
      </c>
      <c r="E400" s="0" t="s">
        <v>982</v>
      </c>
      <c r="F400" s="0" t="n">
        <v>0</v>
      </c>
      <c r="G400" s="0" t="n">
        <v>0</v>
      </c>
      <c r="H400" s="0" t="s">
        <v>117</v>
      </c>
      <c r="K400" s="0" t="s">
        <v>118</v>
      </c>
      <c r="L400" s="0" t="s">
        <v>983</v>
      </c>
    </row>
    <row r="401" customFormat="false" ht="15" hidden="false" customHeight="false" outlineLevel="0" collapsed="false">
      <c r="A401" s="0" t="s">
        <v>6</v>
      </c>
      <c r="C401" s="0" t="s">
        <v>981</v>
      </c>
      <c r="D401" s="0" t="s">
        <v>531</v>
      </c>
      <c r="E401" s="0" t="s">
        <v>984</v>
      </c>
      <c r="F401" s="0" t="n">
        <v>4</v>
      </c>
      <c r="G401" s="0" t="n">
        <v>0</v>
      </c>
      <c r="H401" s="0" t="s">
        <v>122</v>
      </c>
      <c r="K401" s="0" t="s">
        <v>123</v>
      </c>
      <c r="L401" s="0" t="s">
        <v>985</v>
      </c>
    </row>
    <row r="402" customFormat="false" ht="15" hidden="false" customHeight="false" outlineLevel="0" collapsed="false">
      <c r="A402" s="0" t="s">
        <v>6</v>
      </c>
      <c r="C402" s="0" t="s">
        <v>981</v>
      </c>
      <c r="D402" s="0" t="s">
        <v>534</v>
      </c>
      <c r="E402" s="0" t="s">
        <v>986</v>
      </c>
      <c r="F402" s="0" t="n">
        <v>4</v>
      </c>
      <c r="G402" s="0" t="n">
        <v>0</v>
      </c>
      <c r="H402" s="0" t="s">
        <v>122</v>
      </c>
      <c r="K402" s="0" t="s">
        <v>127</v>
      </c>
      <c r="L402" s="0" t="s">
        <v>987</v>
      </c>
    </row>
    <row r="403" customFormat="false" ht="15" hidden="false" customHeight="false" outlineLevel="0" collapsed="false">
      <c r="A403" s="0" t="s">
        <v>6</v>
      </c>
      <c r="C403" s="0" t="s">
        <v>981</v>
      </c>
      <c r="D403" s="0" t="s">
        <v>52</v>
      </c>
      <c r="E403" s="0" t="s">
        <v>988</v>
      </c>
      <c r="F403" s="0" t="n">
        <v>4</v>
      </c>
      <c r="G403" s="0" t="n">
        <v>0</v>
      </c>
      <c r="H403" s="0" t="s">
        <v>122</v>
      </c>
      <c r="K403" s="0" t="s">
        <v>132</v>
      </c>
      <c r="L403" s="0" t="s">
        <v>989</v>
      </c>
    </row>
    <row r="404" customFormat="false" ht="15" hidden="false" customHeight="false" outlineLevel="0" collapsed="false">
      <c r="A404" s="0" t="s">
        <v>6</v>
      </c>
      <c r="B404" s="0" t="s">
        <v>154</v>
      </c>
      <c r="C404" s="0" t="s">
        <v>981</v>
      </c>
      <c r="D404" s="0" t="s">
        <v>55</v>
      </c>
      <c r="E404" s="0" t="s">
        <v>990</v>
      </c>
      <c r="F404" s="0" t="n">
        <v>4</v>
      </c>
      <c r="G404" s="0" t="n">
        <v>4</v>
      </c>
      <c r="H404" s="0" t="s">
        <v>117</v>
      </c>
      <c r="I404" s="0" t="s">
        <v>142</v>
      </c>
      <c r="K404" s="0" t="s">
        <v>135</v>
      </c>
      <c r="L404" s="0" t="s">
        <v>991</v>
      </c>
    </row>
    <row r="405" customFormat="false" ht="15" hidden="false" customHeight="false" outlineLevel="0" collapsed="false">
      <c r="A405" s="0" t="s">
        <v>6</v>
      </c>
      <c r="C405" s="0" t="s">
        <v>981</v>
      </c>
      <c r="D405" s="0" t="s">
        <v>58</v>
      </c>
      <c r="E405" s="0" t="s">
        <v>992</v>
      </c>
      <c r="F405" s="0" t="n">
        <v>4</v>
      </c>
      <c r="G405" s="0" t="n">
        <v>0</v>
      </c>
      <c r="H405" s="0" t="s">
        <v>122</v>
      </c>
      <c r="K405" s="0" t="s">
        <v>138</v>
      </c>
      <c r="L405" s="0" t="s">
        <v>993</v>
      </c>
    </row>
    <row r="406" customFormat="false" ht="15" hidden="false" customHeight="false" outlineLevel="0" collapsed="false">
      <c r="A406" s="0" t="s">
        <v>6</v>
      </c>
      <c r="B406" s="0" t="s">
        <v>154</v>
      </c>
      <c r="C406" s="0" t="s">
        <v>981</v>
      </c>
      <c r="D406" s="0" t="s">
        <v>65</v>
      </c>
      <c r="E406" s="0" t="s">
        <v>994</v>
      </c>
      <c r="F406" s="0" t="n">
        <v>4</v>
      </c>
      <c r="G406" s="0" t="n">
        <v>4</v>
      </c>
      <c r="H406" s="0" t="s">
        <v>117</v>
      </c>
      <c r="I406" s="0" t="s">
        <v>235</v>
      </c>
      <c r="K406" s="0" t="s">
        <v>143</v>
      </c>
      <c r="L406" s="0" t="s">
        <v>995</v>
      </c>
    </row>
    <row r="407" customFormat="false" ht="15" hidden="false" customHeight="false" outlineLevel="0" collapsed="false">
      <c r="A407" s="0" t="s">
        <v>6</v>
      </c>
      <c r="B407" s="0" t="s">
        <v>154</v>
      </c>
      <c r="C407" s="0" t="s">
        <v>981</v>
      </c>
      <c r="D407" s="0" t="s">
        <v>69</v>
      </c>
      <c r="E407" s="0" t="s">
        <v>996</v>
      </c>
      <c r="F407" s="0" t="n">
        <v>4</v>
      </c>
      <c r="G407" s="0" t="n">
        <v>3</v>
      </c>
      <c r="H407" s="0" t="s">
        <v>122</v>
      </c>
      <c r="I407" s="0" t="s">
        <v>272</v>
      </c>
      <c r="K407" s="0" t="s">
        <v>146</v>
      </c>
      <c r="L407" s="0" t="s">
        <v>997</v>
      </c>
    </row>
    <row r="408" customFormat="false" ht="15" hidden="false" customHeight="false" outlineLevel="0" collapsed="false">
      <c r="A408" s="0" t="s">
        <v>6</v>
      </c>
      <c r="B408" s="0" t="s">
        <v>140</v>
      </c>
      <c r="C408" s="0" t="s">
        <v>981</v>
      </c>
      <c r="D408" s="0" t="s">
        <v>72</v>
      </c>
      <c r="E408" s="0" t="s">
        <v>998</v>
      </c>
      <c r="F408" s="0" t="n">
        <v>4</v>
      </c>
      <c r="G408" s="0" t="n">
        <v>4</v>
      </c>
      <c r="H408" s="0" t="s">
        <v>117</v>
      </c>
      <c r="I408" s="0" t="s">
        <v>193</v>
      </c>
      <c r="K408" s="0" t="s">
        <v>149</v>
      </c>
      <c r="L408" s="0" t="s">
        <v>999</v>
      </c>
    </row>
    <row r="409" customFormat="false" ht="15" hidden="false" customHeight="false" outlineLevel="0" collapsed="false">
      <c r="A409" s="0" t="s">
        <v>6</v>
      </c>
      <c r="B409" s="0" t="s">
        <v>154</v>
      </c>
      <c r="C409" s="0" t="s">
        <v>981</v>
      </c>
      <c r="D409" s="0" t="s">
        <v>75</v>
      </c>
      <c r="E409" s="0" t="s">
        <v>1000</v>
      </c>
      <c r="F409" s="0" t="n">
        <v>4</v>
      </c>
      <c r="G409" s="0" t="n">
        <v>4</v>
      </c>
      <c r="H409" s="0" t="s">
        <v>117</v>
      </c>
      <c r="I409" s="0" t="s">
        <v>159</v>
      </c>
      <c r="K409" s="0" t="s">
        <v>152</v>
      </c>
      <c r="L409" s="0" t="s">
        <v>1001</v>
      </c>
    </row>
    <row r="410" customFormat="false" ht="15" hidden="false" customHeight="false" outlineLevel="0" collapsed="false">
      <c r="A410" s="0" t="s">
        <v>6</v>
      </c>
      <c r="B410" s="0" t="s">
        <v>154</v>
      </c>
      <c r="C410" s="0" t="s">
        <v>981</v>
      </c>
      <c r="D410" s="0" t="s">
        <v>78</v>
      </c>
      <c r="E410" s="0" t="s">
        <v>1002</v>
      </c>
      <c r="F410" s="0" t="n">
        <v>4</v>
      </c>
      <c r="G410" s="0" t="n">
        <v>4</v>
      </c>
      <c r="H410" s="0" t="s">
        <v>117</v>
      </c>
      <c r="I410" s="0" t="s">
        <v>193</v>
      </c>
      <c r="K410" s="0" t="s">
        <v>156</v>
      </c>
      <c r="L410" s="0" t="s">
        <v>1003</v>
      </c>
    </row>
    <row r="411" customFormat="false" ht="15" hidden="false" customHeight="false" outlineLevel="0" collapsed="false">
      <c r="A411" s="0" t="s">
        <v>6</v>
      </c>
      <c r="B411" s="0" t="s">
        <v>140</v>
      </c>
      <c r="C411" s="0" t="s">
        <v>981</v>
      </c>
      <c r="D411" s="0" t="s">
        <v>81</v>
      </c>
      <c r="E411" s="0" t="s">
        <v>1004</v>
      </c>
      <c r="F411" s="0" t="n">
        <v>4</v>
      </c>
      <c r="G411" s="0" t="n">
        <v>4</v>
      </c>
      <c r="H411" s="0" t="s">
        <v>117</v>
      </c>
      <c r="I411" s="0" t="s">
        <v>235</v>
      </c>
      <c r="K411" s="0" t="s">
        <v>160</v>
      </c>
      <c r="L411" s="0" t="s">
        <v>1005</v>
      </c>
    </row>
    <row r="412" customFormat="false" ht="15" hidden="false" customHeight="false" outlineLevel="0" collapsed="false">
      <c r="A412" s="0" t="s">
        <v>6</v>
      </c>
      <c r="C412" s="0" t="s">
        <v>1006</v>
      </c>
      <c r="D412" s="0" t="s">
        <v>528</v>
      </c>
      <c r="E412" s="0" t="s">
        <v>1007</v>
      </c>
      <c r="F412" s="0" t="n">
        <v>0</v>
      </c>
      <c r="G412" s="0" t="n">
        <v>0</v>
      </c>
      <c r="H412" s="0" t="s">
        <v>117</v>
      </c>
      <c r="K412" s="0" t="s">
        <v>118</v>
      </c>
      <c r="L412" s="0" t="s">
        <v>1008</v>
      </c>
    </row>
    <row r="413" customFormat="false" ht="15" hidden="false" customHeight="false" outlineLevel="0" collapsed="false">
      <c r="A413" s="0" t="s">
        <v>6</v>
      </c>
      <c r="B413" s="0" t="s">
        <v>140</v>
      </c>
      <c r="C413" s="0" t="s">
        <v>1006</v>
      </c>
      <c r="D413" s="0" t="s">
        <v>531</v>
      </c>
      <c r="E413" s="0" t="s">
        <v>1009</v>
      </c>
      <c r="F413" s="0" t="n">
        <v>4</v>
      </c>
      <c r="G413" s="0" t="n">
        <v>4</v>
      </c>
      <c r="H413" s="0" t="s">
        <v>117</v>
      </c>
      <c r="I413" s="0" t="s">
        <v>193</v>
      </c>
      <c r="K413" s="0" t="s">
        <v>123</v>
      </c>
      <c r="L413" s="0" t="s">
        <v>1010</v>
      </c>
    </row>
    <row r="414" customFormat="false" ht="15" hidden="false" customHeight="false" outlineLevel="0" collapsed="false">
      <c r="A414" s="0" t="s">
        <v>6</v>
      </c>
      <c r="B414" s="0" t="s">
        <v>140</v>
      </c>
      <c r="C414" s="0" t="s">
        <v>1006</v>
      </c>
      <c r="D414" s="0" t="s">
        <v>534</v>
      </c>
      <c r="E414" s="0" t="s">
        <v>1011</v>
      </c>
      <c r="F414" s="0" t="n">
        <v>4</v>
      </c>
      <c r="G414" s="0" t="n">
        <v>4</v>
      </c>
      <c r="H414" s="0" t="s">
        <v>117</v>
      </c>
      <c r="I414" s="0" t="s">
        <v>131</v>
      </c>
      <c r="K414" s="0" t="s">
        <v>127</v>
      </c>
      <c r="L414" s="0" t="s">
        <v>1012</v>
      </c>
    </row>
    <row r="415" customFormat="false" ht="15" hidden="false" customHeight="false" outlineLevel="0" collapsed="false">
      <c r="A415" s="0" t="s">
        <v>6</v>
      </c>
      <c r="B415" s="0" t="s">
        <v>154</v>
      </c>
      <c r="C415" s="0" t="s">
        <v>1006</v>
      </c>
      <c r="D415" s="0" t="s">
        <v>52</v>
      </c>
      <c r="E415" s="0" t="s">
        <v>1013</v>
      </c>
      <c r="F415" s="0" t="n">
        <v>4</v>
      </c>
      <c r="G415" s="0" t="n">
        <v>4</v>
      </c>
      <c r="H415" s="0" t="s">
        <v>117</v>
      </c>
      <c r="I415" s="0" t="s">
        <v>193</v>
      </c>
      <c r="K415" s="0" t="s">
        <v>132</v>
      </c>
      <c r="L415" s="0" t="s">
        <v>1014</v>
      </c>
    </row>
    <row r="416" customFormat="false" ht="15" hidden="false" customHeight="false" outlineLevel="0" collapsed="false">
      <c r="A416" s="0" t="s">
        <v>6</v>
      </c>
      <c r="B416" s="0" t="s">
        <v>154</v>
      </c>
      <c r="C416" s="0" t="s">
        <v>1006</v>
      </c>
      <c r="D416" s="0" t="s">
        <v>55</v>
      </c>
      <c r="E416" s="0" t="s">
        <v>1015</v>
      </c>
      <c r="F416" s="0" t="n">
        <v>4</v>
      </c>
      <c r="G416" s="0" t="n">
        <v>4</v>
      </c>
      <c r="H416" s="0" t="s">
        <v>117</v>
      </c>
      <c r="I416" s="0" t="s">
        <v>159</v>
      </c>
      <c r="K416" s="0" t="s">
        <v>135</v>
      </c>
      <c r="L416" s="0" t="s">
        <v>1016</v>
      </c>
    </row>
    <row r="417" customFormat="false" ht="15" hidden="false" customHeight="false" outlineLevel="0" collapsed="false">
      <c r="A417" s="0" t="s">
        <v>6</v>
      </c>
      <c r="B417" s="0" t="s">
        <v>154</v>
      </c>
      <c r="C417" s="0" t="s">
        <v>1006</v>
      </c>
      <c r="D417" s="0" t="s">
        <v>58</v>
      </c>
      <c r="E417" s="0" t="s">
        <v>1017</v>
      </c>
      <c r="F417" s="0" t="n">
        <v>4</v>
      </c>
      <c r="G417" s="0" t="n">
        <v>4</v>
      </c>
      <c r="H417" s="0" t="s">
        <v>117</v>
      </c>
      <c r="I417" s="0" t="s">
        <v>193</v>
      </c>
      <c r="K417" s="0" t="s">
        <v>138</v>
      </c>
      <c r="L417" s="0" t="s">
        <v>1018</v>
      </c>
    </row>
    <row r="418" customFormat="false" ht="15" hidden="false" customHeight="false" outlineLevel="0" collapsed="false">
      <c r="A418" s="0" t="s">
        <v>6</v>
      </c>
      <c r="B418" s="0" t="s">
        <v>140</v>
      </c>
      <c r="C418" s="0" t="s">
        <v>1006</v>
      </c>
      <c r="D418" s="0" t="s">
        <v>65</v>
      </c>
      <c r="E418" s="0" t="s">
        <v>1019</v>
      </c>
      <c r="F418" s="0" t="n">
        <v>4</v>
      </c>
      <c r="G418" s="0" t="n">
        <v>3</v>
      </c>
      <c r="H418" s="0" t="s">
        <v>122</v>
      </c>
      <c r="I418" s="0" t="s">
        <v>272</v>
      </c>
      <c r="K418" s="0" t="s">
        <v>143</v>
      </c>
      <c r="L418" s="0" t="s">
        <v>1020</v>
      </c>
    </row>
    <row r="419" customFormat="false" ht="15" hidden="false" customHeight="false" outlineLevel="0" collapsed="false">
      <c r="A419" s="0" t="s">
        <v>6</v>
      </c>
      <c r="B419" s="0" t="s">
        <v>140</v>
      </c>
      <c r="C419" s="0" t="s">
        <v>1006</v>
      </c>
      <c r="D419" s="0" t="s">
        <v>69</v>
      </c>
      <c r="E419" s="0" t="s">
        <v>1021</v>
      </c>
      <c r="F419" s="0" t="n">
        <v>4</v>
      </c>
      <c r="G419" s="0" t="n">
        <v>4</v>
      </c>
      <c r="H419" s="0" t="s">
        <v>117</v>
      </c>
      <c r="I419" s="0" t="s">
        <v>245</v>
      </c>
      <c r="K419" s="0" t="s">
        <v>146</v>
      </c>
      <c r="L419" s="0" t="s">
        <v>1022</v>
      </c>
    </row>
    <row r="420" customFormat="false" ht="15" hidden="false" customHeight="false" outlineLevel="0" collapsed="false">
      <c r="A420" s="0" t="s">
        <v>6</v>
      </c>
      <c r="B420" s="0" t="s">
        <v>154</v>
      </c>
      <c r="C420" s="0" t="s">
        <v>1006</v>
      </c>
      <c r="D420" s="0" t="s">
        <v>72</v>
      </c>
      <c r="E420" s="0" t="s">
        <v>1023</v>
      </c>
      <c r="F420" s="0" t="n">
        <v>4</v>
      </c>
      <c r="G420" s="0" t="n">
        <v>3</v>
      </c>
      <c r="H420" s="0" t="s">
        <v>122</v>
      </c>
      <c r="I420" s="0" t="s">
        <v>159</v>
      </c>
      <c r="K420" s="0" t="s">
        <v>149</v>
      </c>
      <c r="L420" s="0" t="s">
        <v>1024</v>
      </c>
    </row>
    <row r="421" customFormat="false" ht="15" hidden="false" customHeight="false" outlineLevel="0" collapsed="false">
      <c r="A421" s="0" t="s">
        <v>6</v>
      </c>
      <c r="B421" s="0" t="s">
        <v>154</v>
      </c>
      <c r="C421" s="0" t="s">
        <v>1006</v>
      </c>
      <c r="D421" s="0" t="s">
        <v>75</v>
      </c>
      <c r="E421" s="0" t="s">
        <v>1025</v>
      </c>
      <c r="F421" s="0" t="n">
        <v>4</v>
      </c>
      <c r="G421" s="0" t="n">
        <v>4</v>
      </c>
      <c r="H421" s="0" t="s">
        <v>117</v>
      </c>
      <c r="I421" s="0" t="s">
        <v>131</v>
      </c>
      <c r="K421" s="0" t="s">
        <v>152</v>
      </c>
      <c r="L421" s="0" t="s">
        <v>1026</v>
      </c>
    </row>
    <row r="422" customFormat="false" ht="15" hidden="false" customHeight="false" outlineLevel="0" collapsed="false">
      <c r="A422" s="0" t="s">
        <v>6</v>
      </c>
      <c r="B422" s="0" t="s">
        <v>154</v>
      </c>
      <c r="C422" s="0" t="s">
        <v>1006</v>
      </c>
      <c r="D422" s="0" t="s">
        <v>78</v>
      </c>
      <c r="E422" s="0" t="s">
        <v>1027</v>
      </c>
      <c r="F422" s="0" t="n">
        <v>4</v>
      </c>
      <c r="G422" s="0" t="n">
        <v>4</v>
      </c>
      <c r="H422" s="0" t="s">
        <v>117</v>
      </c>
      <c r="I422" s="0" t="s">
        <v>272</v>
      </c>
      <c r="K422" s="0" t="s">
        <v>156</v>
      </c>
      <c r="L422" s="0" t="s">
        <v>1028</v>
      </c>
    </row>
    <row r="423" customFormat="false" ht="15" hidden="false" customHeight="false" outlineLevel="0" collapsed="false">
      <c r="A423" s="0" t="s">
        <v>6</v>
      </c>
      <c r="B423" s="0" t="s">
        <v>140</v>
      </c>
      <c r="C423" s="0" t="s">
        <v>1006</v>
      </c>
      <c r="D423" s="0" t="s">
        <v>81</v>
      </c>
      <c r="E423" s="0" t="s">
        <v>1029</v>
      </c>
      <c r="F423" s="0" t="n">
        <v>4</v>
      </c>
      <c r="G423" s="0" t="n">
        <v>3</v>
      </c>
      <c r="H423" s="0" t="s">
        <v>122</v>
      </c>
      <c r="I423" s="0" t="s">
        <v>245</v>
      </c>
      <c r="K423" s="0" t="s">
        <v>160</v>
      </c>
      <c r="L423" s="0" t="s">
        <v>1030</v>
      </c>
    </row>
    <row r="424" customFormat="false" ht="15" hidden="false" customHeight="false" outlineLevel="0" collapsed="false">
      <c r="A424" s="0" t="s">
        <v>6</v>
      </c>
      <c r="C424" s="0" t="s">
        <v>1031</v>
      </c>
      <c r="D424" s="0" t="s">
        <v>528</v>
      </c>
      <c r="E424" s="0" t="s">
        <v>1032</v>
      </c>
      <c r="F424" s="0" t="n">
        <v>0</v>
      </c>
      <c r="G424" s="0" t="n">
        <v>0</v>
      </c>
      <c r="H424" s="0" t="s">
        <v>117</v>
      </c>
      <c r="K424" s="0" t="s">
        <v>118</v>
      </c>
      <c r="L424" s="0" t="s">
        <v>1033</v>
      </c>
    </row>
    <row r="425" customFormat="false" ht="15" hidden="false" customHeight="false" outlineLevel="0" collapsed="false">
      <c r="A425" s="0" t="s">
        <v>6</v>
      </c>
      <c r="B425" s="0" t="s">
        <v>140</v>
      </c>
      <c r="C425" s="0" t="s">
        <v>1031</v>
      </c>
      <c r="D425" s="0" t="s">
        <v>531</v>
      </c>
      <c r="E425" s="0" t="s">
        <v>1034</v>
      </c>
      <c r="F425" s="0" t="n">
        <v>4</v>
      </c>
      <c r="G425" s="0" t="n">
        <v>4</v>
      </c>
      <c r="H425" s="0" t="s">
        <v>117</v>
      </c>
      <c r="I425" s="0" t="s">
        <v>235</v>
      </c>
      <c r="K425" s="0" t="s">
        <v>123</v>
      </c>
      <c r="L425" s="0" t="s">
        <v>1035</v>
      </c>
    </row>
    <row r="426" customFormat="false" ht="15" hidden="false" customHeight="false" outlineLevel="0" collapsed="false">
      <c r="A426" s="0" t="s">
        <v>6</v>
      </c>
      <c r="B426" s="0" t="s">
        <v>140</v>
      </c>
      <c r="C426" s="0" t="s">
        <v>1031</v>
      </c>
      <c r="D426" s="0" t="s">
        <v>534</v>
      </c>
      <c r="E426" s="0" t="s">
        <v>1036</v>
      </c>
      <c r="F426" s="0" t="n">
        <v>4</v>
      </c>
      <c r="G426" s="0" t="n">
        <v>4</v>
      </c>
      <c r="H426" s="0" t="s">
        <v>117</v>
      </c>
      <c r="I426" s="0" t="s">
        <v>131</v>
      </c>
      <c r="K426" s="0" t="s">
        <v>127</v>
      </c>
      <c r="L426" s="0" t="s">
        <v>1037</v>
      </c>
    </row>
    <row r="427" customFormat="false" ht="15" hidden="false" customHeight="false" outlineLevel="0" collapsed="false">
      <c r="A427" s="0" t="s">
        <v>6</v>
      </c>
      <c r="B427" s="0" t="s">
        <v>154</v>
      </c>
      <c r="C427" s="0" t="s">
        <v>1031</v>
      </c>
      <c r="D427" s="0" t="s">
        <v>52</v>
      </c>
      <c r="E427" s="0" t="s">
        <v>1038</v>
      </c>
      <c r="F427" s="0" t="n">
        <v>4</v>
      </c>
      <c r="G427" s="0" t="n">
        <v>4</v>
      </c>
      <c r="H427" s="0" t="s">
        <v>117</v>
      </c>
      <c r="I427" s="0" t="s">
        <v>159</v>
      </c>
      <c r="K427" s="0" t="s">
        <v>132</v>
      </c>
      <c r="L427" s="0" t="s">
        <v>1039</v>
      </c>
    </row>
    <row r="428" customFormat="false" ht="15" hidden="false" customHeight="false" outlineLevel="0" collapsed="false">
      <c r="A428" s="0" t="s">
        <v>6</v>
      </c>
      <c r="B428" s="0" t="s">
        <v>140</v>
      </c>
      <c r="C428" s="0" t="s">
        <v>1031</v>
      </c>
      <c r="D428" s="0" t="s">
        <v>55</v>
      </c>
      <c r="E428" s="0" t="s">
        <v>1040</v>
      </c>
      <c r="F428" s="0" t="n">
        <v>4</v>
      </c>
      <c r="G428" s="0" t="n">
        <v>3</v>
      </c>
      <c r="H428" s="0" t="s">
        <v>122</v>
      </c>
      <c r="I428" s="0" t="s">
        <v>260</v>
      </c>
      <c r="K428" s="0" t="s">
        <v>135</v>
      </c>
      <c r="L428" s="0" t="s">
        <v>1041</v>
      </c>
    </row>
    <row r="429" customFormat="false" ht="15" hidden="false" customHeight="false" outlineLevel="0" collapsed="false">
      <c r="A429" s="0" t="s">
        <v>6</v>
      </c>
      <c r="C429" s="0" t="s">
        <v>1031</v>
      </c>
      <c r="D429" s="0" t="s">
        <v>58</v>
      </c>
      <c r="E429" s="0" t="s">
        <v>1042</v>
      </c>
      <c r="F429" s="0" t="n">
        <v>4</v>
      </c>
      <c r="G429" s="0" t="n">
        <v>0</v>
      </c>
      <c r="H429" s="0" t="s">
        <v>122</v>
      </c>
      <c r="K429" s="0" t="s">
        <v>138</v>
      </c>
      <c r="L429" s="0" t="s">
        <v>1043</v>
      </c>
    </row>
    <row r="430" customFormat="false" ht="15" hidden="false" customHeight="false" outlineLevel="0" collapsed="false">
      <c r="A430" s="0" t="s">
        <v>6</v>
      </c>
      <c r="B430" s="0" t="s">
        <v>154</v>
      </c>
      <c r="C430" s="0" t="s">
        <v>1031</v>
      </c>
      <c r="D430" s="0" t="s">
        <v>65</v>
      </c>
      <c r="E430" s="0" t="s">
        <v>1044</v>
      </c>
      <c r="F430" s="0" t="n">
        <v>4</v>
      </c>
      <c r="G430" s="0" t="n">
        <v>4</v>
      </c>
      <c r="H430" s="0" t="s">
        <v>117</v>
      </c>
      <c r="I430" s="0" t="s">
        <v>131</v>
      </c>
      <c r="K430" s="0" t="s">
        <v>143</v>
      </c>
      <c r="L430" s="0" t="s">
        <v>1045</v>
      </c>
    </row>
    <row r="431" customFormat="false" ht="15" hidden="false" customHeight="false" outlineLevel="0" collapsed="false">
      <c r="A431" s="0" t="s">
        <v>6</v>
      </c>
      <c r="B431" s="0" t="s">
        <v>154</v>
      </c>
      <c r="C431" s="0" t="s">
        <v>1031</v>
      </c>
      <c r="D431" s="0" t="s">
        <v>69</v>
      </c>
      <c r="E431" s="0" t="s">
        <v>1046</v>
      </c>
      <c r="F431" s="0" t="n">
        <v>4</v>
      </c>
      <c r="G431" s="0" t="n">
        <v>4</v>
      </c>
      <c r="H431" s="0" t="s">
        <v>117</v>
      </c>
      <c r="I431" s="0" t="s">
        <v>193</v>
      </c>
      <c r="K431" s="0" t="s">
        <v>146</v>
      </c>
      <c r="L431" s="0" t="s">
        <v>1047</v>
      </c>
    </row>
    <row r="432" customFormat="false" ht="15" hidden="false" customHeight="false" outlineLevel="0" collapsed="false">
      <c r="A432" s="0" t="s">
        <v>6</v>
      </c>
      <c r="B432" s="0" t="s">
        <v>140</v>
      </c>
      <c r="C432" s="0" t="s">
        <v>1031</v>
      </c>
      <c r="D432" s="0" t="s">
        <v>72</v>
      </c>
      <c r="E432" s="0" t="s">
        <v>1048</v>
      </c>
      <c r="F432" s="0" t="n">
        <v>4</v>
      </c>
      <c r="G432" s="0" t="n">
        <v>4</v>
      </c>
      <c r="H432" s="0" t="s">
        <v>117</v>
      </c>
      <c r="I432" s="0" t="s">
        <v>235</v>
      </c>
      <c r="K432" s="0" t="s">
        <v>149</v>
      </c>
      <c r="L432" s="0" t="s">
        <v>1049</v>
      </c>
    </row>
    <row r="433" customFormat="false" ht="15" hidden="false" customHeight="false" outlineLevel="0" collapsed="false">
      <c r="A433" s="0" t="s">
        <v>6</v>
      </c>
      <c r="B433" s="0" t="s">
        <v>154</v>
      </c>
      <c r="C433" s="0" t="s">
        <v>1031</v>
      </c>
      <c r="D433" s="0" t="s">
        <v>75</v>
      </c>
      <c r="E433" s="0" t="s">
        <v>1050</v>
      </c>
      <c r="F433" s="0" t="n">
        <v>4</v>
      </c>
      <c r="G433" s="0" t="n">
        <v>4</v>
      </c>
      <c r="H433" s="0" t="s">
        <v>117</v>
      </c>
      <c r="I433" s="0" t="s">
        <v>272</v>
      </c>
      <c r="K433" s="0" t="s">
        <v>152</v>
      </c>
      <c r="L433" s="0" t="s">
        <v>1051</v>
      </c>
    </row>
    <row r="434" customFormat="false" ht="15" hidden="false" customHeight="false" outlineLevel="0" collapsed="false">
      <c r="A434" s="0" t="s">
        <v>6</v>
      </c>
      <c r="B434" s="0" t="s">
        <v>154</v>
      </c>
      <c r="C434" s="0" t="s">
        <v>1031</v>
      </c>
      <c r="D434" s="0" t="s">
        <v>78</v>
      </c>
      <c r="E434" s="0" t="s">
        <v>1052</v>
      </c>
      <c r="F434" s="0" t="n">
        <v>4</v>
      </c>
      <c r="G434" s="0" t="n">
        <v>4</v>
      </c>
      <c r="H434" s="0" t="s">
        <v>117</v>
      </c>
      <c r="I434" s="0" t="s">
        <v>245</v>
      </c>
      <c r="K434" s="0" t="s">
        <v>156</v>
      </c>
      <c r="L434" s="0" t="s">
        <v>1053</v>
      </c>
    </row>
    <row r="435" customFormat="false" ht="15" hidden="false" customHeight="false" outlineLevel="0" collapsed="false">
      <c r="A435" s="0" t="s">
        <v>6</v>
      </c>
      <c r="C435" s="0" t="s">
        <v>1031</v>
      </c>
      <c r="D435" s="0" t="s">
        <v>81</v>
      </c>
      <c r="E435" s="0" t="s">
        <v>1054</v>
      </c>
      <c r="F435" s="0" t="n">
        <v>4</v>
      </c>
      <c r="G435" s="0" t="n">
        <v>0</v>
      </c>
      <c r="H435" s="0" t="s">
        <v>122</v>
      </c>
      <c r="K435" s="0" t="s">
        <v>160</v>
      </c>
      <c r="L435" s="0" t="s">
        <v>1055</v>
      </c>
    </row>
    <row r="436" customFormat="false" ht="15" hidden="false" customHeight="false" outlineLevel="0" collapsed="false">
      <c r="A436" s="0" t="s">
        <v>6</v>
      </c>
      <c r="C436" s="0" t="s">
        <v>1056</v>
      </c>
      <c r="D436" s="0" t="s">
        <v>528</v>
      </c>
      <c r="E436" s="0" t="s">
        <v>1057</v>
      </c>
      <c r="F436" s="0" t="n">
        <v>0</v>
      </c>
      <c r="G436" s="0" t="n">
        <v>0</v>
      </c>
      <c r="H436" s="0" t="s">
        <v>117</v>
      </c>
      <c r="K436" s="0" t="s">
        <v>118</v>
      </c>
      <c r="L436" s="0" t="s">
        <v>1058</v>
      </c>
    </row>
    <row r="437" customFormat="false" ht="15" hidden="false" customHeight="false" outlineLevel="0" collapsed="false">
      <c r="A437" s="0" t="s">
        <v>6</v>
      </c>
      <c r="C437" s="0" t="s">
        <v>1056</v>
      </c>
      <c r="D437" s="0" t="s">
        <v>531</v>
      </c>
      <c r="E437" s="0" t="s">
        <v>1059</v>
      </c>
      <c r="F437" s="0" t="n">
        <v>0</v>
      </c>
      <c r="G437" s="0" t="n">
        <v>0</v>
      </c>
      <c r="H437" s="0" t="s">
        <v>117</v>
      </c>
      <c r="K437" s="0" t="s">
        <v>123</v>
      </c>
      <c r="L437" s="0" t="s">
        <v>1060</v>
      </c>
    </row>
    <row r="438" customFormat="false" ht="15" hidden="false" customHeight="false" outlineLevel="0" collapsed="false">
      <c r="A438" s="0" t="s">
        <v>6</v>
      </c>
      <c r="C438" s="0" t="s">
        <v>1056</v>
      </c>
      <c r="D438" s="0" t="s">
        <v>534</v>
      </c>
      <c r="E438" s="0" t="s">
        <v>1061</v>
      </c>
      <c r="F438" s="0" t="n">
        <v>0</v>
      </c>
      <c r="G438" s="0" t="n">
        <v>0</v>
      </c>
      <c r="H438" s="0" t="s">
        <v>117</v>
      </c>
      <c r="K438" s="0" t="s">
        <v>127</v>
      </c>
      <c r="L438" s="0" t="s">
        <v>1062</v>
      </c>
    </row>
    <row r="439" customFormat="false" ht="15" hidden="false" customHeight="false" outlineLevel="0" collapsed="false">
      <c r="A439" s="0" t="s">
        <v>6</v>
      </c>
      <c r="C439" s="0" t="s">
        <v>1056</v>
      </c>
      <c r="D439" s="0" t="s">
        <v>52</v>
      </c>
      <c r="E439" s="0" t="s">
        <v>1063</v>
      </c>
      <c r="F439" s="0" t="n">
        <v>0</v>
      </c>
      <c r="G439" s="0" t="n">
        <v>0</v>
      </c>
      <c r="H439" s="0" t="s">
        <v>117</v>
      </c>
      <c r="K439" s="0" t="s">
        <v>132</v>
      </c>
      <c r="L439" s="0" t="s">
        <v>1064</v>
      </c>
    </row>
    <row r="440" customFormat="false" ht="15" hidden="false" customHeight="false" outlineLevel="0" collapsed="false">
      <c r="A440" s="0" t="s">
        <v>6</v>
      </c>
      <c r="C440" s="0" t="s">
        <v>1056</v>
      </c>
      <c r="D440" s="0" t="s">
        <v>55</v>
      </c>
      <c r="E440" s="0" t="s">
        <v>1065</v>
      </c>
      <c r="F440" s="0" t="n">
        <v>0</v>
      </c>
      <c r="G440" s="0" t="n">
        <v>0</v>
      </c>
      <c r="H440" s="0" t="s">
        <v>117</v>
      </c>
      <c r="K440" s="0" t="s">
        <v>135</v>
      </c>
      <c r="L440" s="0" t="s">
        <v>1066</v>
      </c>
    </row>
    <row r="441" customFormat="false" ht="15" hidden="false" customHeight="false" outlineLevel="0" collapsed="false">
      <c r="A441" s="0" t="s">
        <v>6</v>
      </c>
      <c r="C441" s="0" t="s">
        <v>1056</v>
      </c>
      <c r="D441" s="0" t="s">
        <v>58</v>
      </c>
      <c r="E441" s="0" t="s">
        <v>1067</v>
      </c>
      <c r="F441" s="0" t="n">
        <v>0</v>
      </c>
      <c r="G441" s="0" t="n">
        <v>0</v>
      </c>
      <c r="H441" s="0" t="s">
        <v>117</v>
      </c>
      <c r="K441" s="0" t="s">
        <v>138</v>
      </c>
      <c r="L441" s="0" t="s">
        <v>1068</v>
      </c>
    </row>
    <row r="442" customFormat="false" ht="15" hidden="false" customHeight="false" outlineLevel="0" collapsed="false">
      <c r="A442" s="0" t="s">
        <v>6</v>
      </c>
      <c r="C442" s="0" t="s">
        <v>1056</v>
      </c>
      <c r="D442" s="0" t="s">
        <v>65</v>
      </c>
      <c r="E442" s="0" t="s">
        <v>1069</v>
      </c>
      <c r="F442" s="0" t="n">
        <v>0</v>
      </c>
      <c r="G442" s="0" t="n">
        <v>0</v>
      </c>
      <c r="H442" s="0" t="s">
        <v>117</v>
      </c>
      <c r="K442" s="0" t="s">
        <v>143</v>
      </c>
      <c r="L442" s="0" t="s">
        <v>1070</v>
      </c>
    </row>
    <row r="443" customFormat="false" ht="15" hidden="false" customHeight="false" outlineLevel="0" collapsed="false">
      <c r="A443" s="0" t="s">
        <v>6</v>
      </c>
      <c r="C443" s="0" t="s">
        <v>1056</v>
      </c>
      <c r="D443" s="0" t="s">
        <v>69</v>
      </c>
      <c r="E443" s="0" t="s">
        <v>1071</v>
      </c>
      <c r="F443" s="0" t="n">
        <v>0</v>
      </c>
      <c r="G443" s="0" t="n">
        <v>0</v>
      </c>
      <c r="H443" s="0" t="s">
        <v>117</v>
      </c>
      <c r="K443" s="0" t="s">
        <v>146</v>
      </c>
      <c r="L443" s="0" t="s">
        <v>1072</v>
      </c>
    </row>
    <row r="444" customFormat="false" ht="15" hidden="false" customHeight="false" outlineLevel="0" collapsed="false">
      <c r="A444" s="0" t="s">
        <v>6</v>
      </c>
      <c r="C444" s="0" t="s">
        <v>1056</v>
      </c>
      <c r="D444" s="0" t="s">
        <v>72</v>
      </c>
      <c r="E444" s="0" t="s">
        <v>1073</v>
      </c>
      <c r="F444" s="0" t="n">
        <v>0</v>
      </c>
      <c r="G444" s="0" t="n">
        <v>0</v>
      </c>
      <c r="H444" s="0" t="s">
        <v>117</v>
      </c>
      <c r="K444" s="0" t="s">
        <v>149</v>
      </c>
      <c r="L444" s="0" t="s">
        <v>1074</v>
      </c>
    </row>
    <row r="445" customFormat="false" ht="15" hidden="false" customHeight="false" outlineLevel="0" collapsed="false">
      <c r="A445" s="0" t="s">
        <v>6</v>
      </c>
      <c r="B445" s="0" t="s">
        <v>154</v>
      </c>
      <c r="C445" s="0" t="s">
        <v>1056</v>
      </c>
      <c r="D445" s="0" t="s">
        <v>75</v>
      </c>
      <c r="E445" s="0" t="s">
        <v>1075</v>
      </c>
      <c r="F445" s="0" t="n">
        <v>0</v>
      </c>
      <c r="G445" s="0" t="n">
        <v>0</v>
      </c>
      <c r="H445" s="0" t="s">
        <v>117</v>
      </c>
      <c r="K445" s="0" t="s">
        <v>152</v>
      </c>
      <c r="L445" s="0" t="s">
        <v>1076</v>
      </c>
    </row>
    <row r="446" customFormat="false" ht="15" hidden="false" customHeight="false" outlineLevel="0" collapsed="false">
      <c r="A446" s="0" t="s">
        <v>6</v>
      </c>
      <c r="B446" s="0" t="s">
        <v>154</v>
      </c>
      <c r="C446" s="0" t="s">
        <v>1056</v>
      </c>
      <c r="D446" s="0" t="s">
        <v>78</v>
      </c>
      <c r="E446" s="0" t="s">
        <v>1077</v>
      </c>
      <c r="F446" s="0" t="n">
        <v>0</v>
      </c>
      <c r="G446" s="0" t="n">
        <v>2</v>
      </c>
      <c r="H446" s="0" t="s">
        <v>117</v>
      </c>
      <c r="I446" s="0" t="s">
        <v>170</v>
      </c>
      <c r="K446" s="0" t="s">
        <v>156</v>
      </c>
      <c r="L446" s="0" t="s">
        <v>1078</v>
      </c>
    </row>
    <row r="447" customFormat="false" ht="15" hidden="false" customHeight="false" outlineLevel="0" collapsed="false">
      <c r="A447" s="0" t="s">
        <v>6</v>
      </c>
      <c r="B447" s="0" t="s">
        <v>350</v>
      </c>
      <c r="C447" s="0" t="s">
        <v>1056</v>
      </c>
      <c r="D447" s="0" t="s">
        <v>81</v>
      </c>
      <c r="E447" s="0" t="s">
        <v>1079</v>
      </c>
      <c r="F447" s="0" t="n">
        <v>0</v>
      </c>
      <c r="G447" s="0" t="n">
        <v>0</v>
      </c>
      <c r="H447" s="0" t="s">
        <v>117</v>
      </c>
      <c r="I447" s="0" t="s">
        <v>170</v>
      </c>
      <c r="K447" s="0" t="s">
        <v>160</v>
      </c>
      <c r="L447" s="0" t="s">
        <v>1080</v>
      </c>
    </row>
    <row r="448" customFormat="false" ht="15" hidden="false" customHeight="false" outlineLevel="0" collapsed="false">
      <c r="A448" s="0" t="s">
        <v>6</v>
      </c>
      <c r="C448" s="0" t="s">
        <v>1081</v>
      </c>
      <c r="D448" s="0" t="s">
        <v>528</v>
      </c>
      <c r="E448" s="0" t="s">
        <v>1082</v>
      </c>
      <c r="F448" s="0" t="n">
        <v>0</v>
      </c>
      <c r="G448" s="0" t="n">
        <v>0</v>
      </c>
      <c r="H448" s="0" t="s">
        <v>117</v>
      </c>
      <c r="K448" s="0" t="s">
        <v>118</v>
      </c>
      <c r="L448" s="0" t="s">
        <v>1083</v>
      </c>
    </row>
    <row r="449" customFormat="false" ht="15" hidden="false" customHeight="false" outlineLevel="0" collapsed="false">
      <c r="A449" s="0" t="s">
        <v>6</v>
      </c>
      <c r="C449" s="0" t="s">
        <v>1081</v>
      </c>
      <c r="D449" s="0" t="s">
        <v>531</v>
      </c>
      <c r="E449" s="0" t="s">
        <v>1084</v>
      </c>
      <c r="F449" s="0" t="n">
        <v>0</v>
      </c>
      <c r="G449" s="0" t="n">
        <v>0</v>
      </c>
      <c r="H449" s="0" t="s">
        <v>117</v>
      </c>
      <c r="K449" s="0" t="s">
        <v>123</v>
      </c>
      <c r="L449" s="0" t="s">
        <v>1085</v>
      </c>
    </row>
    <row r="450" customFormat="false" ht="15" hidden="false" customHeight="false" outlineLevel="0" collapsed="false">
      <c r="A450" s="0" t="s">
        <v>6</v>
      </c>
      <c r="C450" s="0" t="s">
        <v>1081</v>
      </c>
      <c r="D450" s="0" t="s">
        <v>534</v>
      </c>
      <c r="E450" s="0" t="s">
        <v>1086</v>
      </c>
      <c r="F450" s="0" t="n">
        <v>0</v>
      </c>
      <c r="G450" s="0" t="n">
        <v>0</v>
      </c>
      <c r="H450" s="0" t="s">
        <v>117</v>
      </c>
      <c r="K450" s="0" t="s">
        <v>127</v>
      </c>
      <c r="L450" s="0" t="s">
        <v>1087</v>
      </c>
    </row>
    <row r="451" customFormat="false" ht="15" hidden="false" customHeight="false" outlineLevel="0" collapsed="false">
      <c r="A451" s="0" t="s">
        <v>6</v>
      </c>
      <c r="C451" s="0" t="s">
        <v>1081</v>
      </c>
      <c r="D451" s="0" t="s">
        <v>52</v>
      </c>
      <c r="E451" s="0" t="s">
        <v>1088</v>
      </c>
      <c r="F451" s="0" t="n">
        <v>0</v>
      </c>
      <c r="G451" s="0" t="n">
        <v>0</v>
      </c>
      <c r="H451" s="0" t="s">
        <v>117</v>
      </c>
      <c r="I451" s="0" t="s">
        <v>142</v>
      </c>
      <c r="K451" s="0" t="s">
        <v>132</v>
      </c>
      <c r="L451" s="0" t="s">
        <v>1089</v>
      </c>
    </row>
    <row r="452" customFormat="false" ht="15" hidden="false" customHeight="false" outlineLevel="0" collapsed="false">
      <c r="A452" s="0" t="s">
        <v>6</v>
      </c>
      <c r="C452" s="0" t="s">
        <v>1081</v>
      </c>
      <c r="D452" s="0" t="s">
        <v>55</v>
      </c>
      <c r="E452" s="0" t="s">
        <v>1090</v>
      </c>
      <c r="F452" s="0" t="n">
        <v>0</v>
      </c>
      <c r="G452" s="0" t="n">
        <v>0</v>
      </c>
      <c r="H452" s="0" t="s">
        <v>117</v>
      </c>
      <c r="K452" s="0" t="s">
        <v>135</v>
      </c>
      <c r="L452" s="0" t="s">
        <v>1091</v>
      </c>
    </row>
    <row r="453" customFormat="false" ht="15" hidden="false" customHeight="false" outlineLevel="0" collapsed="false">
      <c r="A453" s="0" t="s">
        <v>6</v>
      </c>
      <c r="C453" s="0" t="s">
        <v>1081</v>
      </c>
      <c r="D453" s="0" t="s">
        <v>58</v>
      </c>
      <c r="E453" s="0" t="s">
        <v>1092</v>
      </c>
      <c r="F453" s="0" t="n">
        <v>0</v>
      </c>
      <c r="G453" s="0" t="n">
        <v>0</v>
      </c>
      <c r="H453" s="0" t="s">
        <v>117</v>
      </c>
      <c r="K453" s="0" t="s">
        <v>138</v>
      </c>
      <c r="L453" s="0" t="s">
        <v>1093</v>
      </c>
    </row>
    <row r="454" customFormat="false" ht="15" hidden="false" customHeight="false" outlineLevel="0" collapsed="false">
      <c r="A454" s="0" t="s">
        <v>6</v>
      </c>
      <c r="C454" s="0" t="s">
        <v>1081</v>
      </c>
      <c r="D454" s="0" t="s">
        <v>65</v>
      </c>
      <c r="E454" s="0" t="s">
        <v>1094</v>
      </c>
      <c r="F454" s="0" t="n">
        <v>0</v>
      </c>
      <c r="G454" s="0" t="n">
        <v>0</v>
      </c>
      <c r="H454" s="0" t="s">
        <v>117</v>
      </c>
      <c r="K454" s="0" t="s">
        <v>143</v>
      </c>
      <c r="L454" s="0" t="s">
        <v>1095</v>
      </c>
    </row>
    <row r="455" customFormat="false" ht="15" hidden="false" customHeight="false" outlineLevel="0" collapsed="false">
      <c r="A455" s="0" t="s">
        <v>6</v>
      </c>
      <c r="C455" s="0" t="s">
        <v>1081</v>
      </c>
      <c r="D455" s="0" t="s">
        <v>69</v>
      </c>
      <c r="E455" s="0" t="s">
        <v>1096</v>
      </c>
      <c r="F455" s="0" t="n">
        <v>0</v>
      </c>
      <c r="G455" s="0" t="n">
        <v>0</v>
      </c>
      <c r="H455" s="0" t="s">
        <v>117</v>
      </c>
      <c r="K455" s="0" t="s">
        <v>146</v>
      </c>
      <c r="L455" s="0" t="s">
        <v>1097</v>
      </c>
    </row>
    <row r="456" customFormat="false" ht="15" hidden="false" customHeight="false" outlineLevel="0" collapsed="false">
      <c r="A456" s="0" t="s">
        <v>6</v>
      </c>
      <c r="C456" s="0" t="s">
        <v>1081</v>
      </c>
      <c r="D456" s="0" t="s">
        <v>72</v>
      </c>
      <c r="E456" s="0" t="s">
        <v>1098</v>
      </c>
      <c r="F456" s="0" t="n">
        <v>0</v>
      </c>
      <c r="G456" s="0" t="n">
        <v>0</v>
      </c>
      <c r="H456" s="0" t="s">
        <v>117</v>
      </c>
      <c r="K456" s="0" t="s">
        <v>149</v>
      </c>
      <c r="L456" s="0" t="s">
        <v>1099</v>
      </c>
    </row>
    <row r="457" customFormat="false" ht="15" hidden="false" customHeight="false" outlineLevel="0" collapsed="false">
      <c r="A457" s="0" t="s">
        <v>6</v>
      </c>
      <c r="C457" s="0" t="s">
        <v>1081</v>
      </c>
      <c r="D457" s="0" t="s">
        <v>75</v>
      </c>
      <c r="E457" s="0" t="s">
        <v>1100</v>
      </c>
      <c r="F457" s="0" t="n">
        <v>0</v>
      </c>
      <c r="G457" s="0" t="n">
        <v>0</v>
      </c>
      <c r="H457" s="0" t="s">
        <v>117</v>
      </c>
      <c r="K457" s="0" t="s">
        <v>152</v>
      </c>
      <c r="L457" s="0" t="s">
        <v>1101</v>
      </c>
    </row>
    <row r="458" customFormat="false" ht="15" hidden="false" customHeight="false" outlineLevel="0" collapsed="false">
      <c r="A458" s="0" t="s">
        <v>6</v>
      </c>
      <c r="C458" s="0" t="s">
        <v>1081</v>
      </c>
      <c r="D458" s="0" t="s">
        <v>78</v>
      </c>
      <c r="E458" s="0" t="s">
        <v>1102</v>
      </c>
      <c r="F458" s="0" t="n">
        <v>0</v>
      </c>
      <c r="G458" s="0" t="n">
        <v>0</v>
      </c>
      <c r="H458" s="0" t="s">
        <v>117</v>
      </c>
      <c r="K458" s="0" t="s">
        <v>156</v>
      </c>
      <c r="L458" s="0" t="s">
        <v>1103</v>
      </c>
    </row>
    <row r="459" customFormat="false" ht="15" hidden="false" customHeight="false" outlineLevel="0" collapsed="false">
      <c r="A459" s="0" t="s">
        <v>6</v>
      </c>
      <c r="C459" s="0" t="s">
        <v>1081</v>
      </c>
      <c r="D459" s="0" t="s">
        <v>81</v>
      </c>
      <c r="E459" s="0" t="s">
        <v>1104</v>
      </c>
      <c r="F459" s="0" t="n">
        <v>0</v>
      </c>
      <c r="G459" s="0" t="n">
        <v>0</v>
      </c>
      <c r="H459" s="0" t="s">
        <v>117</v>
      </c>
      <c r="K459" s="0" t="s">
        <v>160</v>
      </c>
      <c r="L459" s="0" t="s">
        <v>1105</v>
      </c>
    </row>
    <row r="460" customFormat="false" ht="15" hidden="false" customHeight="false" outlineLevel="0" collapsed="false">
      <c r="A460" s="0" t="s">
        <v>6</v>
      </c>
      <c r="C460" s="0" t="s">
        <v>1106</v>
      </c>
      <c r="D460" s="0" t="s">
        <v>528</v>
      </c>
      <c r="E460" s="0" t="s">
        <v>1107</v>
      </c>
      <c r="F460" s="0" t="n">
        <v>0</v>
      </c>
      <c r="G460" s="0" t="n">
        <v>0</v>
      </c>
      <c r="H460" s="0" t="s">
        <v>117</v>
      </c>
      <c r="K460" s="0" t="s">
        <v>118</v>
      </c>
      <c r="L460" s="0" t="s">
        <v>1108</v>
      </c>
    </row>
    <row r="461" customFormat="false" ht="15" hidden="false" customHeight="false" outlineLevel="0" collapsed="false">
      <c r="A461" s="0" t="s">
        <v>6</v>
      </c>
      <c r="C461" s="0" t="s">
        <v>1106</v>
      </c>
      <c r="D461" s="0" t="s">
        <v>531</v>
      </c>
      <c r="E461" s="0" t="s">
        <v>1109</v>
      </c>
      <c r="F461" s="0" t="n">
        <v>0</v>
      </c>
      <c r="G461" s="0" t="n">
        <v>0</v>
      </c>
      <c r="H461" s="0" t="s">
        <v>117</v>
      </c>
      <c r="K461" s="0" t="s">
        <v>123</v>
      </c>
      <c r="L461" s="0" t="s">
        <v>1110</v>
      </c>
    </row>
    <row r="462" customFormat="false" ht="15" hidden="false" customHeight="false" outlineLevel="0" collapsed="false">
      <c r="A462" s="0" t="s">
        <v>6</v>
      </c>
      <c r="C462" s="0" t="s">
        <v>1106</v>
      </c>
      <c r="D462" s="0" t="s">
        <v>534</v>
      </c>
      <c r="E462" s="0" t="s">
        <v>1111</v>
      </c>
      <c r="F462" s="0" t="n">
        <v>0</v>
      </c>
      <c r="G462" s="0" t="n">
        <v>0</v>
      </c>
      <c r="H462" s="0" t="s">
        <v>117</v>
      </c>
      <c r="K462" s="0" t="s">
        <v>127</v>
      </c>
      <c r="L462" s="0" t="s">
        <v>1112</v>
      </c>
    </row>
    <row r="463" customFormat="false" ht="15" hidden="false" customHeight="false" outlineLevel="0" collapsed="false">
      <c r="A463" s="0" t="s">
        <v>6</v>
      </c>
      <c r="C463" s="0" t="s">
        <v>1106</v>
      </c>
      <c r="D463" s="0" t="s">
        <v>52</v>
      </c>
      <c r="E463" s="0" t="s">
        <v>1113</v>
      </c>
      <c r="F463" s="0" t="n">
        <v>0</v>
      </c>
      <c r="G463" s="0" t="n">
        <v>0</v>
      </c>
      <c r="H463" s="0" t="s">
        <v>117</v>
      </c>
      <c r="K463" s="0" t="s">
        <v>132</v>
      </c>
      <c r="L463" s="0" t="s">
        <v>1114</v>
      </c>
    </row>
    <row r="464" customFormat="false" ht="15" hidden="false" customHeight="false" outlineLevel="0" collapsed="false">
      <c r="A464" s="0" t="s">
        <v>6</v>
      </c>
      <c r="C464" s="0" t="s">
        <v>1106</v>
      </c>
      <c r="D464" s="0" t="s">
        <v>55</v>
      </c>
      <c r="E464" s="0" t="s">
        <v>1115</v>
      </c>
      <c r="F464" s="0" t="n">
        <v>0</v>
      </c>
      <c r="G464" s="0" t="n">
        <v>0</v>
      </c>
      <c r="H464" s="0" t="s">
        <v>117</v>
      </c>
      <c r="K464" s="0" t="s">
        <v>135</v>
      </c>
      <c r="L464" s="0" t="s">
        <v>1116</v>
      </c>
    </row>
    <row r="465" customFormat="false" ht="15" hidden="false" customHeight="false" outlineLevel="0" collapsed="false">
      <c r="A465" s="0" t="s">
        <v>6</v>
      </c>
      <c r="C465" s="0" t="s">
        <v>1106</v>
      </c>
      <c r="D465" s="0" t="s">
        <v>58</v>
      </c>
      <c r="E465" s="0" t="s">
        <v>1117</v>
      </c>
      <c r="F465" s="0" t="n">
        <v>0</v>
      </c>
      <c r="G465" s="0" t="n">
        <v>0</v>
      </c>
      <c r="H465" s="0" t="s">
        <v>117</v>
      </c>
      <c r="K465" s="0" t="s">
        <v>138</v>
      </c>
      <c r="L465" s="0" t="s">
        <v>1118</v>
      </c>
    </row>
    <row r="466" customFormat="false" ht="15" hidden="false" customHeight="false" outlineLevel="0" collapsed="false">
      <c r="A466" s="0" t="s">
        <v>6</v>
      </c>
      <c r="C466" s="0" t="s">
        <v>1106</v>
      </c>
      <c r="D466" s="0" t="s">
        <v>65</v>
      </c>
      <c r="E466" s="0" t="s">
        <v>1119</v>
      </c>
      <c r="F466" s="0" t="n">
        <v>0</v>
      </c>
      <c r="G466" s="0" t="n">
        <v>0</v>
      </c>
      <c r="H466" s="0" t="s">
        <v>117</v>
      </c>
      <c r="K466" s="0" t="s">
        <v>143</v>
      </c>
      <c r="L466" s="0" t="s">
        <v>1120</v>
      </c>
    </row>
    <row r="467" customFormat="false" ht="15" hidden="false" customHeight="false" outlineLevel="0" collapsed="false">
      <c r="A467" s="0" t="s">
        <v>6</v>
      </c>
      <c r="C467" s="0" t="s">
        <v>1106</v>
      </c>
      <c r="D467" s="0" t="s">
        <v>69</v>
      </c>
      <c r="E467" s="0" t="s">
        <v>1121</v>
      </c>
      <c r="F467" s="0" t="n">
        <v>0</v>
      </c>
      <c r="G467" s="0" t="n">
        <v>0</v>
      </c>
      <c r="H467" s="0" t="s">
        <v>117</v>
      </c>
      <c r="K467" s="0" t="s">
        <v>146</v>
      </c>
      <c r="L467" s="0" t="s">
        <v>1122</v>
      </c>
    </row>
    <row r="468" customFormat="false" ht="15" hidden="false" customHeight="false" outlineLevel="0" collapsed="false">
      <c r="A468" s="0" t="s">
        <v>6</v>
      </c>
      <c r="C468" s="0" t="s">
        <v>1106</v>
      </c>
      <c r="D468" s="0" t="s">
        <v>72</v>
      </c>
      <c r="E468" s="0" t="s">
        <v>1123</v>
      </c>
      <c r="F468" s="0" t="n">
        <v>0</v>
      </c>
      <c r="G468" s="0" t="n">
        <v>0</v>
      </c>
      <c r="H468" s="0" t="s">
        <v>117</v>
      </c>
      <c r="K468" s="0" t="s">
        <v>149</v>
      </c>
      <c r="L468" s="0" t="s">
        <v>1124</v>
      </c>
    </row>
    <row r="469" customFormat="false" ht="15" hidden="false" customHeight="false" outlineLevel="0" collapsed="false">
      <c r="A469" s="0" t="s">
        <v>6</v>
      </c>
      <c r="C469" s="0" t="s">
        <v>1106</v>
      </c>
      <c r="D469" s="0" t="s">
        <v>75</v>
      </c>
      <c r="E469" s="0" t="s">
        <v>1125</v>
      </c>
      <c r="F469" s="0" t="n">
        <v>0</v>
      </c>
      <c r="G469" s="0" t="n">
        <v>0</v>
      </c>
      <c r="H469" s="0" t="s">
        <v>117</v>
      </c>
      <c r="K469" s="0" t="s">
        <v>152</v>
      </c>
      <c r="L469" s="0" t="s">
        <v>1126</v>
      </c>
    </row>
    <row r="470" customFormat="false" ht="15" hidden="false" customHeight="false" outlineLevel="0" collapsed="false">
      <c r="A470" s="0" t="s">
        <v>6</v>
      </c>
      <c r="C470" s="0" t="s">
        <v>1106</v>
      </c>
      <c r="D470" s="0" t="s">
        <v>78</v>
      </c>
      <c r="E470" s="0" t="s">
        <v>1127</v>
      </c>
      <c r="F470" s="0" t="n">
        <v>0</v>
      </c>
      <c r="G470" s="0" t="n">
        <v>0</v>
      </c>
      <c r="H470" s="0" t="s">
        <v>117</v>
      </c>
      <c r="K470" s="0" t="s">
        <v>156</v>
      </c>
      <c r="L470" s="0" t="s">
        <v>1128</v>
      </c>
    </row>
    <row r="471" customFormat="false" ht="15" hidden="false" customHeight="false" outlineLevel="0" collapsed="false">
      <c r="A471" s="0" t="s">
        <v>6</v>
      </c>
      <c r="C471" s="0" t="s">
        <v>1106</v>
      </c>
      <c r="D471" s="0" t="s">
        <v>81</v>
      </c>
      <c r="E471" s="0" t="s">
        <v>1129</v>
      </c>
      <c r="F471" s="0" t="n">
        <v>0</v>
      </c>
      <c r="G471" s="0" t="n">
        <v>0</v>
      </c>
      <c r="H471" s="0" t="s">
        <v>117</v>
      </c>
      <c r="K471" s="0" t="s">
        <v>160</v>
      </c>
      <c r="L471" s="0" t="s">
        <v>1130</v>
      </c>
    </row>
    <row r="472" customFormat="false" ht="15" hidden="false" customHeight="false" outlineLevel="0" collapsed="false">
      <c r="A472" s="0" t="s">
        <v>6</v>
      </c>
      <c r="C472" s="0" t="s">
        <v>1131</v>
      </c>
      <c r="D472" s="0" t="s">
        <v>528</v>
      </c>
      <c r="E472" s="0" t="s">
        <v>1132</v>
      </c>
      <c r="F472" s="0" t="n">
        <v>0</v>
      </c>
      <c r="G472" s="0" t="n">
        <v>0</v>
      </c>
      <c r="H472" s="0" t="s">
        <v>117</v>
      </c>
      <c r="K472" s="0" t="s">
        <v>118</v>
      </c>
      <c r="L472" s="0" t="s">
        <v>1133</v>
      </c>
    </row>
    <row r="473" customFormat="false" ht="15" hidden="false" customHeight="false" outlineLevel="0" collapsed="false">
      <c r="A473" s="0" t="s">
        <v>6</v>
      </c>
      <c r="C473" s="0" t="s">
        <v>1131</v>
      </c>
      <c r="D473" s="0" t="s">
        <v>531</v>
      </c>
      <c r="E473" s="0" t="s">
        <v>1134</v>
      </c>
      <c r="F473" s="0" t="n">
        <v>0</v>
      </c>
      <c r="G473" s="0" t="n">
        <v>0</v>
      </c>
      <c r="H473" s="0" t="s">
        <v>117</v>
      </c>
      <c r="K473" s="0" t="s">
        <v>123</v>
      </c>
      <c r="L473" s="0" t="s">
        <v>1135</v>
      </c>
    </row>
    <row r="474" customFormat="false" ht="15" hidden="false" customHeight="false" outlineLevel="0" collapsed="false">
      <c r="A474" s="0" t="s">
        <v>6</v>
      </c>
      <c r="C474" s="0" t="s">
        <v>1131</v>
      </c>
      <c r="D474" s="0" t="s">
        <v>534</v>
      </c>
      <c r="E474" s="0" t="s">
        <v>1136</v>
      </c>
      <c r="F474" s="0" t="n">
        <v>0</v>
      </c>
      <c r="G474" s="0" t="n">
        <v>0</v>
      </c>
      <c r="H474" s="0" t="s">
        <v>117</v>
      </c>
      <c r="K474" s="0" t="s">
        <v>127</v>
      </c>
      <c r="L474" s="0" t="s">
        <v>1137</v>
      </c>
    </row>
    <row r="475" customFormat="false" ht="15" hidden="false" customHeight="false" outlineLevel="0" collapsed="false">
      <c r="A475" s="0" t="s">
        <v>6</v>
      </c>
      <c r="C475" s="0" t="s">
        <v>1131</v>
      </c>
      <c r="D475" s="0" t="s">
        <v>52</v>
      </c>
      <c r="E475" s="0" t="s">
        <v>1138</v>
      </c>
      <c r="F475" s="0" t="n">
        <v>0</v>
      </c>
      <c r="G475" s="0" t="n">
        <v>0</v>
      </c>
      <c r="H475" s="0" t="s">
        <v>117</v>
      </c>
      <c r="K475" s="0" t="s">
        <v>132</v>
      </c>
      <c r="L475" s="0" t="s">
        <v>1139</v>
      </c>
    </row>
    <row r="476" customFormat="false" ht="15" hidden="false" customHeight="false" outlineLevel="0" collapsed="false">
      <c r="A476" s="0" t="s">
        <v>6</v>
      </c>
      <c r="C476" s="0" t="s">
        <v>1131</v>
      </c>
      <c r="D476" s="0" t="s">
        <v>55</v>
      </c>
      <c r="E476" s="0" t="s">
        <v>1140</v>
      </c>
      <c r="F476" s="0" t="n">
        <v>0</v>
      </c>
      <c r="G476" s="0" t="n">
        <v>0</v>
      </c>
      <c r="H476" s="0" t="s">
        <v>117</v>
      </c>
      <c r="K476" s="0" t="s">
        <v>135</v>
      </c>
      <c r="L476" s="0" t="s">
        <v>1141</v>
      </c>
    </row>
    <row r="477" customFormat="false" ht="15" hidden="false" customHeight="false" outlineLevel="0" collapsed="false">
      <c r="A477" s="0" t="s">
        <v>6</v>
      </c>
      <c r="C477" s="0" t="s">
        <v>1131</v>
      </c>
      <c r="D477" s="0" t="s">
        <v>58</v>
      </c>
      <c r="E477" s="0" t="s">
        <v>1142</v>
      </c>
      <c r="F477" s="0" t="n">
        <v>0</v>
      </c>
      <c r="G477" s="0" t="n">
        <v>0</v>
      </c>
      <c r="H477" s="0" t="s">
        <v>117</v>
      </c>
      <c r="K477" s="0" t="s">
        <v>138</v>
      </c>
      <c r="L477" s="0" t="s">
        <v>1143</v>
      </c>
    </row>
    <row r="478" customFormat="false" ht="15" hidden="false" customHeight="false" outlineLevel="0" collapsed="false">
      <c r="A478" s="0" t="s">
        <v>6</v>
      </c>
      <c r="C478" s="0" t="s">
        <v>1131</v>
      </c>
      <c r="D478" s="0" t="s">
        <v>65</v>
      </c>
      <c r="E478" s="0" t="s">
        <v>1144</v>
      </c>
      <c r="F478" s="0" t="n">
        <v>0</v>
      </c>
      <c r="G478" s="0" t="n">
        <v>0</v>
      </c>
      <c r="H478" s="0" t="s">
        <v>117</v>
      </c>
      <c r="K478" s="0" t="s">
        <v>143</v>
      </c>
      <c r="L478" s="0" t="s">
        <v>1145</v>
      </c>
    </row>
    <row r="479" customFormat="false" ht="15" hidden="false" customHeight="false" outlineLevel="0" collapsed="false">
      <c r="A479" s="0" t="s">
        <v>6</v>
      </c>
      <c r="C479" s="0" t="s">
        <v>1131</v>
      </c>
      <c r="D479" s="0" t="s">
        <v>69</v>
      </c>
      <c r="E479" s="0" t="s">
        <v>1146</v>
      </c>
      <c r="F479" s="0" t="n">
        <v>0</v>
      </c>
      <c r="G479" s="0" t="n">
        <v>0</v>
      </c>
      <c r="H479" s="0" t="s">
        <v>117</v>
      </c>
      <c r="K479" s="0" t="s">
        <v>146</v>
      </c>
      <c r="L479" s="0" t="s">
        <v>1147</v>
      </c>
    </row>
    <row r="480" customFormat="false" ht="15" hidden="false" customHeight="false" outlineLevel="0" collapsed="false">
      <c r="A480" s="0" t="s">
        <v>6</v>
      </c>
      <c r="C480" s="0" t="s">
        <v>1131</v>
      </c>
      <c r="D480" s="0" t="s">
        <v>72</v>
      </c>
      <c r="E480" s="0" t="s">
        <v>1148</v>
      </c>
      <c r="F480" s="0" t="n">
        <v>0</v>
      </c>
      <c r="G480" s="0" t="n">
        <v>0</v>
      </c>
      <c r="H480" s="0" t="s">
        <v>117</v>
      </c>
      <c r="K480" s="0" t="s">
        <v>149</v>
      </c>
      <c r="L480" s="0" t="s">
        <v>1149</v>
      </c>
    </row>
    <row r="481" customFormat="false" ht="15" hidden="false" customHeight="false" outlineLevel="0" collapsed="false">
      <c r="A481" s="0" t="s">
        <v>6</v>
      </c>
      <c r="C481" s="0" t="s">
        <v>1131</v>
      </c>
      <c r="D481" s="0" t="s">
        <v>75</v>
      </c>
      <c r="E481" s="0" t="s">
        <v>1150</v>
      </c>
      <c r="F481" s="0" t="n">
        <v>0</v>
      </c>
      <c r="G481" s="0" t="n">
        <v>0</v>
      </c>
      <c r="H481" s="0" t="s">
        <v>117</v>
      </c>
      <c r="K481" s="0" t="s">
        <v>152</v>
      </c>
      <c r="L481" s="0" t="s">
        <v>1151</v>
      </c>
    </row>
    <row r="482" customFormat="false" ht="15" hidden="false" customHeight="false" outlineLevel="0" collapsed="false">
      <c r="A482" s="0" t="s">
        <v>6</v>
      </c>
      <c r="C482" s="0" t="s">
        <v>1131</v>
      </c>
      <c r="D482" s="0" t="s">
        <v>78</v>
      </c>
      <c r="E482" s="0" t="s">
        <v>1152</v>
      </c>
      <c r="F482" s="0" t="n">
        <v>0</v>
      </c>
      <c r="G482" s="0" t="n">
        <v>0</v>
      </c>
      <c r="H482" s="0" t="s">
        <v>117</v>
      </c>
      <c r="K482" s="0" t="s">
        <v>156</v>
      </c>
      <c r="L482" s="0" t="s">
        <v>1153</v>
      </c>
    </row>
    <row r="483" customFormat="false" ht="15" hidden="false" customHeight="false" outlineLevel="0" collapsed="false">
      <c r="A483" s="0" t="s">
        <v>6</v>
      </c>
      <c r="C483" s="0" t="s">
        <v>1131</v>
      </c>
      <c r="D483" s="0" t="s">
        <v>81</v>
      </c>
      <c r="E483" s="0" t="s">
        <v>1154</v>
      </c>
      <c r="F483" s="0" t="n">
        <v>0</v>
      </c>
      <c r="G483" s="0" t="n">
        <v>0</v>
      </c>
      <c r="H483" s="0" t="s">
        <v>117</v>
      </c>
      <c r="K483" s="0" t="s">
        <v>160</v>
      </c>
      <c r="L483" s="0" t="s">
        <v>1155</v>
      </c>
    </row>
    <row r="484" customFormat="false" ht="15" hidden="false" customHeight="false" outlineLevel="0" collapsed="false">
      <c r="A484" s="0" t="s">
        <v>6</v>
      </c>
      <c r="C484" s="0" t="s">
        <v>1156</v>
      </c>
      <c r="D484" s="0" t="s">
        <v>528</v>
      </c>
      <c r="E484" s="0" t="s">
        <v>1157</v>
      </c>
      <c r="F484" s="0" t="n">
        <v>0</v>
      </c>
      <c r="G484" s="0" t="n">
        <v>0</v>
      </c>
      <c r="H484" s="0" t="s">
        <v>117</v>
      </c>
      <c r="K484" s="0" t="s">
        <v>118</v>
      </c>
      <c r="L484" s="0" t="s">
        <v>1158</v>
      </c>
    </row>
    <row r="485" customFormat="false" ht="15" hidden="false" customHeight="false" outlineLevel="0" collapsed="false">
      <c r="A485" s="0" t="s">
        <v>6</v>
      </c>
      <c r="C485" s="0" t="s">
        <v>1156</v>
      </c>
      <c r="D485" s="0" t="s">
        <v>531</v>
      </c>
      <c r="E485" s="0" t="s">
        <v>1159</v>
      </c>
      <c r="F485" s="0" t="n">
        <v>0</v>
      </c>
      <c r="G485" s="0" t="n">
        <v>0</v>
      </c>
      <c r="H485" s="0" t="s">
        <v>117</v>
      </c>
      <c r="K485" s="0" t="s">
        <v>123</v>
      </c>
      <c r="L485" s="0" t="s">
        <v>1160</v>
      </c>
    </row>
    <row r="486" customFormat="false" ht="15" hidden="false" customHeight="false" outlineLevel="0" collapsed="false">
      <c r="A486" s="0" t="s">
        <v>6</v>
      </c>
      <c r="C486" s="0" t="s">
        <v>1156</v>
      </c>
      <c r="D486" s="0" t="s">
        <v>534</v>
      </c>
      <c r="E486" s="0" t="s">
        <v>1161</v>
      </c>
      <c r="F486" s="0" t="n">
        <v>0</v>
      </c>
      <c r="G486" s="0" t="n">
        <v>0</v>
      </c>
      <c r="H486" s="0" t="s">
        <v>117</v>
      </c>
      <c r="K486" s="0" t="s">
        <v>127</v>
      </c>
      <c r="L486" s="0" t="s">
        <v>1162</v>
      </c>
    </row>
    <row r="487" customFormat="false" ht="15" hidden="false" customHeight="false" outlineLevel="0" collapsed="false">
      <c r="A487" s="0" t="s">
        <v>6</v>
      </c>
      <c r="C487" s="0" t="s">
        <v>1156</v>
      </c>
      <c r="D487" s="0" t="s">
        <v>52</v>
      </c>
      <c r="E487" s="0" t="s">
        <v>1163</v>
      </c>
      <c r="F487" s="0" t="n">
        <v>0</v>
      </c>
      <c r="G487" s="0" t="n">
        <v>0</v>
      </c>
      <c r="H487" s="0" t="s">
        <v>117</v>
      </c>
      <c r="K487" s="0" t="s">
        <v>132</v>
      </c>
      <c r="L487" s="0" t="s">
        <v>1164</v>
      </c>
    </row>
    <row r="488" customFormat="false" ht="15" hidden="false" customHeight="false" outlineLevel="0" collapsed="false">
      <c r="A488" s="0" t="s">
        <v>6</v>
      </c>
      <c r="C488" s="0" t="s">
        <v>1156</v>
      </c>
      <c r="D488" s="0" t="s">
        <v>55</v>
      </c>
      <c r="E488" s="0" t="s">
        <v>1165</v>
      </c>
      <c r="F488" s="0" t="n">
        <v>0</v>
      </c>
      <c r="G488" s="0" t="n">
        <v>0</v>
      </c>
      <c r="H488" s="0" t="s">
        <v>117</v>
      </c>
      <c r="K488" s="0" t="s">
        <v>135</v>
      </c>
      <c r="L488" s="0" t="s">
        <v>1166</v>
      </c>
    </row>
    <row r="489" customFormat="false" ht="15" hidden="false" customHeight="false" outlineLevel="0" collapsed="false">
      <c r="A489" s="0" t="s">
        <v>6</v>
      </c>
      <c r="C489" s="0" t="s">
        <v>1156</v>
      </c>
      <c r="D489" s="0" t="s">
        <v>58</v>
      </c>
      <c r="E489" s="0" t="s">
        <v>1167</v>
      </c>
      <c r="F489" s="0" t="n">
        <v>0</v>
      </c>
      <c r="G489" s="0" t="n">
        <v>0</v>
      </c>
      <c r="H489" s="0" t="s">
        <v>117</v>
      </c>
      <c r="K489" s="0" t="s">
        <v>138</v>
      </c>
      <c r="L489" s="0" t="s">
        <v>1168</v>
      </c>
    </row>
    <row r="490" customFormat="false" ht="15" hidden="false" customHeight="false" outlineLevel="0" collapsed="false">
      <c r="A490" s="0" t="s">
        <v>6</v>
      </c>
      <c r="C490" s="0" t="s">
        <v>1156</v>
      </c>
      <c r="D490" s="0" t="s">
        <v>65</v>
      </c>
      <c r="E490" s="0" t="s">
        <v>1169</v>
      </c>
      <c r="F490" s="0" t="n">
        <v>0</v>
      </c>
      <c r="G490" s="0" t="n">
        <v>0</v>
      </c>
      <c r="H490" s="0" t="s">
        <v>117</v>
      </c>
      <c r="K490" s="0" t="s">
        <v>143</v>
      </c>
      <c r="L490" s="0" t="s">
        <v>1170</v>
      </c>
    </row>
    <row r="491" customFormat="false" ht="15" hidden="false" customHeight="false" outlineLevel="0" collapsed="false">
      <c r="A491" s="0" t="s">
        <v>6</v>
      </c>
      <c r="C491" s="0" t="s">
        <v>1156</v>
      </c>
      <c r="D491" s="0" t="s">
        <v>69</v>
      </c>
      <c r="E491" s="0" t="s">
        <v>1171</v>
      </c>
      <c r="F491" s="0" t="n">
        <v>0</v>
      </c>
      <c r="G491" s="0" t="n">
        <v>0</v>
      </c>
      <c r="H491" s="0" t="s">
        <v>117</v>
      </c>
      <c r="K491" s="0" t="s">
        <v>146</v>
      </c>
      <c r="L491" s="0" t="s">
        <v>1172</v>
      </c>
    </row>
    <row r="492" customFormat="false" ht="15" hidden="false" customHeight="false" outlineLevel="0" collapsed="false">
      <c r="A492" s="0" t="s">
        <v>6</v>
      </c>
      <c r="C492" s="0" t="s">
        <v>1156</v>
      </c>
      <c r="D492" s="0" t="s">
        <v>72</v>
      </c>
      <c r="E492" s="0" t="s">
        <v>1173</v>
      </c>
      <c r="F492" s="0" t="n">
        <v>0</v>
      </c>
      <c r="G492" s="0" t="n">
        <v>0</v>
      </c>
      <c r="H492" s="0" t="s">
        <v>117</v>
      </c>
      <c r="K492" s="0" t="s">
        <v>149</v>
      </c>
      <c r="L492" s="0" t="s">
        <v>1174</v>
      </c>
    </row>
    <row r="493" customFormat="false" ht="15" hidden="false" customHeight="false" outlineLevel="0" collapsed="false">
      <c r="A493" s="0" t="s">
        <v>6</v>
      </c>
      <c r="C493" s="0" t="s">
        <v>1156</v>
      </c>
      <c r="D493" s="0" t="s">
        <v>75</v>
      </c>
      <c r="E493" s="0" t="s">
        <v>1175</v>
      </c>
      <c r="F493" s="0" t="n">
        <v>0</v>
      </c>
      <c r="G493" s="0" t="n">
        <v>0</v>
      </c>
      <c r="H493" s="0" t="s">
        <v>117</v>
      </c>
      <c r="K493" s="0" t="s">
        <v>152</v>
      </c>
      <c r="L493" s="0" t="s">
        <v>1176</v>
      </c>
    </row>
    <row r="494" customFormat="false" ht="15" hidden="false" customHeight="false" outlineLevel="0" collapsed="false">
      <c r="A494" s="0" t="s">
        <v>6</v>
      </c>
      <c r="C494" s="0" t="s">
        <v>1156</v>
      </c>
      <c r="D494" s="0" t="s">
        <v>78</v>
      </c>
      <c r="E494" s="0" t="s">
        <v>1177</v>
      </c>
      <c r="F494" s="0" t="n">
        <v>0</v>
      </c>
      <c r="G494" s="0" t="n">
        <v>0</v>
      </c>
      <c r="H494" s="0" t="s">
        <v>117</v>
      </c>
      <c r="K494" s="0" t="s">
        <v>156</v>
      </c>
      <c r="L494" s="0" t="s">
        <v>1178</v>
      </c>
    </row>
    <row r="495" customFormat="false" ht="15" hidden="false" customHeight="false" outlineLevel="0" collapsed="false">
      <c r="A495" s="0" t="s">
        <v>6</v>
      </c>
      <c r="B495" s="0" t="s">
        <v>154</v>
      </c>
      <c r="C495" s="0" t="s">
        <v>1156</v>
      </c>
      <c r="D495" s="0" t="s">
        <v>81</v>
      </c>
      <c r="E495" s="0" t="s">
        <v>1179</v>
      </c>
      <c r="F495" s="0" t="n">
        <v>0</v>
      </c>
      <c r="G495" s="0" t="n">
        <v>4</v>
      </c>
      <c r="H495" s="0" t="s">
        <v>117</v>
      </c>
      <c r="I495" s="0" t="s">
        <v>142</v>
      </c>
      <c r="K495" s="0" t="s">
        <v>160</v>
      </c>
      <c r="L495" s="0" t="s">
        <v>1180</v>
      </c>
    </row>
    <row r="496" customFormat="false" ht="15" hidden="false" customHeight="false" outlineLevel="0" collapsed="false">
      <c r="A496" s="0" t="s">
        <v>6</v>
      </c>
      <c r="C496" s="0" t="s">
        <v>1181</v>
      </c>
      <c r="D496" s="0" t="s">
        <v>528</v>
      </c>
      <c r="E496" s="0" t="s">
        <v>1182</v>
      </c>
      <c r="F496" s="0" t="n">
        <v>0</v>
      </c>
      <c r="G496" s="0" t="n">
        <v>0</v>
      </c>
      <c r="H496" s="0" t="s">
        <v>117</v>
      </c>
      <c r="K496" s="0" t="s">
        <v>118</v>
      </c>
      <c r="L496" s="0" t="s">
        <v>1183</v>
      </c>
    </row>
    <row r="497" customFormat="false" ht="15" hidden="false" customHeight="false" outlineLevel="0" collapsed="false">
      <c r="A497" s="0" t="s">
        <v>6</v>
      </c>
      <c r="B497" s="0" t="s">
        <v>154</v>
      </c>
      <c r="C497" s="0" t="s">
        <v>1181</v>
      </c>
      <c r="D497" s="0" t="s">
        <v>531</v>
      </c>
      <c r="E497" s="0" t="s">
        <v>1184</v>
      </c>
      <c r="F497" s="0" t="n">
        <v>0</v>
      </c>
      <c r="G497" s="0" t="n">
        <v>4</v>
      </c>
      <c r="H497" s="0" t="s">
        <v>117</v>
      </c>
      <c r="I497" s="0" t="s">
        <v>142</v>
      </c>
      <c r="K497" s="0" t="s">
        <v>123</v>
      </c>
      <c r="L497" s="0" t="s">
        <v>1185</v>
      </c>
    </row>
    <row r="498" customFormat="false" ht="15" hidden="false" customHeight="false" outlineLevel="0" collapsed="false">
      <c r="A498" s="0" t="s">
        <v>6</v>
      </c>
      <c r="B498" s="0" t="s">
        <v>140</v>
      </c>
      <c r="C498" s="0" t="s">
        <v>1181</v>
      </c>
      <c r="D498" s="0" t="s">
        <v>534</v>
      </c>
      <c r="E498" s="0" t="s">
        <v>1186</v>
      </c>
      <c r="F498" s="0" t="n">
        <v>0</v>
      </c>
      <c r="G498" s="0" t="n">
        <v>4</v>
      </c>
      <c r="H498" s="0" t="s">
        <v>117</v>
      </c>
      <c r="I498" s="0" t="s">
        <v>142</v>
      </c>
      <c r="K498" s="0" t="s">
        <v>127</v>
      </c>
      <c r="L498" s="0" t="s">
        <v>1187</v>
      </c>
    </row>
    <row r="499" customFormat="false" ht="15" hidden="false" customHeight="false" outlineLevel="0" collapsed="false">
      <c r="A499" s="0" t="s">
        <v>6</v>
      </c>
      <c r="B499" s="0" t="s">
        <v>154</v>
      </c>
      <c r="C499" s="0" t="s">
        <v>1181</v>
      </c>
      <c r="D499" s="0" t="s">
        <v>52</v>
      </c>
      <c r="E499" s="0" t="s">
        <v>1188</v>
      </c>
      <c r="F499" s="0" t="n">
        <v>0</v>
      </c>
      <c r="G499" s="0" t="n">
        <v>3</v>
      </c>
      <c r="H499" s="0" t="s">
        <v>117</v>
      </c>
      <c r="I499" s="0" t="s">
        <v>879</v>
      </c>
      <c r="K499" s="0" t="s">
        <v>132</v>
      </c>
      <c r="L499" s="0" t="s">
        <v>1189</v>
      </c>
    </row>
    <row r="500" customFormat="false" ht="15" hidden="false" customHeight="false" outlineLevel="0" collapsed="false">
      <c r="A500" s="0" t="s">
        <v>6</v>
      </c>
      <c r="C500" s="0" t="s">
        <v>1181</v>
      </c>
      <c r="D500" s="0" t="s">
        <v>55</v>
      </c>
      <c r="E500" s="0" t="s">
        <v>1190</v>
      </c>
      <c r="F500" s="0" t="n">
        <v>0</v>
      </c>
      <c r="G500" s="0" t="n">
        <v>0</v>
      </c>
      <c r="H500" s="0" t="s">
        <v>117</v>
      </c>
      <c r="K500" s="0" t="s">
        <v>135</v>
      </c>
      <c r="L500" s="0" t="s">
        <v>1191</v>
      </c>
    </row>
    <row r="501" customFormat="false" ht="15" hidden="false" customHeight="false" outlineLevel="0" collapsed="false">
      <c r="A501" s="0" t="s">
        <v>6</v>
      </c>
      <c r="C501" s="0" t="s">
        <v>1181</v>
      </c>
      <c r="D501" s="0" t="s">
        <v>58</v>
      </c>
      <c r="E501" s="0" t="s">
        <v>1192</v>
      </c>
      <c r="F501" s="0" t="n">
        <v>0</v>
      </c>
      <c r="G501" s="0" t="n">
        <v>0</v>
      </c>
      <c r="H501" s="0" t="s">
        <v>117</v>
      </c>
      <c r="K501" s="0" t="s">
        <v>138</v>
      </c>
      <c r="L501" s="0" t="s">
        <v>1193</v>
      </c>
    </row>
    <row r="502" customFormat="false" ht="15" hidden="false" customHeight="false" outlineLevel="0" collapsed="false">
      <c r="A502" s="0" t="s">
        <v>6</v>
      </c>
      <c r="C502" s="0" t="s">
        <v>1181</v>
      </c>
      <c r="D502" s="0" t="s">
        <v>65</v>
      </c>
      <c r="E502" s="0" t="s">
        <v>1194</v>
      </c>
      <c r="F502" s="0" t="n">
        <v>0</v>
      </c>
      <c r="G502" s="0" t="n">
        <v>0</v>
      </c>
      <c r="H502" s="0" t="s">
        <v>117</v>
      </c>
      <c r="K502" s="0" t="s">
        <v>143</v>
      </c>
      <c r="L502" s="0" t="s">
        <v>1195</v>
      </c>
    </row>
    <row r="503" customFormat="false" ht="15" hidden="false" customHeight="false" outlineLevel="0" collapsed="false">
      <c r="A503" s="0" t="s">
        <v>6</v>
      </c>
      <c r="C503" s="0" t="s">
        <v>1181</v>
      </c>
      <c r="D503" s="0" t="s">
        <v>69</v>
      </c>
      <c r="E503" s="0" t="s">
        <v>1196</v>
      </c>
      <c r="F503" s="0" t="n">
        <v>0</v>
      </c>
      <c r="G503" s="0" t="n">
        <v>0</v>
      </c>
      <c r="H503" s="0" t="s">
        <v>117</v>
      </c>
      <c r="K503" s="0" t="s">
        <v>146</v>
      </c>
      <c r="L503" s="0" t="s">
        <v>1197</v>
      </c>
    </row>
    <row r="504" customFormat="false" ht="15" hidden="false" customHeight="false" outlineLevel="0" collapsed="false">
      <c r="A504" s="0" t="s">
        <v>6</v>
      </c>
      <c r="C504" s="0" t="s">
        <v>1181</v>
      </c>
      <c r="D504" s="0" t="s">
        <v>72</v>
      </c>
      <c r="E504" s="0" t="s">
        <v>1198</v>
      </c>
      <c r="F504" s="0" t="n">
        <v>0</v>
      </c>
      <c r="G504" s="0" t="n">
        <v>0</v>
      </c>
      <c r="H504" s="0" t="s">
        <v>117</v>
      </c>
      <c r="K504" s="0" t="s">
        <v>149</v>
      </c>
      <c r="L504" s="0" t="s">
        <v>1199</v>
      </c>
    </row>
    <row r="505" customFormat="false" ht="15" hidden="false" customHeight="false" outlineLevel="0" collapsed="false">
      <c r="A505" s="0" t="s">
        <v>6</v>
      </c>
      <c r="C505" s="0" t="s">
        <v>1181</v>
      </c>
      <c r="D505" s="0" t="s">
        <v>75</v>
      </c>
      <c r="E505" s="0" t="s">
        <v>1200</v>
      </c>
      <c r="F505" s="0" t="n">
        <v>0</v>
      </c>
      <c r="G505" s="0" t="n">
        <v>0</v>
      </c>
      <c r="H505" s="0" t="s">
        <v>117</v>
      </c>
      <c r="K505" s="0" t="s">
        <v>152</v>
      </c>
      <c r="L505" s="0" t="s">
        <v>1201</v>
      </c>
    </row>
    <row r="506" customFormat="false" ht="15" hidden="false" customHeight="false" outlineLevel="0" collapsed="false">
      <c r="A506" s="0" t="s">
        <v>6</v>
      </c>
      <c r="C506" s="0" t="s">
        <v>1181</v>
      </c>
      <c r="D506" s="0" t="s">
        <v>78</v>
      </c>
      <c r="E506" s="0" t="s">
        <v>1202</v>
      </c>
      <c r="F506" s="0" t="n">
        <v>0</v>
      </c>
      <c r="G506" s="0" t="n">
        <v>0</v>
      </c>
      <c r="H506" s="0" t="s">
        <v>117</v>
      </c>
      <c r="K506" s="0" t="s">
        <v>156</v>
      </c>
      <c r="L506" s="0" t="s">
        <v>1203</v>
      </c>
    </row>
    <row r="507" customFormat="false" ht="15" hidden="false" customHeight="false" outlineLevel="0" collapsed="false">
      <c r="A507" s="0" t="s">
        <v>6</v>
      </c>
      <c r="C507" s="0" t="s">
        <v>1181</v>
      </c>
      <c r="D507" s="0" t="s">
        <v>81</v>
      </c>
      <c r="E507" s="0" t="s">
        <v>1204</v>
      </c>
      <c r="F507" s="0" t="n">
        <v>0</v>
      </c>
      <c r="G507" s="0" t="n">
        <v>0</v>
      </c>
      <c r="H507" s="0" t="s">
        <v>117</v>
      </c>
      <c r="K507" s="0" t="s">
        <v>160</v>
      </c>
      <c r="L507" s="0" t="s">
        <v>1205</v>
      </c>
    </row>
    <row r="508" customFormat="false" ht="15" hidden="false" customHeight="false" outlineLevel="0" collapsed="false">
      <c r="A508" s="0" t="s">
        <v>6</v>
      </c>
      <c r="C508" s="0" t="s">
        <v>1206</v>
      </c>
      <c r="D508" s="0" t="s">
        <v>528</v>
      </c>
      <c r="E508" s="0" t="s">
        <v>1207</v>
      </c>
      <c r="F508" s="0" t="n">
        <v>0</v>
      </c>
      <c r="G508" s="0" t="n">
        <v>0</v>
      </c>
      <c r="H508" s="0" t="s">
        <v>117</v>
      </c>
      <c r="K508" s="0" t="s">
        <v>118</v>
      </c>
      <c r="L508" s="0" t="s">
        <v>1208</v>
      </c>
    </row>
    <row r="509" customFormat="false" ht="15" hidden="false" customHeight="false" outlineLevel="0" collapsed="false">
      <c r="A509" s="0" t="s">
        <v>6</v>
      </c>
      <c r="C509" s="0" t="s">
        <v>1206</v>
      </c>
      <c r="D509" s="0" t="s">
        <v>531</v>
      </c>
      <c r="E509" s="0" t="s">
        <v>1209</v>
      </c>
      <c r="F509" s="0" t="n">
        <v>0</v>
      </c>
      <c r="G509" s="0" t="n">
        <v>0</v>
      </c>
      <c r="H509" s="0" t="s">
        <v>117</v>
      </c>
      <c r="K509" s="0" t="s">
        <v>123</v>
      </c>
      <c r="L509" s="0" t="s">
        <v>1210</v>
      </c>
    </row>
    <row r="510" customFormat="false" ht="15" hidden="false" customHeight="false" outlineLevel="0" collapsed="false">
      <c r="A510" s="0" t="s">
        <v>6</v>
      </c>
      <c r="C510" s="0" t="s">
        <v>1206</v>
      </c>
      <c r="D510" s="0" t="s">
        <v>534</v>
      </c>
      <c r="E510" s="0" t="s">
        <v>1211</v>
      </c>
      <c r="F510" s="0" t="n">
        <v>0</v>
      </c>
      <c r="G510" s="0" t="n">
        <v>0</v>
      </c>
      <c r="H510" s="0" t="s">
        <v>117</v>
      </c>
      <c r="K510" s="0" t="s">
        <v>127</v>
      </c>
      <c r="L510" s="0" t="s">
        <v>1212</v>
      </c>
    </row>
    <row r="511" customFormat="false" ht="15" hidden="false" customHeight="false" outlineLevel="0" collapsed="false">
      <c r="A511" s="0" t="s">
        <v>6</v>
      </c>
      <c r="C511" s="0" t="s">
        <v>1206</v>
      </c>
      <c r="D511" s="0" t="s">
        <v>52</v>
      </c>
      <c r="E511" s="0" t="s">
        <v>1213</v>
      </c>
      <c r="F511" s="0" t="n">
        <v>0</v>
      </c>
      <c r="G511" s="0" t="n">
        <v>0</v>
      </c>
      <c r="H511" s="0" t="s">
        <v>117</v>
      </c>
      <c r="K511" s="0" t="s">
        <v>132</v>
      </c>
      <c r="L511" s="0" t="s">
        <v>1214</v>
      </c>
    </row>
    <row r="512" customFormat="false" ht="15" hidden="false" customHeight="false" outlineLevel="0" collapsed="false">
      <c r="A512" s="0" t="s">
        <v>6</v>
      </c>
      <c r="C512" s="0" t="s">
        <v>1206</v>
      </c>
      <c r="D512" s="0" t="s">
        <v>55</v>
      </c>
      <c r="E512" s="0" t="s">
        <v>1215</v>
      </c>
      <c r="F512" s="0" t="n">
        <v>0</v>
      </c>
      <c r="G512" s="0" t="n">
        <v>0</v>
      </c>
      <c r="H512" s="0" t="s">
        <v>117</v>
      </c>
      <c r="K512" s="0" t="s">
        <v>135</v>
      </c>
      <c r="L512" s="0" t="s">
        <v>1216</v>
      </c>
    </row>
    <row r="513" customFormat="false" ht="15" hidden="false" customHeight="false" outlineLevel="0" collapsed="false">
      <c r="A513" s="0" t="s">
        <v>6</v>
      </c>
      <c r="C513" s="0" t="s">
        <v>1206</v>
      </c>
      <c r="D513" s="0" t="s">
        <v>58</v>
      </c>
      <c r="E513" s="0" t="s">
        <v>1217</v>
      </c>
      <c r="F513" s="0" t="n">
        <v>0</v>
      </c>
      <c r="G513" s="0" t="n">
        <v>0</v>
      </c>
      <c r="H513" s="0" t="s">
        <v>117</v>
      </c>
      <c r="K513" s="0" t="s">
        <v>138</v>
      </c>
      <c r="L513" s="0" t="s">
        <v>1218</v>
      </c>
    </row>
    <row r="514" customFormat="false" ht="15" hidden="false" customHeight="false" outlineLevel="0" collapsed="false">
      <c r="A514" s="0" t="s">
        <v>6</v>
      </c>
      <c r="C514" s="0" t="s">
        <v>1206</v>
      </c>
      <c r="D514" s="0" t="s">
        <v>65</v>
      </c>
      <c r="E514" s="0" t="s">
        <v>1219</v>
      </c>
      <c r="F514" s="0" t="n">
        <v>0</v>
      </c>
      <c r="G514" s="0" t="n">
        <v>0</v>
      </c>
      <c r="H514" s="0" t="s">
        <v>117</v>
      </c>
      <c r="K514" s="0" t="s">
        <v>143</v>
      </c>
      <c r="L514" s="0" t="s">
        <v>1220</v>
      </c>
    </row>
    <row r="515" customFormat="false" ht="15" hidden="false" customHeight="false" outlineLevel="0" collapsed="false">
      <c r="A515" s="0" t="s">
        <v>6</v>
      </c>
      <c r="C515" s="0" t="s">
        <v>1206</v>
      </c>
      <c r="D515" s="0" t="s">
        <v>69</v>
      </c>
      <c r="E515" s="0" t="s">
        <v>1221</v>
      </c>
      <c r="F515" s="0" t="n">
        <v>0</v>
      </c>
      <c r="G515" s="0" t="n">
        <v>0</v>
      </c>
      <c r="H515" s="0" t="s">
        <v>117</v>
      </c>
      <c r="K515" s="0" t="s">
        <v>146</v>
      </c>
      <c r="L515" s="0" t="s">
        <v>1222</v>
      </c>
    </row>
    <row r="516" customFormat="false" ht="15" hidden="false" customHeight="false" outlineLevel="0" collapsed="false">
      <c r="A516" s="0" t="s">
        <v>6</v>
      </c>
      <c r="C516" s="0" t="s">
        <v>1206</v>
      </c>
      <c r="D516" s="0" t="s">
        <v>72</v>
      </c>
      <c r="E516" s="0" t="s">
        <v>1223</v>
      </c>
      <c r="F516" s="0" t="n">
        <v>0</v>
      </c>
      <c r="G516" s="0" t="n">
        <v>0</v>
      </c>
      <c r="H516" s="0" t="s">
        <v>117</v>
      </c>
      <c r="K516" s="0" t="s">
        <v>149</v>
      </c>
      <c r="L516" s="0" t="s">
        <v>1224</v>
      </c>
    </row>
    <row r="517" customFormat="false" ht="15" hidden="false" customHeight="false" outlineLevel="0" collapsed="false">
      <c r="A517" s="0" t="s">
        <v>6</v>
      </c>
      <c r="C517" s="0" t="s">
        <v>1206</v>
      </c>
      <c r="D517" s="0" t="s">
        <v>75</v>
      </c>
      <c r="E517" s="0" t="s">
        <v>1225</v>
      </c>
      <c r="F517" s="0" t="n">
        <v>0</v>
      </c>
      <c r="G517" s="0" t="n">
        <v>0</v>
      </c>
      <c r="H517" s="0" t="s">
        <v>117</v>
      </c>
      <c r="K517" s="0" t="s">
        <v>152</v>
      </c>
      <c r="L517" s="0" t="s">
        <v>1226</v>
      </c>
    </row>
    <row r="518" customFormat="false" ht="15" hidden="false" customHeight="false" outlineLevel="0" collapsed="false">
      <c r="A518" s="0" t="s">
        <v>6</v>
      </c>
      <c r="B518" s="0" t="s">
        <v>140</v>
      </c>
      <c r="C518" s="0" t="s">
        <v>1206</v>
      </c>
      <c r="D518" s="0" t="s">
        <v>78</v>
      </c>
      <c r="E518" s="0" t="s">
        <v>1227</v>
      </c>
      <c r="F518" s="0" t="n">
        <v>0</v>
      </c>
      <c r="G518" s="0" t="n">
        <v>3</v>
      </c>
      <c r="H518" s="0" t="s">
        <v>117</v>
      </c>
      <c r="I518" s="0" t="s">
        <v>142</v>
      </c>
      <c r="K518" s="0" t="s">
        <v>156</v>
      </c>
      <c r="L518" s="0" t="s">
        <v>1228</v>
      </c>
    </row>
    <row r="519" customFormat="false" ht="15" hidden="false" customHeight="false" outlineLevel="0" collapsed="false">
      <c r="A519" s="0" t="s">
        <v>6</v>
      </c>
      <c r="C519" s="0" t="s">
        <v>1206</v>
      </c>
      <c r="D519" s="0" t="s">
        <v>81</v>
      </c>
      <c r="E519" s="0" t="s">
        <v>1229</v>
      </c>
      <c r="F519" s="0" t="n">
        <v>0</v>
      </c>
      <c r="G519" s="0" t="n">
        <v>0</v>
      </c>
      <c r="H519" s="0" t="s">
        <v>117</v>
      </c>
      <c r="K519" s="0" t="s">
        <v>160</v>
      </c>
      <c r="L519" s="0" t="s">
        <v>1230</v>
      </c>
    </row>
    <row r="520" customFormat="false" ht="15" hidden="false" customHeight="false" outlineLevel="0" collapsed="false">
      <c r="A520" s="0" t="s">
        <v>1231</v>
      </c>
      <c r="B520" s="0" t="s">
        <v>129</v>
      </c>
      <c r="C520" s="0" t="s">
        <v>114</v>
      </c>
      <c r="D520" s="0" t="s">
        <v>528</v>
      </c>
      <c r="E520" s="0" t="s">
        <v>1232</v>
      </c>
      <c r="F520" s="0" t="n">
        <v>0</v>
      </c>
      <c r="G520" s="0" t="n">
        <v>0</v>
      </c>
      <c r="H520" s="0" t="s">
        <v>117</v>
      </c>
      <c r="K520" s="0" t="s">
        <v>118</v>
      </c>
      <c r="L520" s="0" t="s">
        <v>1233</v>
      </c>
    </row>
    <row r="521" customFormat="false" ht="15" hidden="false" customHeight="false" outlineLevel="0" collapsed="false">
      <c r="A521" s="0" t="s">
        <v>1231</v>
      </c>
      <c r="B521" s="0" t="s">
        <v>129</v>
      </c>
      <c r="C521" s="0" t="s">
        <v>114</v>
      </c>
      <c r="D521" s="0" t="s">
        <v>531</v>
      </c>
      <c r="E521" s="0" t="s">
        <v>1234</v>
      </c>
      <c r="F521" s="0" t="n">
        <v>5</v>
      </c>
      <c r="G521" s="0" t="n">
        <v>3</v>
      </c>
      <c r="H521" s="0" t="s">
        <v>122</v>
      </c>
      <c r="I521" s="0" t="s">
        <v>1235</v>
      </c>
      <c r="K521" s="0" t="s">
        <v>123</v>
      </c>
      <c r="L521" s="0" t="s">
        <v>1236</v>
      </c>
    </row>
    <row r="522" customFormat="false" ht="15" hidden="false" customHeight="false" outlineLevel="0" collapsed="false">
      <c r="A522" s="0" t="s">
        <v>1231</v>
      </c>
      <c r="B522" s="0" t="s">
        <v>129</v>
      </c>
      <c r="C522" s="0" t="s">
        <v>114</v>
      </c>
      <c r="D522" s="0" t="s">
        <v>534</v>
      </c>
      <c r="E522" s="0" t="s">
        <v>1237</v>
      </c>
      <c r="F522" s="0" t="n">
        <v>5</v>
      </c>
      <c r="G522" s="0" t="n">
        <v>0</v>
      </c>
      <c r="H522" s="0" t="s">
        <v>122</v>
      </c>
      <c r="K522" s="0" t="s">
        <v>127</v>
      </c>
      <c r="L522" s="0" t="s">
        <v>1238</v>
      </c>
    </row>
    <row r="523" customFormat="false" ht="15" hidden="false" customHeight="false" outlineLevel="0" collapsed="false">
      <c r="A523" s="0" t="s">
        <v>1231</v>
      </c>
      <c r="B523" s="0" t="s">
        <v>129</v>
      </c>
      <c r="C523" s="0" t="s">
        <v>114</v>
      </c>
      <c r="D523" s="0" t="s">
        <v>52</v>
      </c>
      <c r="E523" s="0" t="s">
        <v>1239</v>
      </c>
      <c r="F523" s="0" t="n">
        <v>5</v>
      </c>
      <c r="G523" s="0" t="n">
        <v>0</v>
      </c>
      <c r="H523" s="0" t="s">
        <v>122</v>
      </c>
      <c r="K523" s="0" t="s">
        <v>132</v>
      </c>
      <c r="L523" s="0" t="s">
        <v>1240</v>
      </c>
    </row>
    <row r="524" customFormat="false" ht="15" hidden="false" customHeight="false" outlineLevel="0" collapsed="false">
      <c r="A524" s="0" t="s">
        <v>1231</v>
      </c>
      <c r="B524" s="0" t="s">
        <v>129</v>
      </c>
      <c r="C524" s="0" t="s">
        <v>114</v>
      </c>
      <c r="D524" s="0" t="s">
        <v>55</v>
      </c>
      <c r="E524" s="0" t="s">
        <v>1241</v>
      </c>
      <c r="F524" s="0" t="n">
        <v>5</v>
      </c>
      <c r="G524" s="0" t="n">
        <v>0</v>
      </c>
      <c r="H524" s="0" t="s">
        <v>122</v>
      </c>
      <c r="K524" s="0" t="s">
        <v>135</v>
      </c>
      <c r="L524" s="0" t="s">
        <v>1242</v>
      </c>
    </row>
    <row r="525" customFormat="false" ht="15" hidden="false" customHeight="false" outlineLevel="0" collapsed="false">
      <c r="A525" s="0" t="s">
        <v>1231</v>
      </c>
      <c r="B525" s="0" t="s">
        <v>129</v>
      </c>
      <c r="C525" s="0" t="s">
        <v>114</v>
      </c>
      <c r="D525" s="0" t="s">
        <v>58</v>
      </c>
      <c r="E525" s="0" t="s">
        <v>1243</v>
      </c>
      <c r="F525" s="0" t="n">
        <v>5</v>
      </c>
      <c r="G525" s="0" t="n">
        <v>0</v>
      </c>
      <c r="H525" s="0" t="s">
        <v>122</v>
      </c>
      <c r="K525" s="0" t="s">
        <v>138</v>
      </c>
      <c r="L525" s="0" t="s">
        <v>1244</v>
      </c>
    </row>
    <row r="526" customFormat="false" ht="15" hidden="false" customHeight="false" outlineLevel="0" collapsed="false">
      <c r="A526" s="0" t="s">
        <v>1231</v>
      </c>
      <c r="B526" s="0" t="s">
        <v>129</v>
      </c>
      <c r="C526" s="0" t="s">
        <v>114</v>
      </c>
      <c r="D526" s="0" t="s">
        <v>65</v>
      </c>
      <c r="E526" s="0" t="s">
        <v>1245</v>
      </c>
      <c r="F526" s="0" t="n">
        <v>5</v>
      </c>
      <c r="G526" s="0" t="n">
        <v>0</v>
      </c>
      <c r="H526" s="0" t="s">
        <v>122</v>
      </c>
      <c r="K526" s="0" t="s">
        <v>143</v>
      </c>
      <c r="L526" s="0" t="s">
        <v>1246</v>
      </c>
    </row>
    <row r="527" customFormat="false" ht="15" hidden="false" customHeight="false" outlineLevel="0" collapsed="false">
      <c r="A527" s="0" t="s">
        <v>1231</v>
      </c>
      <c r="B527" s="0" t="s">
        <v>129</v>
      </c>
      <c r="C527" s="0" t="s">
        <v>114</v>
      </c>
      <c r="D527" s="0" t="s">
        <v>69</v>
      </c>
      <c r="E527" s="0" t="s">
        <v>1247</v>
      </c>
      <c r="F527" s="0" t="n">
        <v>5</v>
      </c>
      <c r="G527" s="0" t="n">
        <v>0</v>
      </c>
      <c r="H527" s="0" t="s">
        <v>122</v>
      </c>
      <c r="K527" s="0" t="s">
        <v>146</v>
      </c>
      <c r="L527" s="0" t="s">
        <v>1248</v>
      </c>
    </row>
    <row r="528" customFormat="false" ht="15" hidden="false" customHeight="false" outlineLevel="0" collapsed="false">
      <c r="A528" s="0" t="s">
        <v>1231</v>
      </c>
      <c r="B528" s="0" t="s">
        <v>129</v>
      </c>
      <c r="C528" s="0" t="s">
        <v>114</v>
      </c>
      <c r="D528" s="0" t="s">
        <v>72</v>
      </c>
      <c r="E528" s="0" t="s">
        <v>1249</v>
      </c>
      <c r="F528" s="0" t="n">
        <v>0</v>
      </c>
      <c r="G528" s="0" t="n">
        <v>0</v>
      </c>
      <c r="H528" s="0" t="s">
        <v>117</v>
      </c>
      <c r="K528" s="0" t="s">
        <v>149</v>
      </c>
      <c r="L528" s="0" t="s">
        <v>1250</v>
      </c>
    </row>
    <row r="529" customFormat="false" ht="15" hidden="false" customHeight="false" outlineLevel="0" collapsed="false">
      <c r="A529" s="0" t="s">
        <v>1231</v>
      </c>
      <c r="B529" s="0" t="s">
        <v>129</v>
      </c>
      <c r="C529" s="0" t="s">
        <v>114</v>
      </c>
      <c r="D529" s="0" t="s">
        <v>75</v>
      </c>
      <c r="E529" s="0" t="s">
        <v>1251</v>
      </c>
      <c r="F529" s="0" t="n">
        <v>0</v>
      </c>
      <c r="G529" s="0" t="n">
        <v>0</v>
      </c>
      <c r="H529" s="0" t="s">
        <v>117</v>
      </c>
      <c r="K529" s="0" t="s">
        <v>152</v>
      </c>
      <c r="L529" s="0" t="s">
        <v>1252</v>
      </c>
    </row>
    <row r="530" customFormat="false" ht="15" hidden="false" customHeight="false" outlineLevel="0" collapsed="false">
      <c r="A530" s="0" t="s">
        <v>1231</v>
      </c>
      <c r="B530" s="0" t="s">
        <v>129</v>
      </c>
      <c r="C530" s="0" t="s">
        <v>114</v>
      </c>
      <c r="D530" s="0" t="s">
        <v>78</v>
      </c>
      <c r="E530" s="0" t="s">
        <v>1253</v>
      </c>
      <c r="F530" s="0" t="n">
        <v>5</v>
      </c>
      <c r="G530" s="0" t="n">
        <v>0</v>
      </c>
      <c r="H530" s="0" t="s">
        <v>122</v>
      </c>
      <c r="K530" s="0" t="s">
        <v>156</v>
      </c>
      <c r="L530" s="0" t="s">
        <v>1254</v>
      </c>
    </row>
    <row r="531" customFormat="false" ht="15" hidden="false" customHeight="false" outlineLevel="0" collapsed="false">
      <c r="A531" s="0" t="s">
        <v>1231</v>
      </c>
      <c r="B531" s="0" t="s">
        <v>129</v>
      </c>
      <c r="C531" s="0" t="s">
        <v>114</v>
      </c>
      <c r="D531" s="0" t="s">
        <v>81</v>
      </c>
      <c r="E531" s="0" t="s">
        <v>1255</v>
      </c>
      <c r="F531" s="0" t="n">
        <v>5</v>
      </c>
      <c r="G531" s="0" t="n">
        <v>0</v>
      </c>
      <c r="H531" s="0" t="s">
        <v>122</v>
      </c>
      <c r="K531" s="0" t="s">
        <v>160</v>
      </c>
      <c r="L531" s="0" t="s">
        <v>1256</v>
      </c>
    </row>
    <row r="532" customFormat="false" ht="15" hidden="false" customHeight="false" outlineLevel="0" collapsed="false">
      <c r="A532" s="0" t="s">
        <v>1231</v>
      </c>
      <c r="B532" s="0" t="s">
        <v>129</v>
      </c>
      <c r="C532" s="0" t="s">
        <v>162</v>
      </c>
      <c r="D532" s="0" t="s">
        <v>528</v>
      </c>
      <c r="E532" s="0" t="s">
        <v>1257</v>
      </c>
      <c r="F532" s="0" t="n">
        <v>0</v>
      </c>
      <c r="G532" s="0" t="n">
        <v>0</v>
      </c>
      <c r="H532" s="0" t="s">
        <v>117</v>
      </c>
      <c r="K532" s="0" t="s">
        <v>118</v>
      </c>
      <c r="L532" s="0" t="s">
        <v>1258</v>
      </c>
    </row>
    <row r="533" customFormat="false" ht="15" hidden="false" customHeight="false" outlineLevel="0" collapsed="false">
      <c r="A533" s="0" t="s">
        <v>1231</v>
      </c>
      <c r="B533" s="0" t="s">
        <v>129</v>
      </c>
      <c r="C533" s="0" t="s">
        <v>162</v>
      </c>
      <c r="D533" s="0" t="s">
        <v>531</v>
      </c>
      <c r="E533" s="0" t="s">
        <v>1259</v>
      </c>
      <c r="F533" s="0" t="n">
        <v>5</v>
      </c>
      <c r="G533" s="0" t="n">
        <v>0</v>
      </c>
      <c r="H533" s="0" t="s">
        <v>122</v>
      </c>
      <c r="K533" s="0" t="s">
        <v>123</v>
      </c>
      <c r="L533" s="0" t="s">
        <v>1260</v>
      </c>
    </row>
    <row r="534" customFormat="false" ht="15" hidden="false" customHeight="false" outlineLevel="0" collapsed="false">
      <c r="A534" s="0" t="s">
        <v>1231</v>
      </c>
      <c r="B534" s="0" t="s">
        <v>129</v>
      </c>
      <c r="C534" s="0" t="s">
        <v>162</v>
      </c>
      <c r="D534" s="0" t="s">
        <v>534</v>
      </c>
      <c r="E534" s="0" t="s">
        <v>1261</v>
      </c>
      <c r="F534" s="0" t="n">
        <v>5</v>
      </c>
      <c r="G534" s="0" t="n">
        <v>2</v>
      </c>
      <c r="H534" s="0" t="s">
        <v>122</v>
      </c>
      <c r="I534" s="0" t="s">
        <v>1262</v>
      </c>
      <c r="K534" s="0" t="s">
        <v>127</v>
      </c>
      <c r="L534" s="0" t="s">
        <v>1263</v>
      </c>
    </row>
    <row r="535" customFormat="false" ht="15" hidden="false" customHeight="false" outlineLevel="0" collapsed="false">
      <c r="A535" s="0" t="s">
        <v>1231</v>
      </c>
      <c r="B535" s="0" t="s">
        <v>129</v>
      </c>
      <c r="C535" s="0" t="s">
        <v>162</v>
      </c>
      <c r="D535" s="0" t="s">
        <v>52</v>
      </c>
      <c r="E535" s="0" t="s">
        <v>1264</v>
      </c>
      <c r="F535" s="0" t="n">
        <v>5</v>
      </c>
      <c r="G535" s="0" t="n">
        <v>0</v>
      </c>
      <c r="H535" s="0" t="s">
        <v>122</v>
      </c>
      <c r="K535" s="0" t="s">
        <v>132</v>
      </c>
      <c r="L535" s="0" t="s">
        <v>1265</v>
      </c>
    </row>
    <row r="536" customFormat="false" ht="15" hidden="false" customHeight="false" outlineLevel="0" collapsed="false">
      <c r="A536" s="0" t="s">
        <v>1231</v>
      </c>
      <c r="B536" s="0" t="s">
        <v>129</v>
      </c>
      <c r="C536" s="0" t="s">
        <v>162</v>
      </c>
      <c r="D536" s="0" t="s">
        <v>55</v>
      </c>
      <c r="E536" s="0" t="s">
        <v>1266</v>
      </c>
      <c r="F536" s="0" t="n">
        <v>5</v>
      </c>
      <c r="G536" s="0" t="n">
        <v>0</v>
      </c>
      <c r="H536" s="0" t="s">
        <v>122</v>
      </c>
      <c r="K536" s="0" t="s">
        <v>135</v>
      </c>
      <c r="L536" s="0" t="s">
        <v>1267</v>
      </c>
    </row>
    <row r="537" customFormat="false" ht="15" hidden="false" customHeight="false" outlineLevel="0" collapsed="false">
      <c r="A537" s="0" t="s">
        <v>1231</v>
      </c>
      <c r="B537" s="0" t="s">
        <v>129</v>
      </c>
      <c r="C537" s="0" t="s">
        <v>162</v>
      </c>
      <c r="D537" s="0" t="s">
        <v>58</v>
      </c>
      <c r="E537" s="0" t="s">
        <v>1268</v>
      </c>
      <c r="F537" s="0" t="n">
        <v>0</v>
      </c>
      <c r="G537" s="0" t="n">
        <v>0</v>
      </c>
      <c r="H537" s="0" t="s">
        <v>117</v>
      </c>
      <c r="K537" s="0" t="s">
        <v>138</v>
      </c>
      <c r="L537" s="0" t="s">
        <v>1269</v>
      </c>
    </row>
    <row r="538" customFormat="false" ht="15" hidden="false" customHeight="false" outlineLevel="0" collapsed="false">
      <c r="A538" s="0" t="s">
        <v>1231</v>
      </c>
      <c r="B538" s="0" t="s">
        <v>129</v>
      </c>
      <c r="C538" s="0" t="s">
        <v>162</v>
      </c>
      <c r="D538" s="0" t="s">
        <v>65</v>
      </c>
      <c r="E538" s="0" t="s">
        <v>1270</v>
      </c>
      <c r="F538" s="0" t="n">
        <v>5</v>
      </c>
      <c r="G538" s="0" t="n">
        <v>0</v>
      </c>
      <c r="H538" s="0" t="s">
        <v>122</v>
      </c>
      <c r="K538" s="0" t="s">
        <v>143</v>
      </c>
      <c r="L538" s="0" t="s">
        <v>1271</v>
      </c>
    </row>
    <row r="539" customFormat="false" ht="15" hidden="false" customHeight="false" outlineLevel="0" collapsed="false">
      <c r="A539" s="0" t="s">
        <v>1231</v>
      </c>
      <c r="B539" s="0" t="s">
        <v>129</v>
      </c>
      <c r="C539" s="0" t="s">
        <v>162</v>
      </c>
      <c r="D539" s="0" t="s">
        <v>69</v>
      </c>
      <c r="E539" s="0" t="s">
        <v>1272</v>
      </c>
      <c r="F539" s="0" t="n">
        <v>5</v>
      </c>
      <c r="G539" s="0" t="n">
        <v>0</v>
      </c>
      <c r="H539" s="0" t="s">
        <v>122</v>
      </c>
      <c r="K539" s="0" t="s">
        <v>146</v>
      </c>
      <c r="L539" s="0" t="s">
        <v>1273</v>
      </c>
    </row>
    <row r="540" customFormat="false" ht="15" hidden="false" customHeight="false" outlineLevel="0" collapsed="false">
      <c r="A540" s="0" t="s">
        <v>1231</v>
      </c>
      <c r="B540" s="0" t="s">
        <v>129</v>
      </c>
      <c r="C540" s="0" t="s">
        <v>162</v>
      </c>
      <c r="D540" s="0" t="s">
        <v>72</v>
      </c>
      <c r="E540" s="0" t="s">
        <v>1274</v>
      </c>
      <c r="F540" s="0" t="n">
        <v>5</v>
      </c>
      <c r="G540" s="0" t="n">
        <v>1</v>
      </c>
      <c r="H540" s="0" t="s">
        <v>122</v>
      </c>
      <c r="I540" s="0" t="s">
        <v>1262</v>
      </c>
      <c r="K540" s="0" t="s">
        <v>149</v>
      </c>
      <c r="L540" s="0" t="s">
        <v>1275</v>
      </c>
    </row>
    <row r="541" customFormat="false" ht="15" hidden="false" customHeight="false" outlineLevel="0" collapsed="false">
      <c r="A541" s="0" t="s">
        <v>1231</v>
      </c>
      <c r="B541" s="0" t="s">
        <v>129</v>
      </c>
      <c r="C541" s="0" t="s">
        <v>162</v>
      </c>
      <c r="D541" s="0" t="s">
        <v>75</v>
      </c>
      <c r="E541" s="0" t="s">
        <v>1276</v>
      </c>
      <c r="F541" s="0" t="n">
        <v>0</v>
      </c>
      <c r="G541" s="0" t="n">
        <v>0</v>
      </c>
      <c r="H541" s="0" t="s">
        <v>117</v>
      </c>
      <c r="K541" s="0" t="s">
        <v>152</v>
      </c>
      <c r="L541" s="0" t="s">
        <v>1277</v>
      </c>
    </row>
    <row r="542" customFormat="false" ht="15" hidden="false" customHeight="false" outlineLevel="0" collapsed="false">
      <c r="A542" s="0" t="s">
        <v>1231</v>
      </c>
      <c r="B542" s="0" t="s">
        <v>129</v>
      </c>
      <c r="C542" s="0" t="s">
        <v>162</v>
      </c>
      <c r="D542" s="0" t="s">
        <v>78</v>
      </c>
      <c r="E542" s="0" t="s">
        <v>1278</v>
      </c>
      <c r="F542" s="0" t="n">
        <v>5</v>
      </c>
      <c r="G542" s="0" t="n">
        <v>0</v>
      </c>
      <c r="H542" s="0" t="s">
        <v>122</v>
      </c>
      <c r="K542" s="0" t="s">
        <v>156</v>
      </c>
      <c r="L542" s="0" t="s">
        <v>1279</v>
      </c>
    </row>
    <row r="543" customFormat="false" ht="15" hidden="false" customHeight="false" outlineLevel="0" collapsed="false">
      <c r="A543" s="0" t="s">
        <v>1231</v>
      </c>
      <c r="B543" s="0" t="s">
        <v>129</v>
      </c>
      <c r="C543" s="0" t="s">
        <v>162</v>
      </c>
      <c r="D543" s="0" t="s">
        <v>81</v>
      </c>
      <c r="E543" s="0" t="s">
        <v>1280</v>
      </c>
      <c r="F543" s="0" t="n">
        <v>5</v>
      </c>
      <c r="G543" s="0" t="n">
        <v>0</v>
      </c>
      <c r="H543" s="0" t="s">
        <v>122</v>
      </c>
      <c r="K543" s="0" t="s">
        <v>160</v>
      </c>
      <c r="L543" s="0" t="s">
        <v>1281</v>
      </c>
    </row>
    <row r="544" customFormat="false" ht="15" hidden="false" customHeight="false" outlineLevel="0" collapsed="false">
      <c r="A544" s="0" t="s">
        <v>1231</v>
      </c>
      <c r="B544" s="0" t="s">
        <v>129</v>
      </c>
      <c r="C544" s="0" t="s">
        <v>189</v>
      </c>
      <c r="D544" s="0" t="s">
        <v>528</v>
      </c>
      <c r="E544" s="0" t="s">
        <v>1282</v>
      </c>
      <c r="F544" s="0" t="n">
        <v>0</v>
      </c>
      <c r="G544" s="0" t="n">
        <v>0</v>
      </c>
      <c r="H544" s="0" t="s">
        <v>117</v>
      </c>
      <c r="K544" s="0" t="s">
        <v>118</v>
      </c>
      <c r="L544" s="0" t="s">
        <v>1283</v>
      </c>
    </row>
    <row r="545" customFormat="false" ht="15" hidden="false" customHeight="false" outlineLevel="0" collapsed="false">
      <c r="A545" s="0" t="s">
        <v>1231</v>
      </c>
      <c r="B545" s="0" t="s">
        <v>129</v>
      </c>
      <c r="C545" s="0" t="s">
        <v>189</v>
      </c>
      <c r="D545" s="0" t="s">
        <v>531</v>
      </c>
      <c r="E545" s="0" t="s">
        <v>1284</v>
      </c>
      <c r="F545" s="0" t="n">
        <v>5</v>
      </c>
      <c r="G545" s="0" t="n">
        <v>0</v>
      </c>
      <c r="H545" s="0" t="s">
        <v>122</v>
      </c>
      <c r="K545" s="0" t="s">
        <v>123</v>
      </c>
      <c r="L545" s="0" t="s">
        <v>1285</v>
      </c>
    </row>
    <row r="546" customFormat="false" ht="15" hidden="false" customHeight="false" outlineLevel="0" collapsed="false">
      <c r="A546" s="0" t="s">
        <v>1231</v>
      </c>
      <c r="B546" s="0" t="s">
        <v>129</v>
      </c>
      <c r="C546" s="0" t="s">
        <v>189</v>
      </c>
      <c r="D546" s="0" t="s">
        <v>534</v>
      </c>
      <c r="E546" s="0" t="s">
        <v>1286</v>
      </c>
      <c r="F546" s="0" t="n">
        <v>5</v>
      </c>
      <c r="G546" s="0" t="n">
        <v>1</v>
      </c>
      <c r="H546" s="0" t="s">
        <v>122</v>
      </c>
      <c r="I546" s="0" t="s">
        <v>1287</v>
      </c>
      <c r="K546" s="0" t="s">
        <v>127</v>
      </c>
      <c r="L546" s="0" t="s">
        <v>1288</v>
      </c>
    </row>
    <row r="547" customFormat="false" ht="15" hidden="false" customHeight="false" outlineLevel="0" collapsed="false">
      <c r="A547" s="0" t="s">
        <v>1231</v>
      </c>
      <c r="B547" s="0" t="s">
        <v>129</v>
      </c>
      <c r="C547" s="0" t="s">
        <v>189</v>
      </c>
      <c r="D547" s="0" t="s">
        <v>52</v>
      </c>
      <c r="E547" s="0" t="s">
        <v>1289</v>
      </c>
      <c r="F547" s="0" t="n">
        <v>5</v>
      </c>
      <c r="G547" s="0" t="n">
        <v>0</v>
      </c>
      <c r="H547" s="0" t="s">
        <v>122</v>
      </c>
      <c r="K547" s="0" t="s">
        <v>132</v>
      </c>
      <c r="L547" s="0" t="s">
        <v>1290</v>
      </c>
    </row>
    <row r="548" customFormat="false" ht="15" hidden="false" customHeight="false" outlineLevel="0" collapsed="false">
      <c r="A548" s="0" t="s">
        <v>1231</v>
      </c>
      <c r="B548" s="0" t="s">
        <v>129</v>
      </c>
      <c r="C548" s="0" t="s">
        <v>189</v>
      </c>
      <c r="D548" s="0" t="s">
        <v>55</v>
      </c>
      <c r="E548" s="0" t="s">
        <v>1291</v>
      </c>
      <c r="F548" s="0" t="n">
        <v>5</v>
      </c>
      <c r="G548" s="0" t="n">
        <v>2</v>
      </c>
      <c r="H548" s="0" t="s">
        <v>122</v>
      </c>
      <c r="I548" s="0" t="s">
        <v>1292</v>
      </c>
      <c r="K548" s="0" t="s">
        <v>135</v>
      </c>
      <c r="L548" s="0" t="s">
        <v>1293</v>
      </c>
    </row>
    <row r="549" customFormat="false" ht="15" hidden="false" customHeight="false" outlineLevel="0" collapsed="false">
      <c r="A549" s="0" t="s">
        <v>1231</v>
      </c>
      <c r="B549" s="0" t="s">
        <v>129</v>
      </c>
      <c r="C549" s="0" t="s">
        <v>189</v>
      </c>
      <c r="D549" s="0" t="s">
        <v>58</v>
      </c>
      <c r="E549" s="0" t="s">
        <v>1294</v>
      </c>
      <c r="F549" s="0" t="n">
        <v>0</v>
      </c>
      <c r="G549" s="0" t="n">
        <v>0</v>
      </c>
      <c r="H549" s="0" t="s">
        <v>117</v>
      </c>
      <c r="K549" s="0" t="s">
        <v>138</v>
      </c>
      <c r="L549" s="0" t="s">
        <v>1295</v>
      </c>
    </row>
    <row r="550" customFormat="false" ht="15" hidden="false" customHeight="false" outlineLevel="0" collapsed="false">
      <c r="A550" s="0" t="s">
        <v>1231</v>
      </c>
      <c r="B550" s="0" t="s">
        <v>129</v>
      </c>
      <c r="C550" s="0" t="s">
        <v>189</v>
      </c>
      <c r="D550" s="0" t="s">
        <v>65</v>
      </c>
      <c r="E550" s="0" t="s">
        <v>1296</v>
      </c>
      <c r="F550" s="0" t="n">
        <v>5</v>
      </c>
      <c r="G550" s="0" t="n">
        <v>0</v>
      </c>
      <c r="H550" s="0" t="s">
        <v>122</v>
      </c>
      <c r="K550" s="0" t="s">
        <v>143</v>
      </c>
      <c r="L550" s="0" t="s">
        <v>1297</v>
      </c>
    </row>
    <row r="551" customFormat="false" ht="15" hidden="false" customHeight="false" outlineLevel="0" collapsed="false">
      <c r="A551" s="0" t="s">
        <v>1231</v>
      </c>
      <c r="B551" s="0" t="s">
        <v>129</v>
      </c>
      <c r="C551" s="0" t="s">
        <v>189</v>
      </c>
      <c r="D551" s="0" t="s">
        <v>69</v>
      </c>
      <c r="E551" s="0" t="s">
        <v>1298</v>
      </c>
      <c r="F551" s="0" t="n">
        <v>5</v>
      </c>
      <c r="G551" s="0" t="n">
        <v>0</v>
      </c>
      <c r="H551" s="0" t="s">
        <v>122</v>
      </c>
      <c r="K551" s="0" t="s">
        <v>146</v>
      </c>
      <c r="L551" s="0" t="s">
        <v>1299</v>
      </c>
    </row>
    <row r="552" customFormat="false" ht="15" hidden="false" customHeight="false" outlineLevel="0" collapsed="false">
      <c r="A552" s="0" t="s">
        <v>1231</v>
      </c>
      <c r="B552" s="0" t="s">
        <v>129</v>
      </c>
      <c r="C552" s="0" t="s">
        <v>189</v>
      </c>
      <c r="D552" s="0" t="s">
        <v>72</v>
      </c>
      <c r="E552" s="0" t="s">
        <v>1300</v>
      </c>
      <c r="F552" s="0" t="n">
        <v>5</v>
      </c>
      <c r="G552" s="0" t="n">
        <v>0</v>
      </c>
      <c r="H552" s="0" t="s">
        <v>122</v>
      </c>
      <c r="K552" s="0" t="s">
        <v>149</v>
      </c>
      <c r="L552" s="0" t="s">
        <v>1301</v>
      </c>
    </row>
    <row r="553" customFormat="false" ht="15" hidden="false" customHeight="false" outlineLevel="0" collapsed="false">
      <c r="A553" s="0" t="s">
        <v>1231</v>
      </c>
      <c r="B553" s="0" t="s">
        <v>129</v>
      </c>
      <c r="C553" s="0" t="s">
        <v>189</v>
      </c>
      <c r="D553" s="0" t="s">
        <v>75</v>
      </c>
      <c r="E553" s="0" t="s">
        <v>1302</v>
      </c>
      <c r="F553" s="0" t="n">
        <v>5</v>
      </c>
      <c r="G553" s="0" t="n">
        <v>0</v>
      </c>
      <c r="H553" s="0" t="s">
        <v>122</v>
      </c>
      <c r="K553" s="0" t="s">
        <v>152</v>
      </c>
      <c r="L553" s="0" t="s">
        <v>1303</v>
      </c>
    </row>
    <row r="554" customFormat="false" ht="15" hidden="false" customHeight="false" outlineLevel="0" collapsed="false">
      <c r="A554" s="0" t="s">
        <v>1231</v>
      </c>
      <c r="B554" s="0" t="s">
        <v>129</v>
      </c>
      <c r="C554" s="0" t="s">
        <v>189</v>
      </c>
      <c r="D554" s="0" t="s">
        <v>78</v>
      </c>
      <c r="E554" s="0" t="s">
        <v>1304</v>
      </c>
      <c r="F554" s="0" t="n">
        <v>5</v>
      </c>
      <c r="G554" s="0" t="n">
        <v>2</v>
      </c>
      <c r="H554" s="0" t="s">
        <v>122</v>
      </c>
      <c r="I554" s="0" t="s">
        <v>1235</v>
      </c>
      <c r="K554" s="0" t="s">
        <v>156</v>
      </c>
      <c r="L554" s="0" t="s">
        <v>1305</v>
      </c>
    </row>
    <row r="555" customFormat="false" ht="15" hidden="false" customHeight="false" outlineLevel="0" collapsed="false">
      <c r="A555" s="0" t="s">
        <v>1231</v>
      </c>
      <c r="B555" s="0" t="s">
        <v>129</v>
      </c>
      <c r="C555" s="0" t="s">
        <v>189</v>
      </c>
      <c r="D555" s="0" t="s">
        <v>81</v>
      </c>
      <c r="E555" s="0" t="s">
        <v>1306</v>
      </c>
      <c r="F555" s="0" t="n">
        <v>5</v>
      </c>
      <c r="G555" s="0" t="n">
        <v>0</v>
      </c>
      <c r="H555" s="0" t="s">
        <v>122</v>
      </c>
      <c r="K555" s="0" t="s">
        <v>160</v>
      </c>
      <c r="L555" s="0" t="s">
        <v>1307</v>
      </c>
    </row>
    <row r="556" customFormat="false" ht="15" hidden="false" customHeight="false" outlineLevel="0" collapsed="false">
      <c r="A556" s="0" t="s">
        <v>1231</v>
      </c>
      <c r="B556" s="0" t="s">
        <v>129</v>
      </c>
      <c r="C556" s="0" t="s">
        <v>215</v>
      </c>
      <c r="D556" s="0" t="s">
        <v>528</v>
      </c>
      <c r="E556" s="0" t="s">
        <v>1308</v>
      </c>
      <c r="F556" s="0" t="n">
        <v>0</v>
      </c>
      <c r="G556" s="0" t="n">
        <v>0</v>
      </c>
      <c r="H556" s="0" t="s">
        <v>117</v>
      </c>
      <c r="K556" s="0" t="s">
        <v>118</v>
      </c>
      <c r="L556" s="0" t="s">
        <v>1309</v>
      </c>
    </row>
    <row r="557" customFormat="false" ht="15" hidden="false" customHeight="false" outlineLevel="0" collapsed="false">
      <c r="A557" s="0" t="s">
        <v>1231</v>
      </c>
      <c r="B557" s="0" t="s">
        <v>129</v>
      </c>
      <c r="C557" s="0" t="s">
        <v>215</v>
      </c>
      <c r="D557" s="0" t="s">
        <v>531</v>
      </c>
      <c r="E557" s="0" t="s">
        <v>1310</v>
      </c>
      <c r="F557" s="0" t="n">
        <v>5</v>
      </c>
      <c r="G557" s="0" t="n">
        <v>0</v>
      </c>
      <c r="H557" s="0" t="s">
        <v>122</v>
      </c>
      <c r="K557" s="0" t="s">
        <v>123</v>
      </c>
      <c r="L557" s="0" t="s">
        <v>1311</v>
      </c>
    </row>
    <row r="558" customFormat="false" ht="15" hidden="false" customHeight="false" outlineLevel="0" collapsed="false">
      <c r="A558" s="0" t="s">
        <v>1231</v>
      </c>
      <c r="B558" s="0" t="s">
        <v>129</v>
      </c>
      <c r="C558" s="0" t="s">
        <v>215</v>
      </c>
      <c r="D558" s="0" t="s">
        <v>534</v>
      </c>
      <c r="E558" s="0" t="s">
        <v>1312</v>
      </c>
      <c r="F558" s="0" t="n">
        <v>5</v>
      </c>
      <c r="G558" s="0" t="n">
        <v>0</v>
      </c>
      <c r="H558" s="0" t="s">
        <v>122</v>
      </c>
      <c r="K558" s="0" t="s">
        <v>127</v>
      </c>
      <c r="L558" s="0" t="s">
        <v>1313</v>
      </c>
    </row>
    <row r="559" customFormat="false" ht="15" hidden="false" customHeight="false" outlineLevel="0" collapsed="false">
      <c r="A559" s="0" t="s">
        <v>1231</v>
      </c>
      <c r="B559" s="0" t="s">
        <v>129</v>
      </c>
      <c r="C559" s="0" t="s">
        <v>215</v>
      </c>
      <c r="D559" s="0" t="s">
        <v>52</v>
      </c>
      <c r="E559" s="0" t="s">
        <v>1314</v>
      </c>
      <c r="F559" s="0" t="n">
        <v>5</v>
      </c>
      <c r="G559" s="0" t="n">
        <v>3</v>
      </c>
      <c r="H559" s="0" t="s">
        <v>122</v>
      </c>
      <c r="I559" s="0" t="s">
        <v>1292</v>
      </c>
      <c r="K559" s="0" t="s">
        <v>132</v>
      </c>
      <c r="L559" s="0" t="s">
        <v>1315</v>
      </c>
    </row>
    <row r="560" customFormat="false" ht="15" hidden="false" customHeight="false" outlineLevel="0" collapsed="false">
      <c r="A560" s="0" t="s">
        <v>1231</v>
      </c>
      <c r="B560" s="0" t="s">
        <v>129</v>
      </c>
      <c r="C560" s="0" t="s">
        <v>215</v>
      </c>
      <c r="D560" s="0" t="s">
        <v>55</v>
      </c>
      <c r="E560" s="0" t="s">
        <v>1316</v>
      </c>
      <c r="F560" s="0" t="n">
        <v>5</v>
      </c>
      <c r="G560" s="0" t="n">
        <v>0</v>
      </c>
      <c r="H560" s="0" t="s">
        <v>122</v>
      </c>
      <c r="K560" s="0" t="s">
        <v>135</v>
      </c>
      <c r="L560" s="0" t="s">
        <v>1317</v>
      </c>
    </row>
    <row r="561" customFormat="false" ht="15" hidden="false" customHeight="false" outlineLevel="0" collapsed="false">
      <c r="A561" s="0" t="s">
        <v>1231</v>
      </c>
      <c r="B561" s="0" t="s">
        <v>129</v>
      </c>
      <c r="C561" s="0" t="s">
        <v>215</v>
      </c>
      <c r="D561" s="0" t="s">
        <v>58</v>
      </c>
      <c r="E561" s="0" t="s">
        <v>1318</v>
      </c>
      <c r="F561" s="0" t="n">
        <v>0</v>
      </c>
      <c r="G561" s="0" t="n">
        <v>0</v>
      </c>
      <c r="H561" s="0" t="s">
        <v>117</v>
      </c>
      <c r="K561" s="0" t="s">
        <v>138</v>
      </c>
      <c r="L561" s="0" t="s">
        <v>1319</v>
      </c>
    </row>
    <row r="562" customFormat="false" ht="15" hidden="false" customHeight="false" outlineLevel="0" collapsed="false">
      <c r="A562" s="0" t="s">
        <v>1231</v>
      </c>
      <c r="B562" s="0" t="s">
        <v>129</v>
      </c>
      <c r="C562" s="0" t="s">
        <v>215</v>
      </c>
      <c r="D562" s="0" t="s">
        <v>65</v>
      </c>
      <c r="E562" s="0" t="s">
        <v>1320</v>
      </c>
      <c r="F562" s="0" t="n">
        <v>5</v>
      </c>
      <c r="G562" s="0" t="n">
        <v>0</v>
      </c>
      <c r="H562" s="0" t="s">
        <v>122</v>
      </c>
      <c r="K562" s="0" t="s">
        <v>143</v>
      </c>
      <c r="L562" s="0" t="s">
        <v>1321</v>
      </c>
    </row>
    <row r="563" customFormat="false" ht="15" hidden="false" customHeight="false" outlineLevel="0" collapsed="false">
      <c r="A563" s="0" t="s">
        <v>1231</v>
      </c>
      <c r="B563" s="0" t="s">
        <v>129</v>
      </c>
      <c r="C563" s="0" t="s">
        <v>215</v>
      </c>
      <c r="D563" s="0" t="s">
        <v>69</v>
      </c>
      <c r="E563" s="0" t="s">
        <v>1322</v>
      </c>
      <c r="F563" s="0" t="n">
        <v>5</v>
      </c>
      <c r="G563" s="0" t="n">
        <v>0</v>
      </c>
      <c r="H563" s="0" t="s">
        <v>122</v>
      </c>
      <c r="K563" s="0" t="s">
        <v>146</v>
      </c>
      <c r="L563" s="0" t="s">
        <v>1323</v>
      </c>
    </row>
    <row r="564" customFormat="false" ht="15" hidden="false" customHeight="false" outlineLevel="0" collapsed="false">
      <c r="A564" s="0" t="s">
        <v>1231</v>
      </c>
      <c r="B564" s="0" t="s">
        <v>129</v>
      </c>
      <c r="C564" s="0" t="s">
        <v>215</v>
      </c>
      <c r="D564" s="0" t="s">
        <v>72</v>
      </c>
      <c r="E564" s="0" t="s">
        <v>1324</v>
      </c>
      <c r="F564" s="0" t="n">
        <v>5</v>
      </c>
      <c r="G564" s="0" t="n">
        <v>0</v>
      </c>
      <c r="H564" s="0" t="s">
        <v>122</v>
      </c>
      <c r="K564" s="0" t="s">
        <v>149</v>
      </c>
      <c r="L564" s="0" t="s">
        <v>1325</v>
      </c>
    </row>
    <row r="565" customFormat="false" ht="15" hidden="false" customHeight="false" outlineLevel="0" collapsed="false">
      <c r="A565" s="0" t="s">
        <v>1231</v>
      </c>
      <c r="B565" s="0" t="s">
        <v>129</v>
      </c>
      <c r="C565" s="0" t="s">
        <v>215</v>
      </c>
      <c r="D565" s="0" t="s">
        <v>75</v>
      </c>
      <c r="E565" s="0" t="s">
        <v>1326</v>
      </c>
      <c r="F565" s="0" t="n">
        <v>5</v>
      </c>
      <c r="G565" s="0" t="n">
        <v>0</v>
      </c>
      <c r="H565" s="0" t="s">
        <v>122</v>
      </c>
      <c r="K565" s="0" t="s">
        <v>152</v>
      </c>
      <c r="L565" s="0" t="s">
        <v>1327</v>
      </c>
    </row>
    <row r="566" customFormat="false" ht="15" hidden="false" customHeight="false" outlineLevel="0" collapsed="false">
      <c r="A566" s="0" t="s">
        <v>1231</v>
      </c>
      <c r="B566" s="0" t="s">
        <v>129</v>
      </c>
      <c r="C566" s="0" t="s">
        <v>215</v>
      </c>
      <c r="D566" s="0" t="s">
        <v>78</v>
      </c>
      <c r="E566" s="0" t="s">
        <v>1328</v>
      </c>
      <c r="F566" s="0" t="n">
        <v>5</v>
      </c>
      <c r="G566" s="0" t="n">
        <v>1</v>
      </c>
      <c r="H566" s="0" t="s">
        <v>122</v>
      </c>
      <c r="I566" s="0" t="s">
        <v>1329</v>
      </c>
      <c r="K566" s="0" t="s">
        <v>156</v>
      </c>
      <c r="L566" s="0" t="s">
        <v>1330</v>
      </c>
    </row>
    <row r="567" customFormat="false" ht="15" hidden="false" customHeight="false" outlineLevel="0" collapsed="false">
      <c r="A567" s="0" t="s">
        <v>1231</v>
      </c>
      <c r="B567" s="0" t="s">
        <v>129</v>
      </c>
      <c r="C567" s="0" t="s">
        <v>215</v>
      </c>
      <c r="D567" s="0" t="s">
        <v>81</v>
      </c>
      <c r="E567" s="0" t="s">
        <v>1331</v>
      </c>
      <c r="F567" s="0" t="n">
        <v>5</v>
      </c>
      <c r="G567" s="0" t="n">
        <v>0</v>
      </c>
      <c r="H567" s="0" t="s">
        <v>122</v>
      </c>
      <c r="K567" s="0" t="s">
        <v>160</v>
      </c>
      <c r="L567" s="0" t="s">
        <v>1332</v>
      </c>
    </row>
    <row r="568" customFormat="false" ht="15" hidden="false" customHeight="false" outlineLevel="0" collapsed="false">
      <c r="A568" s="0" t="s">
        <v>1231</v>
      </c>
      <c r="B568" s="0" t="s">
        <v>129</v>
      </c>
      <c r="C568" s="0" t="s">
        <v>241</v>
      </c>
      <c r="D568" s="0" t="s">
        <v>528</v>
      </c>
      <c r="E568" s="0" t="s">
        <v>1333</v>
      </c>
      <c r="F568" s="0" t="n">
        <v>0</v>
      </c>
      <c r="G568" s="0" t="n">
        <v>0</v>
      </c>
      <c r="H568" s="0" t="s">
        <v>117</v>
      </c>
      <c r="K568" s="0" t="s">
        <v>118</v>
      </c>
      <c r="L568" s="0" t="s">
        <v>1334</v>
      </c>
    </row>
    <row r="569" customFormat="false" ht="15" hidden="false" customHeight="false" outlineLevel="0" collapsed="false">
      <c r="A569" s="0" t="s">
        <v>1231</v>
      </c>
      <c r="B569" s="0" t="s">
        <v>129</v>
      </c>
      <c r="C569" s="0" t="s">
        <v>241</v>
      </c>
      <c r="D569" s="0" t="s">
        <v>531</v>
      </c>
      <c r="E569" s="0" t="s">
        <v>1335</v>
      </c>
      <c r="F569" s="0" t="n">
        <v>5</v>
      </c>
      <c r="G569" s="0" t="n">
        <v>4</v>
      </c>
      <c r="H569" s="0" t="s">
        <v>122</v>
      </c>
      <c r="I569" s="0" t="s">
        <v>1292</v>
      </c>
      <c r="K569" s="0" t="s">
        <v>123</v>
      </c>
      <c r="L569" s="0" t="s">
        <v>1336</v>
      </c>
    </row>
    <row r="570" customFormat="false" ht="15" hidden="false" customHeight="false" outlineLevel="0" collapsed="false">
      <c r="A570" s="0" t="s">
        <v>1231</v>
      </c>
      <c r="B570" s="0" t="s">
        <v>129</v>
      </c>
      <c r="C570" s="0" t="s">
        <v>241</v>
      </c>
      <c r="D570" s="0" t="s">
        <v>534</v>
      </c>
      <c r="E570" s="0" t="s">
        <v>1337</v>
      </c>
      <c r="F570" s="0" t="n">
        <v>5</v>
      </c>
      <c r="G570" s="0" t="n">
        <v>0</v>
      </c>
      <c r="H570" s="0" t="s">
        <v>122</v>
      </c>
      <c r="K570" s="0" t="s">
        <v>127</v>
      </c>
      <c r="L570" s="0" t="s">
        <v>1338</v>
      </c>
    </row>
    <row r="571" customFormat="false" ht="15" hidden="false" customHeight="false" outlineLevel="0" collapsed="false">
      <c r="A571" s="0" t="s">
        <v>1231</v>
      </c>
      <c r="B571" s="0" t="s">
        <v>129</v>
      </c>
      <c r="C571" s="0" t="s">
        <v>241</v>
      </c>
      <c r="D571" s="0" t="s">
        <v>52</v>
      </c>
      <c r="E571" s="0" t="s">
        <v>1339</v>
      </c>
      <c r="F571" s="0" t="n">
        <v>5</v>
      </c>
      <c r="G571" s="0" t="n">
        <v>0</v>
      </c>
      <c r="H571" s="0" t="s">
        <v>122</v>
      </c>
      <c r="K571" s="0" t="s">
        <v>132</v>
      </c>
      <c r="L571" s="0" t="s">
        <v>1340</v>
      </c>
    </row>
    <row r="572" customFormat="false" ht="15" hidden="false" customHeight="false" outlineLevel="0" collapsed="false">
      <c r="A572" s="0" t="s">
        <v>1231</v>
      </c>
      <c r="B572" s="0" t="s">
        <v>129</v>
      </c>
      <c r="C572" s="0" t="s">
        <v>241</v>
      </c>
      <c r="D572" s="0" t="s">
        <v>55</v>
      </c>
      <c r="E572" s="0" t="s">
        <v>1341</v>
      </c>
      <c r="F572" s="0" t="n">
        <v>5</v>
      </c>
      <c r="G572" s="0" t="n">
        <v>0</v>
      </c>
      <c r="H572" s="0" t="s">
        <v>122</v>
      </c>
      <c r="K572" s="0" t="s">
        <v>135</v>
      </c>
      <c r="L572" s="0" t="s">
        <v>1342</v>
      </c>
    </row>
    <row r="573" customFormat="false" ht="15" hidden="false" customHeight="false" outlineLevel="0" collapsed="false">
      <c r="A573" s="0" t="s">
        <v>1231</v>
      </c>
      <c r="B573" s="0" t="s">
        <v>129</v>
      </c>
      <c r="C573" s="0" t="s">
        <v>241</v>
      </c>
      <c r="D573" s="0" t="s">
        <v>58</v>
      </c>
      <c r="E573" s="0" t="s">
        <v>1343</v>
      </c>
      <c r="F573" s="0" t="n">
        <v>0</v>
      </c>
      <c r="G573" s="0" t="n">
        <v>0</v>
      </c>
      <c r="H573" s="0" t="s">
        <v>117</v>
      </c>
      <c r="K573" s="0" t="s">
        <v>138</v>
      </c>
      <c r="L573" s="0" t="s">
        <v>1344</v>
      </c>
    </row>
    <row r="574" customFormat="false" ht="15" hidden="false" customHeight="false" outlineLevel="0" collapsed="false">
      <c r="A574" s="0" t="s">
        <v>1231</v>
      </c>
      <c r="B574" s="0" t="s">
        <v>129</v>
      </c>
      <c r="C574" s="0" t="s">
        <v>241</v>
      </c>
      <c r="D574" s="0" t="s">
        <v>65</v>
      </c>
      <c r="E574" s="0" t="s">
        <v>1345</v>
      </c>
      <c r="F574" s="0" t="n">
        <v>5</v>
      </c>
      <c r="G574" s="0" t="n">
        <v>0</v>
      </c>
      <c r="H574" s="0" t="s">
        <v>122</v>
      </c>
      <c r="K574" s="0" t="s">
        <v>143</v>
      </c>
      <c r="L574" s="0" t="s">
        <v>1346</v>
      </c>
    </row>
    <row r="575" customFormat="false" ht="15" hidden="false" customHeight="false" outlineLevel="0" collapsed="false">
      <c r="A575" s="0" t="s">
        <v>1231</v>
      </c>
      <c r="B575" s="0" t="s">
        <v>129</v>
      </c>
      <c r="C575" s="0" t="s">
        <v>241</v>
      </c>
      <c r="D575" s="0" t="s">
        <v>69</v>
      </c>
      <c r="E575" s="0" t="s">
        <v>1347</v>
      </c>
      <c r="F575" s="0" t="n">
        <v>5</v>
      </c>
      <c r="G575" s="0" t="n">
        <v>0</v>
      </c>
      <c r="H575" s="0" t="s">
        <v>122</v>
      </c>
      <c r="K575" s="0" t="s">
        <v>146</v>
      </c>
      <c r="L575" s="0" t="s">
        <v>1348</v>
      </c>
    </row>
    <row r="576" customFormat="false" ht="15" hidden="false" customHeight="false" outlineLevel="0" collapsed="false">
      <c r="A576" s="0" t="s">
        <v>1231</v>
      </c>
      <c r="B576" s="0" t="s">
        <v>129</v>
      </c>
      <c r="C576" s="0" t="s">
        <v>241</v>
      </c>
      <c r="D576" s="0" t="s">
        <v>72</v>
      </c>
      <c r="E576" s="0" t="s">
        <v>1349</v>
      </c>
      <c r="F576" s="0" t="n">
        <v>0</v>
      </c>
      <c r="G576" s="0" t="n">
        <v>0</v>
      </c>
      <c r="H576" s="0" t="s">
        <v>117</v>
      </c>
      <c r="K576" s="0" t="s">
        <v>149</v>
      </c>
      <c r="L576" s="0" t="s">
        <v>1350</v>
      </c>
    </row>
    <row r="577" customFormat="false" ht="15" hidden="false" customHeight="false" outlineLevel="0" collapsed="false">
      <c r="A577" s="0" t="s">
        <v>1231</v>
      </c>
      <c r="B577" s="0" t="s">
        <v>129</v>
      </c>
      <c r="C577" s="0" t="s">
        <v>241</v>
      </c>
      <c r="D577" s="0" t="s">
        <v>75</v>
      </c>
      <c r="E577" s="0" t="s">
        <v>1351</v>
      </c>
      <c r="F577" s="0" t="n">
        <v>0</v>
      </c>
      <c r="G577" s="0" t="n">
        <v>0</v>
      </c>
      <c r="H577" s="0" t="s">
        <v>117</v>
      </c>
      <c r="K577" s="0" t="s">
        <v>152</v>
      </c>
      <c r="L577" s="0" t="s">
        <v>1352</v>
      </c>
    </row>
    <row r="578" customFormat="false" ht="15" hidden="false" customHeight="false" outlineLevel="0" collapsed="false">
      <c r="A578" s="0" t="s">
        <v>1231</v>
      </c>
      <c r="B578" s="0" t="s">
        <v>129</v>
      </c>
      <c r="C578" s="0" t="s">
        <v>241</v>
      </c>
      <c r="D578" s="0" t="s">
        <v>78</v>
      </c>
      <c r="E578" s="0" t="s">
        <v>1353</v>
      </c>
      <c r="F578" s="0" t="n">
        <v>5</v>
      </c>
      <c r="G578" s="0" t="n">
        <v>2</v>
      </c>
      <c r="H578" s="0" t="s">
        <v>122</v>
      </c>
      <c r="I578" s="0" t="s">
        <v>1354</v>
      </c>
      <c r="K578" s="0" t="s">
        <v>156</v>
      </c>
      <c r="L578" s="0" t="s">
        <v>1355</v>
      </c>
    </row>
    <row r="579" customFormat="false" ht="15" hidden="false" customHeight="false" outlineLevel="0" collapsed="false">
      <c r="A579" s="0" t="s">
        <v>1231</v>
      </c>
      <c r="B579" s="0" t="s">
        <v>129</v>
      </c>
      <c r="C579" s="0" t="s">
        <v>241</v>
      </c>
      <c r="D579" s="0" t="s">
        <v>81</v>
      </c>
      <c r="E579" s="0" t="s">
        <v>1356</v>
      </c>
      <c r="F579" s="0" t="n">
        <v>5</v>
      </c>
      <c r="G579" s="0" t="n">
        <v>0</v>
      </c>
      <c r="H579" s="0" t="s">
        <v>122</v>
      </c>
      <c r="K579" s="0" t="s">
        <v>160</v>
      </c>
      <c r="L579" s="0" t="s">
        <v>1357</v>
      </c>
    </row>
    <row r="580" customFormat="false" ht="15" hidden="false" customHeight="false" outlineLevel="0" collapsed="false">
      <c r="A580" s="0" t="s">
        <v>1231</v>
      </c>
      <c r="B580" s="0" t="s">
        <v>129</v>
      </c>
      <c r="C580" s="0" t="s">
        <v>268</v>
      </c>
      <c r="D580" s="0" t="s">
        <v>528</v>
      </c>
      <c r="E580" s="0" t="s">
        <v>1358</v>
      </c>
      <c r="F580" s="0" t="n">
        <v>0</v>
      </c>
      <c r="G580" s="0" t="n">
        <v>0</v>
      </c>
      <c r="H580" s="0" t="s">
        <v>117</v>
      </c>
      <c r="K580" s="0" t="s">
        <v>118</v>
      </c>
      <c r="L580" s="0" t="s">
        <v>1359</v>
      </c>
    </row>
    <row r="581" customFormat="false" ht="15" hidden="false" customHeight="false" outlineLevel="0" collapsed="false">
      <c r="A581" s="0" t="s">
        <v>1231</v>
      </c>
      <c r="B581" s="0" t="s">
        <v>129</v>
      </c>
      <c r="C581" s="0" t="s">
        <v>268</v>
      </c>
      <c r="D581" s="0" t="s">
        <v>531</v>
      </c>
      <c r="E581" s="0" t="s">
        <v>1360</v>
      </c>
      <c r="F581" s="0" t="n">
        <v>5</v>
      </c>
      <c r="G581" s="0" t="n">
        <v>5</v>
      </c>
      <c r="H581" s="0" t="s">
        <v>117</v>
      </c>
      <c r="I581" s="0" t="s">
        <v>1235</v>
      </c>
      <c r="K581" s="0" t="s">
        <v>123</v>
      </c>
      <c r="L581" s="0" t="s">
        <v>1361</v>
      </c>
    </row>
    <row r="582" customFormat="false" ht="15" hidden="false" customHeight="false" outlineLevel="0" collapsed="false">
      <c r="A582" s="0" t="s">
        <v>1231</v>
      </c>
      <c r="B582" s="0" t="s">
        <v>129</v>
      </c>
      <c r="C582" s="0" t="s">
        <v>268</v>
      </c>
      <c r="D582" s="0" t="s">
        <v>534</v>
      </c>
      <c r="E582" s="0" t="s">
        <v>1362</v>
      </c>
      <c r="F582" s="0" t="n">
        <v>5</v>
      </c>
      <c r="G582" s="0" t="n">
        <v>5</v>
      </c>
      <c r="H582" s="0" t="s">
        <v>117</v>
      </c>
      <c r="I582" s="0" t="s">
        <v>1235</v>
      </c>
      <c r="K582" s="0" t="s">
        <v>127</v>
      </c>
      <c r="L582" s="0" t="s">
        <v>1363</v>
      </c>
    </row>
    <row r="583" customFormat="false" ht="15" hidden="false" customHeight="false" outlineLevel="0" collapsed="false">
      <c r="A583" s="0" t="s">
        <v>1231</v>
      </c>
      <c r="B583" s="0" t="s">
        <v>129</v>
      </c>
      <c r="C583" s="0" t="s">
        <v>268</v>
      </c>
      <c r="D583" s="0" t="s">
        <v>52</v>
      </c>
      <c r="E583" s="0" t="s">
        <v>1364</v>
      </c>
      <c r="F583" s="0" t="n">
        <v>5</v>
      </c>
      <c r="G583" s="0" t="n">
        <v>5</v>
      </c>
      <c r="H583" s="0" t="s">
        <v>117</v>
      </c>
      <c r="I583" s="0" t="s">
        <v>1287</v>
      </c>
      <c r="K583" s="0" t="s">
        <v>132</v>
      </c>
      <c r="L583" s="0" t="s">
        <v>1365</v>
      </c>
    </row>
    <row r="584" customFormat="false" ht="15" hidden="false" customHeight="false" outlineLevel="0" collapsed="false">
      <c r="A584" s="0" t="s">
        <v>1231</v>
      </c>
      <c r="B584" s="0" t="s">
        <v>129</v>
      </c>
      <c r="C584" s="0" t="s">
        <v>268</v>
      </c>
      <c r="D584" s="0" t="s">
        <v>55</v>
      </c>
      <c r="E584" s="0" t="s">
        <v>1366</v>
      </c>
      <c r="F584" s="0" t="n">
        <v>5</v>
      </c>
      <c r="G584" s="0" t="n">
        <v>2</v>
      </c>
      <c r="H584" s="0" t="s">
        <v>122</v>
      </c>
      <c r="I584" s="0" t="s">
        <v>1292</v>
      </c>
      <c r="K584" s="0" t="s">
        <v>135</v>
      </c>
      <c r="L584" s="0" t="s">
        <v>1367</v>
      </c>
    </row>
    <row r="585" customFormat="false" ht="15" hidden="false" customHeight="false" outlineLevel="0" collapsed="false">
      <c r="A585" s="0" t="s">
        <v>1231</v>
      </c>
      <c r="B585" s="0" t="s">
        <v>129</v>
      </c>
      <c r="C585" s="0" t="s">
        <v>268</v>
      </c>
      <c r="D585" s="0" t="s">
        <v>58</v>
      </c>
      <c r="E585" s="0" t="s">
        <v>1368</v>
      </c>
      <c r="F585" s="0" t="n">
        <v>5</v>
      </c>
      <c r="G585" s="0" t="n">
        <v>0</v>
      </c>
      <c r="H585" s="0" t="s">
        <v>122</v>
      </c>
      <c r="K585" s="0" t="s">
        <v>138</v>
      </c>
      <c r="L585" s="0" t="s">
        <v>1369</v>
      </c>
    </row>
    <row r="586" customFormat="false" ht="15" hidden="false" customHeight="false" outlineLevel="0" collapsed="false">
      <c r="A586" s="0" t="s">
        <v>1231</v>
      </c>
      <c r="B586" s="0" t="s">
        <v>129</v>
      </c>
      <c r="C586" s="0" t="s">
        <v>268</v>
      </c>
      <c r="D586" s="0" t="s">
        <v>65</v>
      </c>
      <c r="E586" s="0" t="s">
        <v>1370</v>
      </c>
      <c r="F586" s="0" t="n">
        <v>5</v>
      </c>
      <c r="G586" s="0" t="n">
        <v>0</v>
      </c>
      <c r="H586" s="0" t="s">
        <v>122</v>
      </c>
      <c r="K586" s="0" t="s">
        <v>143</v>
      </c>
      <c r="L586" s="0" t="s">
        <v>1371</v>
      </c>
    </row>
    <row r="587" customFormat="false" ht="15" hidden="false" customHeight="false" outlineLevel="0" collapsed="false">
      <c r="A587" s="0" t="s">
        <v>1231</v>
      </c>
      <c r="B587" s="0" t="s">
        <v>129</v>
      </c>
      <c r="C587" s="0" t="s">
        <v>268</v>
      </c>
      <c r="D587" s="0" t="s">
        <v>69</v>
      </c>
      <c r="E587" s="0" t="s">
        <v>1372</v>
      </c>
      <c r="F587" s="0" t="n">
        <v>5</v>
      </c>
      <c r="G587" s="0" t="n">
        <v>0</v>
      </c>
      <c r="H587" s="0" t="s">
        <v>122</v>
      </c>
      <c r="K587" s="0" t="s">
        <v>146</v>
      </c>
      <c r="L587" s="0" t="s">
        <v>1373</v>
      </c>
    </row>
    <row r="588" customFormat="false" ht="15" hidden="false" customHeight="false" outlineLevel="0" collapsed="false">
      <c r="A588" s="0" t="s">
        <v>1231</v>
      </c>
      <c r="B588" s="0" t="s">
        <v>129</v>
      </c>
      <c r="C588" s="0" t="s">
        <v>268</v>
      </c>
      <c r="D588" s="0" t="s">
        <v>72</v>
      </c>
      <c r="E588" s="0" t="s">
        <v>1374</v>
      </c>
      <c r="F588" s="0" t="n">
        <v>5</v>
      </c>
      <c r="G588" s="0" t="n">
        <v>0</v>
      </c>
      <c r="H588" s="0" t="s">
        <v>122</v>
      </c>
      <c r="K588" s="0" t="s">
        <v>149</v>
      </c>
      <c r="L588" s="0" t="s">
        <v>1375</v>
      </c>
    </row>
    <row r="589" customFormat="false" ht="15" hidden="false" customHeight="false" outlineLevel="0" collapsed="false">
      <c r="A589" s="0" t="s">
        <v>1231</v>
      </c>
      <c r="B589" s="0" t="s">
        <v>129</v>
      </c>
      <c r="C589" s="0" t="s">
        <v>268</v>
      </c>
      <c r="D589" s="0" t="s">
        <v>75</v>
      </c>
      <c r="E589" s="0" t="s">
        <v>1376</v>
      </c>
      <c r="F589" s="0" t="n">
        <v>5</v>
      </c>
      <c r="G589" s="0" t="n">
        <v>4</v>
      </c>
      <c r="H589" s="0" t="s">
        <v>122</v>
      </c>
      <c r="I589" s="0" t="s">
        <v>1287</v>
      </c>
      <c r="K589" s="0" t="s">
        <v>152</v>
      </c>
      <c r="L589" s="0" t="s">
        <v>1377</v>
      </c>
    </row>
    <row r="590" customFormat="false" ht="15" hidden="false" customHeight="false" outlineLevel="0" collapsed="false">
      <c r="A590" s="0" t="s">
        <v>1231</v>
      </c>
      <c r="B590" s="0" t="s">
        <v>129</v>
      </c>
      <c r="C590" s="0" t="s">
        <v>268</v>
      </c>
      <c r="D590" s="0" t="s">
        <v>78</v>
      </c>
      <c r="E590" s="0" t="s">
        <v>1378</v>
      </c>
      <c r="F590" s="0" t="n">
        <v>5</v>
      </c>
      <c r="G590" s="0" t="n">
        <v>4</v>
      </c>
      <c r="H590" s="0" t="s">
        <v>122</v>
      </c>
      <c r="I590" s="0" t="s">
        <v>1292</v>
      </c>
      <c r="K590" s="0" t="s">
        <v>156</v>
      </c>
      <c r="L590" s="0" t="s">
        <v>1379</v>
      </c>
    </row>
    <row r="591" customFormat="false" ht="15" hidden="false" customHeight="false" outlineLevel="0" collapsed="false">
      <c r="A591" s="0" t="s">
        <v>1231</v>
      </c>
      <c r="B591" s="0" t="s">
        <v>129</v>
      </c>
      <c r="C591" s="0" t="s">
        <v>268</v>
      </c>
      <c r="D591" s="0" t="s">
        <v>81</v>
      </c>
      <c r="E591" s="0" t="s">
        <v>1380</v>
      </c>
      <c r="F591" s="0" t="n">
        <v>5</v>
      </c>
      <c r="G591" s="0" t="n">
        <v>0</v>
      </c>
      <c r="H591" s="0" t="s">
        <v>122</v>
      </c>
      <c r="K591" s="0" t="s">
        <v>160</v>
      </c>
      <c r="L591" s="0" t="s">
        <v>1381</v>
      </c>
    </row>
    <row r="592" customFormat="false" ht="15" hidden="false" customHeight="false" outlineLevel="0" collapsed="false">
      <c r="A592" s="0" t="s">
        <v>1231</v>
      </c>
      <c r="B592" s="0" t="s">
        <v>129</v>
      </c>
      <c r="C592" s="0" t="s">
        <v>294</v>
      </c>
      <c r="D592" s="0" t="s">
        <v>528</v>
      </c>
      <c r="E592" s="0" t="s">
        <v>1382</v>
      </c>
      <c r="F592" s="0" t="n">
        <v>0</v>
      </c>
      <c r="G592" s="0" t="n">
        <v>0</v>
      </c>
      <c r="H592" s="0" t="s">
        <v>117</v>
      </c>
      <c r="K592" s="0" t="s">
        <v>118</v>
      </c>
      <c r="L592" s="0" t="s">
        <v>1383</v>
      </c>
    </row>
    <row r="593" customFormat="false" ht="15" hidden="false" customHeight="false" outlineLevel="0" collapsed="false">
      <c r="A593" s="0" t="s">
        <v>1231</v>
      </c>
      <c r="B593" s="0" t="s">
        <v>129</v>
      </c>
      <c r="C593" s="0" t="s">
        <v>294</v>
      </c>
      <c r="D593" s="0" t="s">
        <v>531</v>
      </c>
      <c r="E593" s="0" t="s">
        <v>1384</v>
      </c>
      <c r="F593" s="0" t="n">
        <v>5</v>
      </c>
      <c r="G593" s="0" t="n">
        <v>5</v>
      </c>
      <c r="H593" s="0" t="s">
        <v>117</v>
      </c>
      <c r="I593" s="0" t="s">
        <v>1287</v>
      </c>
      <c r="K593" s="0" t="s">
        <v>123</v>
      </c>
      <c r="L593" s="0" t="s">
        <v>1385</v>
      </c>
    </row>
    <row r="594" customFormat="false" ht="15" hidden="false" customHeight="false" outlineLevel="0" collapsed="false">
      <c r="A594" s="0" t="s">
        <v>1231</v>
      </c>
      <c r="B594" s="0" t="s">
        <v>129</v>
      </c>
      <c r="C594" s="0" t="s">
        <v>294</v>
      </c>
      <c r="D594" s="0" t="s">
        <v>534</v>
      </c>
      <c r="E594" s="0" t="s">
        <v>1386</v>
      </c>
      <c r="F594" s="0" t="n">
        <v>5</v>
      </c>
      <c r="G594" s="0" t="n">
        <v>5</v>
      </c>
      <c r="H594" s="0" t="s">
        <v>117</v>
      </c>
      <c r="I594" s="0" t="s">
        <v>1292</v>
      </c>
      <c r="K594" s="0" t="s">
        <v>127</v>
      </c>
      <c r="L594" s="0" t="s">
        <v>1387</v>
      </c>
    </row>
    <row r="595" customFormat="false" ht="15" hidden="false" customHeight="false" outlineLevel="0" collapsed="false">
      <c r="A595" s="0" t="s">
        <v>1231</v>
      </c>
      <c r="B595" s="0" t="s">
        <v>129</v>
      </c>
      <c r="C595" s="0" t="s">
        <v>294</v>
      </c>
      <c r="D595" s="0" t="s">
        <v>52</v>
      </c>
      <c r="E595" s="0" t="s">
        <v>1388</v>
      </c>
      <c r="F595" s="0" t="n">
        <v>5</v>
      </c>
      <c r="G595" s="0" t="n">
        <v>5</v>
      </c>
      <c r="H595" s="0" t="s">
        <v>117</v>
      </c>
      <c r="I595" s="0" t="s">
        <v>1329</v>
      </c>
      <c r="K595" s="0" t="s">
        <v>132</v>
      </c>
      <c r="L595" s="0" t="s">
        <v>1389</v>
      </c>
    </row>
    <row r="596" customFormat="false" ht="15" hidden="false" customHeight="false" outlineLevel="0" collapsed="false">
      <c r="A596" s="0" t="s">
        <v>1231</v>
      </c>
      <c r="B596" s="0" t="s">
        <v>129</v>
      </c>
      <c r="C596" s="0" t="s">
        <v>294</v>
      </c>
      <c r="D596" s="0" t="s">
        <v>55</v>
      </c>
      <c r="E596" s="0" t="s">
        <v>1390</v>
      </c>
      <c r="F596" s="0" t="n">
        <v>5</v>
      </c>
      <c r="G596" s="0" t="n">
        <v>3</v>
      </c>
      <c r="H596" s="0" t="s">
        <v>122</v>
      </c>
      <c r="I596" s="0" t="s">
        <v>1287</v>
      </c>
      <c r="K596" s="0" t="s">
        <v>135</v>
      </c>
      <c r="L596" s="0" t="s">
        <v>1391</v>
      </c>
    </row>
    <row r="597" customFormat="false" ht="15" hidden="false" customHeight="false" outlineLevel="0" collapsed="false">
      <c r="A597" s="0" t="s">
        <v>1231</v>
      </c>
      <c r="B597" s="0" t="s">
        <v>129</v>
      </c>
      <c r="C597" s="0" t="s">
        <v>294</v>
      </c>
      <c r="D597" s="0" t="s">
        <v>58</v>
      </c>
      <c r="E597" s="0" t="s">
        <v>1392</v>
      </c>
      <c r="F597" s="0" t="n">
        <v>5</v>
      </c>
      <c r="G597" s="0" t="n">
        <v>0</v>
      </c>
      <c r="H597" s="0" t="s">
        <v>122</v>
      </c>
      <c r="K597" s="0" t="s">
        <v>138</v>
      </c>
      <c r="L597" s="0" t="s">
        <v>1393</v>
      </c>
    </row>
    <row r="598" customFormat="false" ht="15" hidden="false" customHeight="false" outlineLevel="0" collapsed="false">
      <c r="A598" s="0" t="s">
        <v>1231</v>
      </c>
      <c r="B598" s="0" t="s">
        <v>129</v>
      </c>
      <c r="C598" s="0" t="s">
        <v>294</v>
      </c>
      <c r="D598" s="0" t="s">
        <v>65</v>
      </c>
      <c r="E598" s="0" t="s">
        <v>1394</v>
      </c>
      <c r="F598" s="0" t="n">
        <v>5</v>
      </c>
      <c r="G598" s="0" t="n">
        <v>1</v>
      </c>
      <c r="H598" s="0" t="s">
        <v>122</v>
      </c>
      <c r="I598" s="0" t="s">
        <v>1292</v>
      </c>
      <c r="K598" s="0" t="s">
        <v>143</v>
      </c>
      <c r="L598" s="0" t="s">
        <v>1395</v>
      </c>
    </row>
    <row r="599" customFormat="false" ht="15" hidden="false" customHeight="false" outlineLevel="0" collapsed="false">
      <c r="A599" s="0" t="s">
        <v>1231</v>
      </c>
      <c r="B599" s="0" t="s">
        <v>129</v>
      </c>
      <c r="C599" s="0" t="s">
        <v>294</v>
      </c>
      <c r="D599" s="0" t="s">
        <v>69</v>
      </c>
      <c r="E599" s="0" t="s">
        <v>1396</v>
      </c>
      <c r="F599" s="0" t="n">
        <v>5</v>
      </c>
      <c r="G599" s="0" t="n">
        <v>0</v>
      </c>
      <c r="H599" s="0" t="s">
        <v>122</v>
      </c>
      <c r="K599" s="0" t="s">
        <v>146</v>
      </c>
      <c r="L599" s="0" t="s">
        <v>1397</v>
      </c>
    </row>
    <row r="600" customFormat="false" ht="15" hidden="false" customHeight="false" outlineLevel="0" collapsed="false">
      <c r="A600" s="0" t="s">
        <v>1231</v>
      </c>
      <c r="B600" s="0" t="s">
        <v>129</v>
      </c>
      <c r="C600" s="0" t="s">
        <v>294</v>
      </c>
      <c r="D600" s="0" t="s">
        <v>72</v>
      </c>
      <c r="E600" s="0" t="s">
        <v>1398</v>
      </c>
      <c r="F600" s="0" t="n">
        <v>5</v>
      </c>
      <c r="G600" s="0" t="n">
        <v>2</v>
      </c>
      <c r="H600" s="0" t="s">
        <v>122</v>
      </c>
      <c r="I600" s="0" t="s">
        <v>1292</v>
      </c>
      <c r="K600" s="0" t="s">
        <v>149</v>
      </c>
      <c r="L600" s="0" t="s">
        <v>1399</v>
      </c>
    </row>
    <row r="601" customFormat="false" ht="15" hidden="false" customHeight="false" outlineLevel="0" collapsed="false">
      <c r="A601" s="0" t="s">
        <v>1231</v>
      </c>
      <c r="B601" s="0" t="s">
        <v>129</v>
      </c>
      <c r="C601" s="0" t="s">
        <v>294</v>
      </c>
      <c r="D601" s="0" t="s">
        <v>75</v>
      </c>
      <c r="E601" s="0" t="s">
        <v>1400</v>
      </c>
      <c r="F601" s="0" t="n">
        <v>5</v>
      </c>
      <c r="G601" s="0" t="n">
        <v>2</v>
      </c>
      <c r="H601" s="0" t="s">
        <v>122</v>
      </c>
      <c r="I601" s="0" t="s">
        <v>1354</v>
      </c>
      <c r="K601" s="0" t="s">
        <v>152</v>
      </c>
      <c r="L601" s="0" t="s">
        <v>1401</v>
      </c>
    </row>
    <row r="602" customFormat="false" ht="15" hidden="false" customHeight="false" outlineLevel="0" collapsed="false">
      <c r="A602" s="0" t="s">
        <v>1231</v>
      </c>
      <c r="B602" s="0" t="s">
        <v>129</v>
      </c>
      <c r="C602" s="0" t="s">
        <v>294</v>
      </c>
      <c r="D602" s="0" t="s">
        <v>78</v>
      </c>
      <c r="E602" s="0" t="s">
        <v>1402</v>
      </c>
      <c r="F602" s="0" t="n">
        <v>5</v>
      </c>
      <c r="G602" s="0" t="n">
        <v>3</v>
      </c>
      <c r="H602" s="0" t="s">
        <v>122</v>
      </c>
      <c r="I602" s="0" t="s">
        <v>1262</v>
      </c>
      <c r="K602" s="0" t="s">
        <v>156</v>
      </c>
      <c r="L602" s="0" t="s">
        <v>1403</v>
      </c>
    </row>
    <row r="603" customFormat="false" ht="15" hidden="false" customHeight="false" outlineLevel="0" collapsed="false">
      <c r="A603" s="0" t="s">
        <v>1231</v>
      </c>
      <c r="B603" s="0" t="s">
        <v>129</v>
      </c>
      <c r="C603" s="0" t="s">
        <v>294</v>
      </c>
      <c r="D603" s="0" t="s">
        <v>81</v>
      </c>
      <c r="E603" s="0" t="s">
        <v>1404</v>
      </c>
      <c r="F603" s="0" t="n">
        <v>5</v>
      </c>
      <c r="G603" s="0" t="n">
        <v>0</v>
      </c>
      <c r="H603" s="0" t="s">
        <v>122</v>
      </c>
      <c r="K603" s="0" t="s">
        <v>160</v>
      </c>
      <c r="L603" s="0" t="s">
        <v>1405</v>
      </c>
    </row>
    <row r="604" customFormat="false" ht="15" hidden="false" customHeight="false" outlineLevel="0" collapsed="false">
      <c r="A604" s="0" t="s">
        <v>1231</v>
      </c>
      <c r="B604" s="0" t="s">
        <v>319</v>
      </c>
      <c r="C604" s="0" t="s">
        <v>114</v>
      </c>
      <c r="D604" s="0" t="s">
        <v>320</v>
      </c>
      <c r="E604" s="0" t="s">
        <v>321</v>
      </c>
      <c r="F604" s="0" t="n">
        <v>8</v>
      </c>
      <c r="G604" s="0" t="n">
        <v>0</v>
      </c>
      <c r="H604" s="0" t="s">
        <v>122</v>
      </c>
      <c r="K604" s="0" t="s">
        <v>322</v>
      </c>
      <c r="L604" s="0" t="s">
        <v>1406</v>
      </c>
    </row>
    <row r="605" customFormat="false" ht="15" hidden="false" customHeight="false" outlineLevel="0" collapsed="false">
      <c r="A605" s="0" t="s">
        <v>1231</v>
      </c>
      <c r="B605" s="0" t="s">
        <v>319</v>
      </c>
      <c r="C605" s="0" t="s">
        <v>162</v>
      </c>
      <c r="D605" s="0" t="s">
        <v>320</v>
      </c>
      <c r="E605" s="0" t="s">
        <v>324</v>
      </c>
      <c r="F605" s="0" t="n">
        <v>8</v>
      </c>
      <c r="G605" s="0" t="n">
        <v>0</v>
      </c>
      <c r="H605" s="0" t="s">
        <v>122</v>
      </c>
      <c r="K605" s="0" t="s">
        <v>322</v>
      </c>
      <c r="L605" s="0" t="s">
        <v>1407</v>
      </c>
    </row>
    <row r="606" customFormat="false" ht="15" hidden="false" customHeight="false" outlineLevel="0" collapsed="false">
      <c r="A606" s="0" t="s">
        <v>1231</v>
      </c>
      <c r="B606" s="0" t="s">
        <v>319</v>
      </c>
      <c r="C606" s="0" t="s">
        <v>189</v>
      </c>
      <c r="D606" s="0" t="s">
        <v>320</v>
      </c>
      <c r="E606" s="0" t="s">
        <v>326</v>
      </c>
      <c r="F606" s="0" t="n">
        <v>8</v>
      </c>
      <c r="G606" s="0" t="n">
        <v>0</v>
      </c>
      <c r="H606" s="0" t="s">
        <v>122</v>
      </c>
      <c r="K606" s="0" t="s">
        <v>322</v>
      </c>
      <c r="L606" s="0" t="s">
        <v>1408</v>
      </c>
    </row>
    <row r="607" customFormat="false" ht="15" hidden="false" customHeight="false" outlineLevel="0" collapsed="false">
      <c r="A607" s="0" t="s">
        <v>1231</v>
      </c>
      <c r="B607" s="0" t="s">
        <v>319</v>
      </c>
      <c r="C607" s="0" t="s">
        <v>215</v>
      </c>
      <c r="D607" s="0" t="s">
        <v>320</v>
      </c>
      <c r="E607" s="0" t="s">
        <v>328</v>
      </c>
      <c r="F607" s="0" t="n">
        <v>8</v>
      </c>
      <c r="G607" s="0" t="n">
        <v>0</v>
      </c>
      <c r="H607" s="0" t="s">
        <v>122</v>
      </c>
      <c r="K607" s="0" t="s">
        <v>322</v>
      </c>
      <c r="L607" s="0" t="s">
        <v>1409</v>
      </c>
    </row>
    <row r="608" customFormat="false" ht="15" hidden="false" customHeight="false" outlineLevel="0" collapsed="false">
      <c r="A608" s="0" t="s">
        <v>1231</v>
      </c>
      <c r="B608" s="0" t="s">
        <v>319</v>
      </c>
      <c r="C608" s="0" t="s">
        <v>241</v>
      </c>
      <c r="D608" s="0" t="s">
        <v>320</v>
      </c>
      <c r="E608" s="0" t="s">
        <v>330</v>
      </c>
      <c r="F608" s="0" t="n">
        <v>8</v>
      </c>
      <c r="G608" s="0" t="n">
        <v>0</v>
      </c>
      <c r="H608" s="0" t="s">
        <v>122</v>
      </c>
      <c r="K608" s="0" t="s">
        <v>322</v>
      </c>
      <c r="L608" s="0" t="s">
        <v>1410</v>
      </c>
    </row>
    <row r="609" customFormat="false" ht="15" hidden="false" customHeight="false" outlineLevel="0" collapsed="false">
      <c r="A609" s="0" t="s">
        <v>1231</v>
      </c>
      <c r="B609" s="0" t="s">
        <v>319</v>
      </c>
      <c r="C609" s="0" t="s">
        <v>268</v>
      </c>
      <c r="D609" s="0" t="s">
        <v>320</v>
      </c>
      <c r="E609" s="0" t="s">
        <v>332</v>
      </c>
      <c r="F609" s="0" t="n">
        <v>8</v>
      </c>
      <c r="G609" s="0" t="n">
        <v>1</v>
      </c>
      <c r="H609" s="0" t="s">
        <v>122</v>
      </c>
      <c r="I609" s="0" t="s">
        <v>1354</v>
      </c>
      <c r="K609" s="0" t="s">
        <v>322</v>
      </c>
      <c r="L609" s="0" t="s">
        <v>1411</v>
      </c>
    </row>
    <row r="610" customFormat="false" ht="15" hidden="false" customHeight="false" outlineLevel="0" collapsed="false">
      <c r="A610" s="0" t="s">
        <v>1231</v>
      </c>
      <c r="B610" s="0" t="s">
        <v>319</v>
      </c>
      <c r="C610" s="0" t="s">
        <v>294</v>
      </c>
      <c r="D610" s="0" t="s">
        <v>320</v>
      </c>
      <c r="E610" s="0" t="s">
        <v>334</v>
      </c>
      <c r="F610" s="0" t="n">
        <v>8</v>
      </c>
      <c r="G610" s="0" t="n">
        <v>0</v>
      </c>
      <c r="H610" s="0" t="s">
        <v>122</v>
      </c>
      <c r="K610" s="0" t="s">
        <v>322</v>
      </c>
      <c r="L610" s="0" t="s">
        <v>1412</v>
      </c>
    </row>
    <row r="611" customFormat="false" ht="15" hidden="false" customHeight="false" outlineLevel="0" collapsed="false">
      <c r="A611" s="0" t="s">
        <v>1231</v>
      </c>
      <c r="B611" s="0" t="s">
        <v>319</v>
      </c>
      <c r="C611" s="0" t="s">
        <v>114</v>
      </c>
      <c r="D611" s="0" t="s">
        <v>86</v>
      </c>
      <c r="E611" s="0" t="s">
        <v>336</v>
      </c>
      <c r="F611" s="0" t="n">
        <v>8</v>
      </c>
      <c r="G611" s="0" t="n">
        <v>1</v>
      </c>
      <c r="H611" s="0" t="s">
        <v>122</v>
      </c>
      <c r="I611" s="0" t="s">
        <v>1235</v>
      </c>
      <c r="K611" s="0" t="s">
        <v>322</v>
      </c>
      <c r="L611" s="0" t="s">
        <v>1413</v>
      </c>
    </row>
    <row r="612" customFormat="false" ht="15" hidden="false" customHeight="false" outlineLevel="0" collapsed="false">
      <c r="A612" s="0" t="s">
        <v>1231</v>
      </c>
      <c r="B612" s="0" t="s">
        <v>319</v>
      </c>
      <c r="C612" s="0" t="s">
        <v>162</v>
      </c>
      <c r="D612" s="0" t="s">
        <v>86</v>
      </c>
      <c r="E612" s="0" t="s">
        <v>338</v>
      </c>
      <c r="F612" s="0" t="n">
        <v>8</v>
      </c>
      <c r="G612" s="0" t="n">
        <v>0</v>
      </c>
      <c r="H612" s="0" t="s">
        <v>122</v>
      </c>
      <c r="K612" s="0" t="s">
        <v>322</v>
      </c>
      <c r="L612" s="0" t="s">
        <v>1414</v>
      </c>
    </row>
    <row r="613" customFormat="false" ht="15" hidden="false" customHeight="false" outlineLevel="0" collapsed="false">
      <c r="A613" s="0" t="s">
        <v>1231</v>
      </c>
      <c r="B613" s="0" t="s">
        <v>319</v>
      </c>
      <c r="C613" s="0" t="s">
        <v>189</v>
      </c>
      <c r="D613" s="0" t="s">
        <v>86</v>
      </c>
      <c r="E613" s="0" t="s">
        <v>340</v>
      </c>
      <c r="F613" s="0" t="n">
        <v>8</v>
      </c>
      <c r="G613" s="0" t="n">
        <v>1</v>
      </c>
      <c r="H613" s="0" t="s">
        <v>122</v>
      </c>
      <c r="I613" s="0" t="s">
        <v>1292</v>
      </c>
      <c r="K613" s="0" t="s">
        <v>322</v>
      </c>
      <c r="L613" s="0" t="s">
        <v>1415</v>
      </c>
    </row>
    <row r="614" customFormat="false" ht="15" hidden="false" customHeight="false" outlineLevel="0" collapsed="false">
      <c r="A614" s="0" t="s">
        <v>1231</v>
      </c>
      <c r="B614" s="0" t="s">
        <v>319</v>
      </c>
      <c r="C614" s="0" t="s">
        <v>215</v>
      </c>
      <c r="D614" s="0" t="s">
        <v>86</v>
      </c>
      <c r="E614" s="0" t="s">
        <v>342</v>
      </c>
      <c r="F614" s="0" t="n">
        <v>8</v>
      </c>
      <c r="G614" s="0" t="n">
        <v>0</v>
      </c>
      <c r="H614" s="0" t="s">
        <v>122</v>
      </c>
      <c r="K614" s="0" t="s">
        <v>322</v>
      </c>
      <c r="L614" s="0" t="s">
        <v>1416</v>
      </c>
    </row>
    <row r="615" customFormat="false" ht="15" hidden="false" customHeight="false" outlineLevel="0" collapsed="false">
      <c r="A615" s="0" t="s">
        <v>1231</v>
      </c>
      <c r="B615" s="0" t="s">
        <v>319</v>
      </c>
      <c r="C615" s="0" t="s">
        <v>241</v>
      </c>
      <c r="D615" s="0" t="s">
        <v>86</v>
      </c>
      <c r="E615" s="0" t="s">
        <v>344</v>
      </c>
      <c r="F615" s="0" t="n">
        <v>8</v>
      </c>
      <c r="G615" s="0" t="n">
        <v>1</v>
      </c>
      <c r="H615" s="0" t="s">
        <v>122</v>
      </c>
      <c r="I615" s="0" t="s">
        <v>1417</v>
      </c>
      <c r="K615" s="0" t="s">
        <v>322</v>
      </c>
      <c r="L615" s="0" t="s">
        <v>1418</v>
      </c>
    </row>
    <row r="616" customFormat="false" ht="15" hidden="false" customHeight="false" outlineLevel="0" collapsed="false">
      <c r="A616" s="0" t="s">
        <v>1231</v>
      </c>
      <c r="B616" s="0" t="s">
        <v>319</v>
      </c>
      <c r="C616" s="0" t="s">
        <v>268</v>
      </c>
      <c r="D616" s="0" t="s">
        <v>86</v>
      </c>
      <c r="E616" s="0" t="s">
        <v>346</v>
      </c>
      <c r="F616" s="0" t="n">
        <v>8</v>
      </c>
      <c r="G616" s="0" t="n">
        <v>0</v>
      </c>
      <c r="H616" s="0" t="s">
        <v>122</v>
      </c>
      <c r="K616" s="0" t="s">
        <v>322</v>
      </c>
      <c r="L616" s="0" t="s">
        <v>1419</v>
      </c>
    </row>
    <row r="617" customFormat="false" ht="15" hidden="false" customHeight="false" outlineLevel="0" collapsed="false">
      <c r="A617" s="0" t="s">
        <v>1231</v>
      </c>
      <c r="B617" s="0" t="s">
        <v>319</v>
      </c>
      <c r="C617" s="0" t="s">
        <v>294</v>
      </c>
      <c r="D617" s="0" t="s">
        <v>86</v>
      </c>
      <c r="E617" s="0" t="s">
        <v>348</v>
      </c>
      <c r="F617" s="0" t="n">
        <v>8</v>
      </c>
      <c r="G617" s="0" t="n">
        <v>0</v>
      </c>
      <c r="H617" s="0" t="s">
        <v>122</v>
      </c>
      <c r="K617" s="0" t="s">
        <v>322</v>
      </c>
      <c r="L617" s="0" t="s">
        <v>1420</v>
      </c>
    </row>
    <row r="618" customFormat="false" ht="15" hidden="false" customHeight="false" outlineLevel="0" collapsed="false">
      <c r="A618" s="0" t="s">
        <v>1231</v>
      </c>
      <c r="B618" s="0" t="s">
        <v>350</v>
      </c>
      <c r="C618" s="0" t="s">
        <v>351</v>
      </c>
      <c r="D618" s="0" t="s">
        <v>528</v>
      </c>
      <c r="E618" s="0" t="s">
        <v>1421</v>
      </c>
      <c r="F618" s="0" t="n">
        <v>0</v>
      </c>
      <c r="G618" s="0" t="n">
        <v>0</v>
      </c>
      <c r="H618" s="0" t="s">
        <v>117</v>
      </c>
      <c r="K618" s="0" t="s">
        <v>118</v>
      </c>
      <c r="L618" s="0" t="s">
        <v>1422</v>
      </c>
    </row>
    <row r="619" customFormat="false" ht="15" hidden="false" customHeight="false" outlineLevel="0" collapsed="false">
      <c r="A619" s="0" t="s">
        <v>1231</v>
      </c>
      <c r="B619" s="0" t="s">
        <v>350</v>
      </c>
      <c r="C619" s="0" t="s">
        <v>351</v>
      </c>
      <c r="D619" s="0" t="s">
        <v>531</v>
      </c>
      <c r="E619" s="0" t="s">
        <v>1423</v>
      </c>
      <c r="F619" s="0" t="n">
        <v>5</v>
      </c>
      <c r="G619" s="0" t="n">
        <v>2</v>
      </c>
      <c r="H619" s="0" t="s">
        <v>122</v>
      </c>
      <c r="I619" s="0" t="s">
        <v>1262</v>
      </c>
      <c r="K619" s="0" t="s">
        <v>123</v>
      </c>
      <c r="L619" s="0" t="s">
        <v>1424</v>
      </c>
    </row>
    <row r="620" customFormat="false" ht="15" hidden="false" customHeight="false" outlineLevel="0" collapsed="false">
      <c r="A620" s="0" t="s">
        <v>1231</v>
      </c>
      <c r="B620" s="0" t="s">
        <v>350</v>
      </c>
      <c r="C620" s="0" t="s">
        <v>351</v>
      </c>
      <c r="D620" s="0" t="s">
        <v>534</v>
      </c>
      <c r="E620" s="0" t="s">
        <v>1425</v>
      </c>
      <c r="F620" s="0" t="n">
        <v>5</v>
      </c>
      <c r="G620" s="0" t="n">
        <v>0</v>
      </c>
      <c r="H620" s="0" t="s">
        <v>122</v>
      </c>
      <c r="K620" s="0" t="s">
        <v>127</v>
      </c>
      <c r="L620" s="0" t="s">
        <v>1426</v>
      </c>
    </row>
    <row r="621" customFormat="false" ht="15" hidden="false" customHeight="false" outlineLevel="0" collapsed="false">
      <c r="A621" s="0" t="s">
        <v>1231</v>
      </c>
      <c r="B621" s="0" t="s">
        <v>350</v>
      </c>
      <c r="C621" s="0" t="s">
        <v>351</v>
      </c>
      <c r="D621" s="0" t="s">
        <v>52</v>
      </c>
      <c r="E621" s="0" t="s">
        <v>1427</v>
      </c>
      <c r="F621" s="0" t="n">
        <v>5</v>
      </c>
      <c r="G621" s="0" t="n">
        <v>0</v>
      </c>
      <c r="H621" s="0" t="s">
        <v>122</v>
      </c>
      <c r="K621" s="0" t="s">
        <v>132</v>
      </c>
      <c r="L621" s="0" t="s">
        <v>1428</v>
      </c>
    </row>
    <row r="622" customFormat="false" ht="15" hidden="false" customHeight="false" outlineLevel="0" collapsed="false">
      <c r="A622" s="0" t="s">
        <v>1231</v>
      </c>
      <c r="B622" s="0" t="s">
        <v>350</v>
      </c>
      <c r="C622" s="0" t="s">
        <v>351</v>
      </c>
      <c r="D622" s="0" t="s">
        <v>55</v>
      </c>
      <c r="E622" s="0" t="s">
        <v>1429</v>
      </c>
      <c r="F622" s="0" t="n">
        <v>5</v>
      </c>
      <c r="G622" s="0" t="n">
        <v>1</v>
      </c>
      <c r="H622" s="0" t="s">
        <v>122</v>
      </c>
      <c r="I622" s="0" t="s">
        <v>1354</v>
      </c>
      <c r="K622" s="0" t="s">
        <v>135</v>
      </c>
      <c r="L622" s="0" t="s">
        <v>1430</v>
      </c>
    </row>
    <row r="623" customFormat="false" ht="15" hidden="false" customHeight="false" outlineLevel="0" collapsed="false">
      <c r="A623" s="0" t="s">
        <v>1231</v>
      </c>
      <c r="B623" s="0" t="s">
        <v>350</v>
      </c>
      <c r="C623" s="0" t="s">
        <v>351</v>
      </c>
      <c r="D623" s="0" t="s">
        <v>58</v>
      </c>
      <c r="E623" s="0" t="s">
        <v>1431</v>
      </c>
      <c r="F623" s="0" t="n">
        <v>0</v>
      </c>
      <c r="G623" s="0" t="n">
        <v>0</v>
      </c>
      <c r="H623" s="0" t="s">
        <v>117</v>
      </c>
      <c r="K623" s="0" t="s">
        <v>138</v>
      </c>
      <c r="L623" s="0" t="s">
        <v>1432</v>
      </c>
    </row>
    <row r="624" customFormat="false" ht="15" hidden="false" customHeight="false" outlineLevel="0" collapsed="false">
      <c r="A624" s="0" t="s">
        <v>1231</v>
      </c>
      <c r="B624" s="0" t="s">
        <v>350</v>
      </c>
      <c r="C624" s="0" t="s">
        <v>351</v>
      </c>
      <c r="D624" s="0" t="s">
        <v>65</v>
      </c>
      <c r="E624" s="0" t="s">
        <v>1433</v>
      </c>
      <c r="F624" s="0" t="n">
        <v>5</v>
      </c>
      <c r="G624" s="0" t="n">
        <v>0</v>
      </c>
      <c r="H624" s="0" t="s">
        <v>122</v>
      </c>
      <c r="K624" s="0" t="s">
        <v>143</v>
      </c>
      <c r="L624" s="0" t="s">
        <v>1434</v>
      </c>
    </row>
    <row r="625" customFormat="false" ht="15" hidden="false" customHeight="false" outlineLevel="0" collapsed="false">
      <c r="A625" s="0" t="s">
        <v>1231</v>
      </c>
      <c r="B625" s="0" t="s">
        <v>350</v>
      </c>
      <c r="C625" s="0" t="s">
        <v>351</v>
      </c>
      <c r="D625" s="0" t="s">
        <v>69</v>
      </c>
      <c r="E625" s="0" t="s">
        <v>1435</v>
      </c>
      <c r="F625" s="0" t="n">
        <v>5</v>
      </c>
      <c r="G625" s="0" t="n">
        <v>0</v>
      </c>
      <c r="H625" s="0" t="s">
        <v>122</v>
      </c>
      <c r="K625" s="0" t="s">
        <v>146</v>
      </c>
      <c r="L625" s="0" t="s">
        <v>1436</v>
      </c>
    </row>
    <row r="626" customFormat="false" ht="15" hidden="false" customHeight="false" outlineLevel="0" collapsed="false">
      <c r="A626" s="0" t="s">
        <v>1231</v>
      </c>
      <c r="B626" s="0" t="s">
        <v>350</v>
      </c>
      <c r="C626" s="0" t="s">
        <v>351</v>
      </c>
      <c r="D626" s="0" t="s">
        <v>72</v>
      </c>
      <c r="E626" s="0" t="s">
        <v>1437</v>
      </c>
      <c r="F626" s="0" t="n">
        <v>5</v>
      </c>
      <c r="G626" s="0" t="n">
        <v>1</v>
      </c>
      <c r="H626" s="0" t="s">
        <v>122</v>
      </c>
      <c r="I626" s="0" t="s">
        <v>1262</v>
      </c>
      <c r="K626" s="0" t="s">
        <v>149</v>
      </c>
      <c r="L626" s="0" t="s">
        <v>1438</v>
      </c>
    </row>
    <row r="627" customFormat="false" ht="15" hidden="false" customHeight="false" outlineLevel="0" collapsed="false">
      <c r="A627" s="0" t="s">
        <v>1231</v>
      </c>
      <c r="B627" s="0" t="s">
        <v>350</v>
      </c>
      <c r="C627" s="0" t="s">
        <v>351</v>
      </c>
      <c r="D627" s="0" t="s">
        <v>75</v>
      </c>
      <c r="E627" s="0" t="s">
        <v>1439</v>
      </c>
      <c r="F627" s="0" t="n">
        <v>0</v>
      </c>
      <c r="G627" s="0" t="n">
        <v>0</v>
      </c>
      <c r="H627" s="0" t="s">
        <v>117</v>
      </c>
      <c r="K627" s="0" t="s">
        <v>152</v>
      </c>
      <c r="L627" s="0" t="s">
        <v>1440</v>
      </c>
    </row>
    <row r="628" customFormat="false" ht="15" hidden="false" customHeight="false" outlineLevel="0" collapsed="false">
      <c r="A628" s="0" t="s">
        <v>1231</v>
      </c>
      <c r="B628" s="0" t="s">
        <v>350</v>
      </c>
      <c r="C628" s="0" t="s">
        <v>351</v>
      </c>
      <c r="D628" s="0" t="s">
        <v>78</v>
      </c>
      <c r="E628" s="0" t="s">
        <v>1441</v>
      </c>
      <c r="F628" s="0" t="n">
        <v>5</v>
      </c>
      <c r="G628" s="0" t="n">
        <v>0</v>
      </c>
      <c r="H628" s="0" t="s">
        <v>122</v>
      </c>
      <c r="K628" s="0" t="s">
        <v>156</v>
      </c>
      <c r="L628" s="0" t="s">
        <v>1442</v>
      </c>
    </row>
    <row r="629" customFormat="false" ht="15" hidden="false" customHeight="false" outlineLevel="0" collapsed="false">
      <c r="A629" s="0" t="s">
        <v>1231</v>
      </c>
      <c r="B629" s="0" t="s">
        <v>350</v>
      </c>
      <c r="C629" s="0" t="s">
        <v>351</v>
      </c>
      <c r="D629" s="0" t="s">
        <v>81</v>
      </c>
      <c r="E629" s="0" t="s">
        <v>1443</v>
      </c>
      <c r="F629" s="0" t="n">
        <v>5</v>
      </c>
      <c r="G629" s="0" t="n">
        <v>0</v>
      </c>
      <c r="H629" s="0" t="s">
        <v>122</v>
      </c>
      <c r="K629" s="0" t="s">
        <v>160</v>
      </c>
      <c r="L629" s="0" t="s">
        <v>1444</v>
      </c>
    </row>
    <row r="630" customFormat="false" ht="15" hidden="false" customHeight="false" outlineLevel="0" collapsed="false">
      <c r="A630" s="0" t="s">
        <v>1231</v>
      </c>
      <c r="B630" s="0" t="s">
        <v>350</v>
      </c>
      <c r="C630" s="0" t="s">
        <v>376</v>
      </c>
      <c r="D630" s="0" t="s">
        <v>528</v>
      </c>
      <c r="E630" s="0" t="s">
        <v>1445</v>
      </c>
      <c r="F630" s="0" t="n">
        <v>0</v>
      </c>
      <c r="G630" s="0" t="n">
        <v>0</v>
      </c>
      <c r="H630" s="0" t="s">
        <v>117</v>
      </c>
      <c r="K630" s="0" t="s">
        <v>118</v>
      </c>
      <c r="L630" s="0" t="s">
        <v>1446</v>
      </c>
    </row>
    <row r="631" customFormat="false" ht="15" hidden="false" customHeight="false" outlineLevel="0" collapsed="false">
      <c r="A631" s="0" t="s">
        <v>1231</v>
      </c>
      <c r="B631" s="0" t="s">
        <v>350</v>
      </c>
      <c r="C631" s="0" t="s">
        <v>376</v>
      </c>
      <c r="D631" s="0" t="s">
        <v>531</v>
      </c>
      <c r="E631" s="0" t="s">
        <v>1447</v>
      </c>
      <c r="F631" s="0" t="n">
        <v>5</v>
      </c>
      <c r="G631" s="0" t="n">
        <v>0</v>
      </c>
      <c r="H631" s="0" t="s">
        <v>122</v>
      </c>
      <c r="K631" s="0" t="s">
        <v>123</v>
      </c>
      <c r="L631" s="0" t="s">
        <v>1448</v>
      </c>
    </row>
    <row r="632" customFormat="false" ht="15" hidden="false" customHeight="false" outlineLevel="0" collapsed="false">
      <c r="A632" s="0" t="s">
        <v>1231</v>
      </c>
      <c r="B632" s="0" t="s">
        <v>350</v>
      </c>
      <c r="C632" s="0" t="s">
        <v>376</v>
      </c>
      <c r="D632" s="0" t="s">
        <v>534</v>
      </c>
      <c r="E632" s="0" t="s">
        <v>1449</v>
      </c>
      <c r="F632" s="0" t="n">
        <v>5</v>
      </c>
      <c r="G632" s="0" t="n">
        <v>3</v>
      </c>
      <c r="H632" s="0" t="s">
        <v>122</v>
      </c>
      <c r="I632" s="0" t="s">
        <v>1354</v>
      </c>
      <c r="K632" s="0" t="s">
        <v>127</v>
      </c>
      <c r="L632" s="0" t="s">
        <v>1450</v>
      </c>
    </row>
    <row r="633" customFormat="false" ht="15" hidden="false" customHeight="false" outlineLevel="0" collapsed="false">
      <c r="A633" s="0" t="s">
        <v>1231</v>
      </c>
      <c r="B633" s="0" t="s">
        <v>350</v>
      </c>
      <c r="C633" s="0" t="s">
        <v>376</v>
      </c>
      <c r="D633" s="0" t="s">
        <v>52</v>
      </c>
      <c r="E633" s="0" t="s">
        <v>1451</v>
      </c>
      <c r="F633" s="0" t="n">
        <v>5</v>
      </c>
      <c r="G633" s="0" t="n">
        <v>0</v>
      </c>
      <c r="H633" s="0" t="s">
        <v>122</v>
      </c>
      <c r="K633" s="0" t="s">
        <v>132</v>
      </c>
      <c r="L633" s="0" t="s">
        <v>1452</v>
      </c>
    </row>
    <row r="634" customFormat="false" ht="15" hidden="false" customHeight="false" outlineLevel="0" collapsed="false">
      <c r="A634" s="0" t="s">
        <v>1231</v>
      </c>
      <c r="B634" s="0" t="s">
        <v>350</v>
      </c>
      <c r="C634" s="0" t="s">
        <v>376</v>
      </c>
      <c r="D634" s="0" t="s">
        <v>55</v>
      </c>
      <c r="E634" s="0" t="s">
        <v>1453</v>
      </c>
      <c r="F634" s="0" t="n">
        <v>5</v>
      </c>
      <c r="G634" s="0" t="n">
        <v>2</v>
      </c>
      <c r="H634" s="0" t="s">
        <v>122</v>
      </c>
      <c r="I634" s="0" t="s">
        <v>1262</v>
      </c>
      <c r="K634" s="0" t="s">
        <v>135</v>
      </c>
      <c r="L634" s="0" t="s">
        <v>1454</v>
      </c>
    </row>
    <row r="635" customFormat="false" ht="15" hidden="false" customHeight="false" outlineLevel="0" collapsed="false">
      <c r="A635" s="0" t="s">
        <v>1231</v>
      </c>
      <c r="B635" s="0" t="s">
        <v>350</v>
      </c>
      <c r="C635" s="0" t="s">
        <v>376</v>
      </c>
      <c r="D635" s="0" t="s">
        <v>58</v>
      </c>
      <c r="E635" s="0" t="s">
        <v>1455</v>
      </c>
      <c r="F635" s="0" t="n">
        <v>0</v>
      </c>
      <c r="G635" s="0" t="n">
        <v>0</v>
      </c>
      <c r="H635" s="0" t="s">
        <v>117</v>
      </c>
      <c r="K635" s="0" t="s">
        <v>138</v>
      </c>
      <c r="L635" s="0" t="s">
        <v>1456</v>
      </c>
    </row>
    <row r="636" customFormat="false" ht="15" hidden="false" customHeight="false" outlineLevel="0" collapsed="false">
      <c r="A636" s="0" t="s">
        <v>1231</v>
      </c>
      <c r="B636" s="0" t="s">
        <v>350</v>
      </c>
      <c r="C636" s="0" t="s">
        <v>376</v>
      </c>
      <c r="D636" s="0" t="s">
        <v>65</v>
      </c>
      <c r="E636" s="0" t="s">
        <v>1457</v>
      </c>
      <c r="F636" s="0" t="n">
        <v>5</v>
      </c>
      <c r="G636" s="0" t="n">
        <v>0</v>
      </c>
      <c r="H636" s="0" t="s">
        <v>122</v>
      </c>
      <c r="K636" s="0" t="s">
        <v>143</v>
      </c>
      <c r="L636" s="0" t="s">
        <v>1458</v>
      </c>
    </row>
    <row r="637" customFormat="false" ht="15" hidden="false" customHeight="false" outlineLevel="0" collapsed="false">
      <c r="A637" s="0" t="s">
        <v>1231</v>
      </c>
      <c r="B637" s="0" t="s">
        <v>350</v>
      </c>
      <c r="C637" s="0" t="s">
        <v>376</v>
      </c>
      <c r="D637" s="0" t="s">
        <v>69</v>
      </c>
      <c r="E637" s="0" t="s">
        <v>1459</v>
      </c>
      <c r="F637" s="0" t="n">
        <v>5</v>
      </c>
      <c r="G637" s="0" t="n">
        <v>0</v>
      </c>
      <c r="H637" s="0" t="s">
        <v>122</v>
      </c>
      <c r="K637" s="0" t="s">
        <v>146</v>
      </c>
      <c r="L637" s="0" t="s">
        <v>1460</v>
      </c>
    </row>
    <row r="638" customFormat="false" ht="15" hidden="false" customHeight="false" outlineLevel="0" collapsed="false">
      <c r="A638" s="0" t="s">
        <v>1231</v>
      </c>
      <c r="B638" s="0" t="s">
        <v>350</v>
      </c>
      <c r="C638" s="0" t="s">
        <v>376</v>
      </c>
      <c r="D638" s="0" t="s">
        <v>72</v>
      </c>
      <c r="E638" s="0" t="s">
        <v>1461</v>
      </c>
      <c r="F638" s="0" t="n">
        <v>0</v>
      </c>
      <c r="G638" s="0" t="n">
        <v>0</v>
      </c>
      <c r="H638" s="0" t="s">
        <v>117</v>
      </c>
      <c r="K638" s="0" t="s">
        <v>149</v>
      </c>
      <c r="L638" s="0" t="s">
        <v>1462</v>
      </c>
    </row>
    <row r="639" customFormat="false" ht="15" hidden="false" customHeight="false" outlineLevel="0" collapsed="false">
      <c r="A639" s="0" t="s">
        <v>1231</v>
      </c>
      <c r="B639" s="0" t="s">
        <v>350</v>
      </c>
      <c r="C639" s="0" t="s">
        <v>376</v>
      </c>
      <c r="D639" s="0" t="s">
        <v>75</v>
      </c>
      <c r="E639" s="0" t="s">
        <v>1463</v>
      </c>
      <c r="F639" s="0" t="n">
        <v>0</v>
      </c>
      <c r="G639" s="0" t="n">
        <v>0</v>
      </c>
      <c r="H639" s="0" t="s">
        <v>117</v>
      </c>
      <c r="K639" s="0" t="s">
        <v>152</v>
      </c>
      <c r="L639" s="0" t="s">
        <v>1464</v>
      </c>
    </row>
    <row r="640" customFormat="false" ht="15" hidden="false" customHeight="false" outlineLevel="0" collapsed="false">
      <c r="A640" s="0" t="s">
        <v>1231</v>
      </c>
      <c r="B640" s="0" t="s">
        <v>350</v>
      </c>
      <c r="C640" s="0" t="s">
        <v>376</v>
      </c>
      <c r="D640" s="0" t="s">
        <v>78</v>
      </c>
      <c r="E640" s="0" t="s">
        <v>1465</v>
      </c>
      <c r="F640" s="0" t="n">
        <v>5</v>
      </c>
      <c r="G640" s="0" t="n">
        <v>0</v>
      </c>
      <c r="H640" s="0" t="s">
        <v>122</v>
      </c>
      <c r="K640" s="0" t="s">
        <v>156</v>
      </c>
      <c r="L640" s="0" t="s">
        <v>1466</v>
      </c>
    </row>
    <row r="641" customFormat="false" ht="15" hidden="false" customHeight="false" outlineLevel="0" collapsed="false">
      <c r="A641" s="0" t="s">
        <v>1231</v>
      </c>
      <c r="B641" s="0" t="s">
        <v>350</v>
      </c>
      <c r="C641" s="0" t="s">
        <v>376</v>
      </c>
      <c r="D641" s="0" t="s">
        <v>81</v>
      </c>
      <c r="E641" s="0" t="s">
        <v>1467</v>
      </c>
      <c r="F641" s="0" t="n">
        <v>5</v>
      </c>
      <c r="G641" s="0" t="n">
        <v>0</v>
      </c>
      <c r="H641" s="0" t="s">
        <v>122</v>
      </c>
      <c r="K641" s="0" t="s">
        <v>160</v>
      </c>
      <c r="L641" s="0" t="s">
        <v>1468</v>
      </c>
    </row>
    <row r="642" customFormat="false" ht="15" hidden="false" customHeight="false" outlineLevel="0" collapsed="false">
      <c r="A642" s="0" t="s">
        <v>1231</v>
      </c>
      <c r="B642" s="0" t="s">
        <v>350</v>
      </c>
      <c r="C642" s="0" t="s">
        <v>401</v>
      </c>
      <c r="D642" s="0" t="s">
        <v>528</v>
      </c>
      <c r="E642" s="0" t="s">
        <v>1469</v>
      </c>
      <c r="F642" s="0" t="n">
        <v>0</v>
      </c>
      <c r="G642" s="0" t="n">
        <v>0</v>
      </c>
      <c r="H642" s="0" t="s">
        <v>117</v>
      </c>
      <c r="K642" s="0" t="s">
        <v>118</v>
      </c>
      <c r="L642" s="0" t="s">
        <v>1470</v>
      </c>
    </row>
    <row r="643" customFormat="false" ht="15" hidden="false" customHeight="false" outlineLevel="0" collapsed="false">
      <c r="A643" s="0" t="s">
        <v>1231</v>
      </c>
      <c r="B643" s="0" t="s">
        <v>350</v>
      </c>
      <c r="C643" s="0" t="s">
        <v>401</v>
      </c>
      <c r="D643" s="0" t="s">
        <v>531</v>
      </c>
      <c r="E643" s="0" t="s">
        <v>1471</v>
      </c>
      <c r="F643" s="0" t="n">
        <v>5</v>
      </c>
      <c r="G643" s="0" t="n">
        <v>0</v>
      </c>
      <c r="H643" s="0" t="s">
        <v>122</v>
      </c>
      <c r="K643" s="0" t="s">
        <v>123</v>
      </c>
      <c r="L643" s="0" t="s">
        <v>1472</v>
      </c>
    </row>
    <row r="644" customFormat="false" ht="15" hidden="false" customHeight="false" outlineLevel="0" collapsed="false">
      <c r="A644" s="0" t="s">
        <v>1231</v>
      </c>
      <c r="B644" s="0" t="s">
        <v>350</v>
      </c>
      <c r="C644" s="0" t="s">
        <v>401</v>
      </c>
      <c r="D644" s="0" t="s">
        <v>534</v>
      </c>
      <c r="E644" s="0" t="s">
        <v>1473</v>
      </c>
      <c r="F644" s="0" t="n">
        <v>5</v>
      </c>
      <c r="G644" s="0" t="n">
        <v>2</v>
      </c>
      <c r="H644" s="0" t="s">
        <v>122</v>
      </c>
      <c r="I644" s="0" t="s">
        <v>1235</v>
      </c>
      <c r="K644" s="0" t="s">
        <v>127</v>
      </c>
      <c r="L644" s="0" t="s">
        <v>1474</v>
      </c>
    </row>
    <row r="645" customFormat="false" ht="15" hidden="false" customHeight="false" outlineLevel="0" collapsed="false">
      <c r="A645" s="0" t="s">
        <v>1231</v>
      </c>
      <c r="B645" s="0" t="s">
        <v>350</v>
      </c>
      <c r="C645" s="0" t="s">
        <v>401</v>
      </c>
      <c r="D645" s="0" t="s">
        <v>52</v>
      </c>
      <c r="E645" s="0" t="s">
        <v>1475</v>
      </c>
      <c r="F645" s="0" t="n">
        <v>5</v>
      </c>
      <c r="G645" s="0" t="n">
        <v>4</v>
      </c>
      <c r="H645" s="0" t="s">
        <v>122</v>
      </c>
      <c r="I645" s="0" t="s">
        <v>1329</v>
      </c>
      <c r="K645" s="0" t="s">
        <v>132</v>
      </c>
      <c r="L645" s="0" t="s">
        <v>1476</v>
      </c>
    </row>
    <row r="646" customFormat="false" ht="15" hidden="false" customHeight="false" outlineLevel="0" collapsed="false">
      <c r="A646" s="0" t="s">
        <v>1231</v>
      </c>
      <c r="B646" s="0" t="s">
        <v>350</v>
      </c>
      <c r="C646" s="0" t="s">
        <v>401</v>
      </c>
      <c r="D646" s="0" t="s">
        <v>55</v>
      </c>
      <c r="E646" s="0" t="s">
        <v>1477</v>
      </c>
      <c r="F646" s="0" t="n">
        <v>5</v>
      </c>
      <c r="G646" s="0" t="n">
        <v>0</v>
      </c>
      <c r="H646" s="0" t="s">
        <v>122</v>
      </c>
      <c r="K646" s="0" t="s">
        <v>135</v>
      </c>
      <c r="L646" s="0" t="s">
        <v>1478</v>
      </c>
    </row>
    <row r="647" customFormat="false" ht="15" hidden="false" customHeight="false" outlineLevel="0" collapsed="false">
      <c r="A647" s="0" t="s">
        <v>1231</v>
      </c>
      <c r="B647" s="0" t="s">
        <v>350</v>
      </c>
      <c r="C647" s="0" t="s">
        <v>401</v>
      </c>
      <c r="D647" s="0" t="s">
        <v>58</v>
      </c>
      <c r="E647" s="0" t="s">
        <v>1479</v>
      </c>
      <c r="F647" s="0" t="n">
        <v>0</v>
      </c>
      <c r="G647" s="0" t="n">
        <v>0</v>
      </c>
      <c r="H647" s="0" t="s">
        <v>117</v>
      </c>
      <c r="K647" s="0" t="s">
        <v>138</v>
      </c>
      <c r="L647" s="0" t="s">
        <v>1480</v>
      </c>
    </row>
    <row r="648" customFormat="false" ht="15" hidden="false" customHeight="false" outlineLevel="0" collapsed="false">
      <c r="A648" s="0" t="s">
        <v>1231</v>
      </c>
      <c r="B648" s="0" t="s">
        <v>350</v>
      </c>
      <c r="C648" s="0" t="s">
        <v>401</v>
      </c>
      <c r="D648" s="0" t="s">
        <v>65</v>
      </c>
      <c r="E648" s="0" t="s">
        <v>1481</v>
      </c>
      <c r="F648" s="0" t="n">
        <v>5</v>
      </c>
      <c r="G648" s="0" t="n">
        <v>0</v>
      </c>
      <c r="H648" s="0" t="s">
        <v>122</v>
      </c>
      <c r="K648" s="0" t="s">
        <v>143</v>
      </c>
      <c r="L648" s="0" t="s">
        <v>1482</v>
      </c>
    </row>
    <row r="649" customFormat="false" ht="15" hidden="false" customHeight="false" outlineLevel="0" collapsed="false">
      <c r="A649" s="0" t="s">
        <v>1231</v>
      </c>
      <c r="B649" s="0" t="s">
        <v>350</v>
      </c>
      <c r="C649" s="0" t="s">
        <v>401</v>
      </c>
      <c r="D649" s="0" t="s">
        <v>69</v>
      </c>
      <c r="E649" s="0" t="s">
        <v>1483</v>
      </c>
      <c r="F649" s="0" t="n">
        <v>5</v>
      </c>
      <c r="G649" s="0" t="n">
        <v>0</v>
      </c>
      <c r="H649" s="0" t="s">
        <v>122</v>
      </c>
      <c r="K649" s="0" t="s">
        <v>146</v>
      </c>
      <c r="L649" s="0" t="s">
        <v>1484</v>
      </c>
    </row>
    <row r="650" customFormat="false" ht="15" hidden="false" customHeight="false" outlineLevel="0" collapsed="false">
      <c r="A650" s="0" t="s">
        <v>1231</v>
      </c>
      <c r="B650" s="0" t="s">
        <v>350</v>
      </c>
      <c r="C650" s="0" t="s">
        <v>401</v>
      </c>
      <c r="D650" s="0" t="s">
        <v>72</v>
      </c>
      <c r="E650" s="0" t="s">
        <v>1485</v>
      </c>
      <c r="F650" s="0" t="n">
        <v>0</v>
      </c>
      <c r="G650" s="0" t="n">
        <v>0</v>
      </c>
      <c r="H650" s="0" t="s">
        <v>117</v>
      </c>
      <c r="K650" s="0" t="s">
        <v>149</v>
      </c>
      <c r="L650" s="0" t="s">
        <v>1486</v>
      </c>
    </row>
    <row r="651" customFormat="false" ht="15" hidden="false" customHeight="false" outlineLevel="0" collapsed="false">
      <c r="A651" s="0" t="s">
        <v>1231</v>
      </c>
      <c r="B651" s="0" t="s">
        <v>350</v>
      </c>
      <c r="C651" s="0" t="s">
        <v>401</v>
      </c>
      <c r="D651" s="0" t="s">
        <v>75</v>
      </c>
      <c r="E651" s="0" t="s">
        <v>1487</v>
      </c>
      <c r="F651" s="0" t="n">
        <v>5</v>
      </c>
      <c r="G651" s="0" t="n">
        <v>4</v>
      </c>
      <c r="H651" s="0" t="s">
        <v>122</v>
      </c>
      <c r="I651" s="0" t="s">
        <v>1287</v>
      </c>
      <c r="K651" s="0" t="s">
        <v>152</v>
      </c>
      <c r="L651" s="0" t="s">
        <v>1488</v>
      </c>
    </row>
    <row r="652" customFormat="false" ht="15" hidden="false" customHeight="false" outlineLevel="0" collapsed="false">
      <c r="A652" s="0" t="s">
        <v>1231</v>
      </c>
      <c r="B652" s="0" t="s">
        <v>350</v>
      </c>
      <c r="C652" s="0" t="s">
        <v>401</v>
      </c>
      <c r="D652" s="0" t="s">
        <v>78</v>
      </c>
      <c r="E652" s="0" t="s">
        <v>1489</v>
      </c>
      <c r="F652" s="0" t="n">
        <v>5</v>
      </c>
      <c r="G652" s="0" t="n">
        <v>0</v>
      </c>
      <c r="H652" s="0" t="s">
        <v>122</v>
      </c>
      <c r="K652" s="0" t="s">
        <v>156</v>
      </c>
      <c r="L652" s="0" t="s">
        <v>1490</v>
      </c>
    </row>
    <row r="653" customFormat="false" ht="15" hidden="false" customHeight="false" outlineLevel="0" collapsed="false">
      <c r="A653" s="0" t="s">
        <v>1231</v>
      </c>
      <c r="B653" s="0" t="s">
        <v>350</v>
      </c>
      <c r="C653" s="0" t="s">
        <v>401</v>
      </c>
      <c r="D653" s="0" t="s">
        <v>81</v>
      </c>
      <c r="E653" s="0" t="s">
        <v>1491</v>
      </c>
      <c r="F653" s="0" t="n">
        <v>5</v>
      </c>
      <c r="G653" s="0" t="n">
        <v>3</v>
      </c>
      <c r="H653" s="0" t="s">
        <v>122</v>
      </c>
      <c r="I653" s="0" t="s">
        <v>1235</v>
      </c>
      <c r="K653" s="0" t="s">
        <v>160</v>
      </c>
      <c r="L653" s="0" t="s">
        <v>1492</v>
      </c>
    </row>
    <row r="654" customFormat="false" ht="15" hidden="false" customHeight="false" outlineLevel="0" collapsed="false">
      <c r="A654" s="0" t="s">
        <v>1231</v>
      </c>
      <c r="B654" s="0" t="s">
        <v>350</v>
      </c>
      <c r="C654" s="0" t="s">
        <v>426</v>
      </c>
      <c r="D654" s="0" t="s">
        <v>528</v>
      </c>
      <c r="E654" s="0" t="s">
        <v>1493</v>
      </c>
      <c r="F654" s="0" t="n">
        <v>0</v>
      </c>
      <c r="G654" s="0" t="n">
        <v>0</v>
      </c>
      <c r="H654" s="0" t="s">
        <v>117</v>
      </c>
      <c r="K654" s="0" t="s">
        <v>118</v>
      </c>
      <c r="L654" s="0" t="s">
        <v>1494</v>
      </c>
    </row>
    <row r="655" customFormat="false" ht="15" hidden="false" customHeight="false" outlineLevel="0" collapsed="false">
      <c r="A655" s="0" t="s">
        <v>1231</v>
      </c>
      <c r="B655" s="0" t="s">
        <v>350</v>
      </c>
      <c r="C655" s="0" t="s">
        <v>426</v>
      </c>
      <c r="D655" s="0" t="s">
        <v>531</v>
      </c>
      <c r="E655" s="0" t="s">
        <v>1495</v>
      </c>
      <c r="F655" s="0" t="n">
        <v>5</v>
      </c>
      <c r="G655" s="0" t="n">
        <v>0</v>
      </c>
      <c r="H655" s="0" t="s">
        <v>122</v>
      </c>
      <c r="K655" s="0" t="s">
        <v>123</v>
      </c>
      <c r="L655" s="0" t="s">
        <v>1496</v>
      </c>
    </row>
    <row r="656" customFormat="false" ht="15" hidden="false" customHeight="false" outlineLevel="0" collapsed="false">
      <c r="A656" s="0" t="s">
        <v>1231</v>
      </c>
      <c r="B656" s="0" t="s">
        <v>350</v>
      </c>
      <c r="C656" s="0" t="s">
        <v>426</v>
      </c>
      <c r="D656" s="0" t="s">
        <v>534</v>
      </c>
      <c r="E656" s="0" t="s">
        <v>1497</v>
      </c>
      <c r="F656" s="0" t="n">
        <v>5</v>
      </c>
      <c r="G656" s="0" t="n">
        <v>4</v>
      </c>
      <c r="H656" s="0" t="s">
        <v>122</v>
      </c>
      <c r="I656" s="0" t="s">
        <v>1292</v>
      </c>
      <c r="K656" s="0" t="s">
        <v>127</v>
      </c>
      <c r="L656" s="0" t="s">
        <v>1498</v>
      </c>
    </row>
    <row r="657" customFormat="false" ht="15" hidden="false" customHeight="false" outlineLevel="0" collapsed="false">
      <c r="A657" s="0" t="s">
        <v>1231</v>
      </c>
      <c r="B657" s="0" t="s">
        <v>350</v>
      </c>
      <c r="C657" s="0" t="s">
        <v>426</v>
      </c>
      <c r="D657" s="0" t="s">
        <v>52</v>
      </c>
      <c r="E657" s="0" t="s">
        <v>1499</v>
      </c>
      <c r="F657" s="0" t="n">
        <v>5</v>
      </c>
      <c r="G657" s="0" t="n">
        <v>0</v>
      </c>
      <c r="H657" s="0" t="s">
        <v>122</v>
      </c>
      <c r="K657" s="0" t="s">
        <v>132</v>
      </c>
      <c r="L657" s="0" t="s">
        <v>1500</v>
      </c>
    </row>
    <row r="658" customFormat="false" ht="15" hidden="false" customHeight="false" outlineLevel="0" collapsed="false">
      <c r="A658" s="0" t="s">
        <v>1231</v>
      </c>
      <c r="B658" s="0" t="s">
        <v>350</v>
      </c>
      <c r="C658" s="0" t="s">
        <v>426</v>
      </c>
      <c r="D658" s="0" t="s">
        <v>55</v>
      </c>
      <c r="E658" s="0" t="s">
        <v>1501</v>
      </c>
      <c r="F658" s="0" t="n">
        <v>5</v>
      </c>
      <c r="G658" s="0" t="n">
        <v>4</v>
      </c>
      <c r="H658" s="0" t="s">
        <v>122</v>
      </c>
      <c r="I658" s="0" t="s">
        <v>1287</v>
      </c>
      <c r="K658" s="0" t="s">
        <v>135</v>
      </c>
      <c r="L658" s="0" t="s">
        <v>1502</v>
      </c>
    </row>
    <row r="659" customFormat="false" ht="15" hidden="false" customHeight="false" outlineLevel="0" collapsed="false">
      <c r="A659" s="0" t="s">
        <v>1231</v>
      </c>
      <c r="B659" s="0" t="s">
        <v>350</v>
      </c>
      <c r="C659" s="0" t="s">
        <v>426</v>
      </c>
      <c r="D659" s="0" t="s">
        <v>58</v>
      </c>
      <c r="E659" s="0" t="s">
        <v>1503</v>
      </c>
      <c r="F659" s="0" t="n">
        <v>0</v>
      </c>
      <c r="G659" s="0" t="n">
        <v>0</v>
      </c>
      <c r="H659" s="0" t="s">
        <v>117</v>
      </c>
      <c r="K659" s="0" t="s">
        <v>138</v>
      </c>
      <c r="L659" s="0" t="s">
        <v>1504</v>
      </c>
    </row>
    <row r="660" customFormat="false" ht="15" hidden="false" customHeight="false" outlineLevel="0" collapsed="false">
      <c r="A660" s="0" t="s">
        <v>1231</v>
      </c>
      <c r="B660" s="0" t="s">
        <v>350</v>
      </c>
      <c r="C660" s="0" t="s">
        <v>426</v>
      </c>
      <c r="D660" s="0" t="s">
        <v>65</v>
      </c>
      <c r="E660" s="0" t="s">
        <v>1505</v>
      </c>
      <c r="F660" s="0" t="n">
        <v>5</v>
      </c>
      <c r="G660" s="0" t="n">
        <v>0</v>
      </c>
      <c r="H660" s="0" t="s">
        <v>122</v>
      </c>
      <c r="K660" s="0" t="s">
        <v>143</v>
      </c>
      <c r="L660" s="0" t="s">
        <v>1506</v>
      </c>
    </row>
    <row r="661" customFormat="false" ht="15" hidden="false" customHeight="false" outlineLevel="0" collapsed="false">
      <c r="A661" s="0" t="s">
        <v>1231</v>
      </c>
      <c r="B661" s="0" t="s">
        <v>350</v>
      </c>
      <c r="C661" s="0" t="s">
        <v>426</v>
      </c>
      <c r="D661" s="0" t="s">
        <v>69</v>
      </c>
      <c r="E661" s="0" t="s">
        <v>1507</v>
      </c>
      <c r="F661" s="0" t="n">
        <v>5</v>
      </c>
      <c r="G661" s="0" t="n">
        <v>1</v>
      </c>
      <c r="H661" s="0" t="s">
        <v>122</v>
      </c>
      <c r="I661" s="0" t="s">
        <v>1292</v>
      </c>
      <c r="K661" s="0" t="s">
        <v>146</v>
      </c>
      <c r="L661" s="0" t="s">
        <v>1508</v>
      </c>
    </row>
    <row r="662" customFormat="false" ht="15" hidden="false" customHeight="false" outlineLevel="0" collapsed="false">
      <c r="A662" s="0" t="s">
        <v>1231</v>
      </c>
      <c r="B662" s="0" t="s">
        <v>350</v>
      </c>
      <c r="C662" s="0" t="s">
        <v>426</v>
      </c>
      <c r="D662" s="0" t="s">
        <v>72</v>
      </c>
      <c r="E662" s="0" t="s">
        <v>1509</v>
      </c>
      <c r="F662" s="0" t="n">
        <v>5</v>
      </c>
      <c r="G662" s="0" t="n">
        <v>0</v>
      </c>
      <c r="H662" s="0" t="s">
        <v>122</v>
      </c>
      <c r="K662" s="0" t="s">
        <v>149</v>
      </c>
      <c r="L662" s="0" t="s">
        <v>1510</v>
      </c>
    </row>
    <row r="663" customFormat="false" ht="15" hidden="false" customHeight="false" outlineLevel="0" collapsed="false">
      <c r="A663" s="0" t="s">
        <v>1231</v>
      </c>
      <c r="B663" s="0" t="s">
        <v>350</v>
      </c>
      <c r="C663" s="0" t="s">
        <v>426</v>
      </c>
      <c r="D663" s="0" t="s">
        <v>75</v>
      </c>
      <c r="E663" s="0" t="s">
        <v>1511</v>
      </c>
      <c r="F663" s="0" t="n">
        <v>5</v>
      </c>
      <c r="G663" s="0" t="n">
        <v>0</v>
      </c>
      <c r="H663" s="0" t="s">
        <v>122</v>
      </c>
      <c r="K663" s="0" t="s">
        <v>152</v>
      </c>
      <c r="L663" s="0" t="s">
        <v>1512</v>
      </c>
    </row>
    <row r="664" customFormat="false" ht="15" hidden="false" customHeight="false" outlineLevel="0" collapsed="false">
      <c r="A664" s="0" t="s">
        <v>1231</v>
      </c>
      <c r="B664" s="0" t="s">
        <v>350</v>
      </c>
      <c r="C664" s="0" t="s">
        <v>426</v>
      </c>
      <c r="D664" s="0" t="s">
        <v>78</v>
      </c>
      <c r="E664" s="0" t="s">
        <v>1513</v>
      </c>
      <c r="F664" s="0" t="n">
        <v>5</v>
      </c>
      <c r="G664" s="0" t="n">
        <v>0</v>
      </c>
      <c r="H664" s="0" t="s">
        <v>122</v>
      </c>
      <c r="K664" s="0" t="s">
        <v>156</v>
      </c>
      <c r="L664" s="0" t="s">
        <v>1514</v>
      </c>
    </row>
    <row r="665" customFormat="false" ht="15" hidden="false" customHeight="false" outlineLevel="0" collapsed="false">
      <c r="A665" s="0" t="s">
        <v>1231</v>
      </c>
      <c r="B665" s="0" t="s">
        <v>350</v>
      </c>
      <c r="C665" s="0" t="s">
        <v>426</v>
      </c>
      <c r="D665" s="0" t="s">
        <v>81</v>
      </c>
      <c r="E665" s="0" t="s">
        <v>1515</v>
      </c>
      <c r="F665" s="0" t="n">
        <v>5</v>
      </c>
      <c r="G665" s="0" t="n">
        <v>2</v>
      </c>
      <c r="H665" s="0" t="s">
        <v>122</v>
      </c>
      <c r="I665" s="0" t="s">
        <v>1292</v>
      </c>
      <c r="K665" s="0" t="s">
        <v>160</v>
      </c>
      <c r="L665" s="0" t="s">
        <v>1516</v>
      </c>
    </row>
    <row r="666" customFormat="false" ht="15" hidden="false" customHeight="false" outlineLevel="0" collapsed="false">
      <c r="A666" s="0" t="s">
        <v>1231</v>
      </c>
      <c r="B666" s="0" t="s">
        <v>350</v>
      </c>
      <c r="C666" s="0" t="s">
        <v>451</v>
      </c>
      <c r="D666" s="0" t="s">
        <v>528</v>
      </c>
      <c r="E666" s="0" t="s">
        <v>1517</v>
      </c>
      <c r="F666" s="0" t="n">
        <v>0</v>
      </c>
      <c r="G666" s="0" t="n">
        <v>0</v>
      </c>
      <c r="H666" s="0" t="s">
        <v>117</v>
      </c>
      <c r="K666" s="0" t="s">
        <v>118</v>
      </c>
      <c r="L666" s="0" t="s">
        <v>1518</v>
      </c>
    </row>
    <row r="667" customFormat="false" ht="15" hidden="false" customHeight="false" outlineLevel="0" collapsed="false">
      <c r="A667" s="0" t="s">
        <v>1231</v>
      </c>
      <c r="B667" s="0" t="s">
        <v>350</v>
      </c>
      <c r="C667" s="0" t="s">
        <v>451</v>
      </c>
      <c r="D667" s="0" t="s">
        <v>531</v>
      </c>
      <c r="E667" s="0" t="s">
        <v>1519</v>
      </c>
      <c r="F667" s="0" t="n">
        <v>5</v>
      </c>
      <c r="G667" s="0" t="n">
        <v>0</v>
      </c>
      <c r="H667" s="0" t="s">
        <v>122</v>
      </c>
      <c r="K667" s="0" t="s">
        <v>123</v>
      </c>
      <c r="L667" s="0" t="s">
        <v>1520</v>
      </c>
    </row>
    <row r="668" customFormat="false" ht="15" hidden="false" customHeight="false" outlineLevel="0" collapsed="false">
      <c r="A668" s="0" t="s">
        <v>1231</v>
      </c>
      <c r="B668" s="0" t="s">
        <v>350</v>
      </c>
      <c r="C668" s="0" t="s">
        <v>451</v>
      </c>
      <c r="D668" s="0" t="s">
        <v>534</v>
      </c>
      <c r="E668" s="0" t="s">
        <v>1521</v>
      </c>
      <c r="F668" s="0" t="n">
        <v>5</v>
      </c>
      <c r="G668" s="0" t="n">
        <v>1</v>
      </c>
      <c r="H668" s="0" t="s">
        <v>122</v>
      </c>
      <c r="I668" s="0" t="s">
        <v>1287</v>
      </c>
      <c r="K668" s="0" t="s">
        <v>127</v>
      </c>
      <c r="L668" s="0" t="s">
        <v>1522</v>
      </c>
    </row>
    <row r="669" customFormat="false" ht="15" hidden="false" customHeight="false" outlineLevel="0" collapsed="false">
      <c r="A669" s="0" t="s">
        <v>1231</v>
      </c>
      <c r="B669" s="0" t="s">
        <v>350</v>
      </c>
      <c r="C669" s="0" t="s">
        <v>451</v>
      </c>
      <c r="D669" s="0" t="s">
        <v>52</v>
      </c>
      <c r="E669" s="0" t="s">
        <v>1523</v>
      </c>
      <c r="F669" s="0" t="n">
        <v>5</v>
      </c>
      <c r="G669" s="0" t="n">
        <v>3</v>
      </c>
      <c r="H669" s="0" t="s">
        <v>122</v>
      </c>
      <c r="I669" s="0" t="s">
        <v>1287</v>
      </c>
      <c r="K669" s="0" t="s">
        <v>132</v>
      </c>
      <c r="L669" s="0" t="s">
        <v>1524</v>
      </c>
    </row>
    <row r="670" customFormat="false" ht="15" hidden="false" customHeight="false" outlineLevel="0" collapsed="false">
      <c r="A670" s="0" t="s">
        <v>1231</v>
      </c>
      <c r="B670" s="0" t="s">
        <v>350</v>
      </c>
      <c r="C670" s="0" t="s">
        <v>451</v>
      </c>
      <c r="D670" s="0" t="s">
        <v>55</v>
      </c>
      <c r="E670" s="0" t="s">
        <v>1525</v>
      </c>
      <c r="F670" s="0" t="n">
        <v>5</v>
      </c>
      <c r="G670" s="0" t="n">
        <v>1</v>
      </c>
      <c r="H670" s="0" t="s">
        <v>122</v>
      </c>
      <c r="I670" s="0" t="s">
        <v>1329</v>
      </c>
      <c r="K670" s="0" t="s">
        <v>135</v>
      </c>
      <c r="L670" s="0" t="s">
        <v>1526</v>
      </c>
    </row>
    <row r="671" customFormat="false" ht="15" hidden="false" customHeight="false" outlineLevel="0" collapsed="false">
      <c r="A671" s="0" t="s">
        <v>1231</v>
      </c>
      <c r="B671" s="0" t="s">
        <v>350</v>
      </c>
      <c r="C671" s="0" t="s">
        <v>451</v>
      </c>
      <c r="D671" s="0" t="s">
        <v>58</v>
      </c>
      <c r="E671" s="0" t="s">
        <v>1527</v>
      </c>
      <c r="F671" s="0" t="n">
        <v>0</v>
      </c>
      <c r="G671" s="0" t="n">
        <v>0</v>
      </c>
      <c r="H671" s="0" t="s">
        <v>117</v>
      </c>
      <c r="K671" s="0" t="s">
        <v>138</v>
      </c>
      <c r="L671" s="0" t="s">
        <v>1528</v>
      </c>
    </row>
    <row r="672" customFormat="false" ht="15" hidden="false" customHeight="false" outlineLevel="0" collapsed="false">
      <c r="A672" s="0" t="s">
        <v>1231</v>
      </c>
      <c r="B672" s="0" t="s">
        <v>350</v>
      </c>
      <c r="C672" s="0" t="s">
        <v>451</v>
      </c>
      <c r="D672" s="0" t="s">
        <v>65</v>
      </c>
      <c r="E672" s="0" t="s">
        <v>1529</v>
      </c>
      <c r="F672" s="0" t="n">
        <v>5</v>
      </c>
      <c r="G672" s="0" t="n">
        <v>2</v>
      </c>
      <c r="H672" s="0" t="s">
        <v>122</v>
      </c>
      <c r="I672" s="0" t="s">
        <v>1354</v>
      </c>
      <c r="K672" s="0" t="s">
        <v>143</v>
      </c>
      <c r="L672" s="0" t="s">
        <v>1530</v>
      </c>
    </row>
    <row r="673" customFormat="false" ht="15" hidden="false" customHeight="false" outlineLevel="0" collapsed="false">
      <c r="A673" s="0" t="s">
        <v>1231</v>
      </c>
      <c r="B673" s="0" t="s">
        <v>350</v>
      </c>
      <c r="C673" s="0" t="s">
        <v>451</v>
      </c>
      <c r="D673" s="0" t="s">
        <v>69</v>
      </c>
      <c r="E673" s="0" t="s">
        <v>1531</v>
      </c>
      <c r="F673" s="0" t="n">
        <v>5</v>
      </c>
      <c r="G673" s="0" t="n">
        <v>0</v>
      </c>
      <c r="H673" s="0" t="s">
        <v>122</v>
      </c>
      <c r="K673" s="0" t="s">
        <v>146</v>
      </c>
      <c r="L673" s="0" t="s">
        <v>1532</v>
      </c>
    </row>
    <row r="674" customFormat="false" ht="15" hidden="false" customHeight="false" outlineLevel="0" collapsed="false">
      <c r="A674" s="0" t="s">
        <v>1231</v>
      </c>
      <c r="B674" s="0" t="s">
        <v>350</v>
      </c>
      <c r="C674" s="0" t="s">
        <v>451</v>
      </c>
      <c r="D674" s="0" t="s">
        <v>72</v>
      </c>
      <c r="E674" s="0" t="s">
        <v>1533</v>
      </c>
      <c r="F674" s="0" t="n">
        <v>0</v>
      </c>
      <c r="G674" s="0" t="n">
        <v>0</v>
      </c>
      <c r="H674" s="0" t="s">
        <v>117</v>
      </c>
      <c r="K674" s="0" t="s">
        <v>149</v>
      </c>
      <c r="L674" s="0" t="s">
        <v>1534</v>
      </c>
    </row>
    <row r="675" customFormat="false" ht="15" hidden="false" customHeight="false" outlineLevel="0" collapsed="false">
      <c r="A675" s="0" t="s">
        <v>1231</v>
      </c>
      <c r="B675" s="0" t="s">
        <v>350</v>
      </c>
      <c r="C675" s="0" t="s">
        <v>451</v>
      </c>
      <c r="D675" s="0" t="s">
        <v>75</v>
      </c>
      <c r="E675" s="0" t="s">
        <v>1535</v>
      </c>
      <c r="F675" s="0" t="n">
        <v>0</v>
      </c>
      <c r="G675" s="0" t="n">
        <v>0</v>
      </c>
      <c r="H675" s="0" t="s">
        <v>117</v>
      </c>
      <c r="K675" s="0" t="s">
        <v>152</v>
      </c>
      <c r="L675" s="0" t="s">
        <v>1536</v>
      </c>
    </row>
    <row r="676" customFormat="false" ht="15" hidden="false" customHeight="false" outlineLevel="0" collapsed="false">
      <c r="A676" s="0" t="s">
        <v>1231</v>
      </c>
      <c r="B676" s="0" t="s">
        <v>350</v>
      </c>
      <c r="C676" s="0" t="s">
        <v>451</v>
      </c>
      <c r="D676" s="0" t="s">
        <v>78</v>
      </c>
      <c r="E676" s="0" t="s">
        <v>1537</v>
      </c>
      <c r="F676" s="0" t="n">
        <v>5</v>
      </c>
      <c r="G676" s="0" t="n">
        <v>2</v>
      </c>
      <c r="H676" s="0" t="s">
        <v>122</v>
      </c>
      <c r="I676" s="0" t="s">
        <v>1292</v>
      </c>
      <c r="K676" s="0" t="s">
        <v>156</v>
      </c>
      <c r="L676" s="0" t="s">
        <v>1538</v>
      </c>
    </row>
    <row r="677" customFormat="false" ht="15" hidden="false" customHeight="false" outlineLevel="0" collapsed="false">
      <c r="A677" s="0" t="s">
        <v>1231</v>
      </c>
      <c r="B677" s="0" t="s">
        <v>350</v>
      </c>
      <c r="C677" s="0" t="s">
        <v>451</v>
      </c>
      <c r="D677" s="0" t="s">
        <v>81</v>
      </c>
      <c r="E677" s="0" t="s">
        <v>1539</v>
      </c>
      <c r="F677" s="0" t="n">
        <v>5</v>
      </c>
      <c r="G677" s="0" t="n">
        <v>4</v>
      </c>
      <c r="H677" s="0" t="s">
        <v>122</v>
      </c>
      <c r="I677" s="0" t="s">
        <v>1292</v>
      </c>
      <c r="K677" s="0" t="s">
        <v>160</v>
      </c>
      <c r="L677" s="0" t="s">
        <v>1540</v>
      </c>
    </row>
    <row r="678" customFormat="false" ht="15" hidden="false" customHeight="false" outlineLevel="0" collapsed="false">
      <c r="A678" s="0" t="s">
        <v>1231</v>
      </c>
      <c r="B678" s="0" t="s">
        <v>350</v>
      </c>
      <c r="C678" s="0" t="s">
        <v>476</v>
      </c>
      <c r="D678" s="0" t="s">
        <v>528</v>
      </c>
      <c r="E678" s="0" t="s">
        <v>1541</v>
      </c>
      <c r="F678" s="0" t="n">
        <v>0</v>
      </c>
      <c r="G678" s="0" t="n">
        <v>0</v>
      </c>
      <c r="H678" s="0" t="s">
        <v>117</v>
      </c>
      <c r="K678" s="0" t="s">
        <v>118</v>
      </c>
      <c r="L678" s="0" t="s">
        <v>1542</v>
      </c>
    </row>
    <row r="679" customFormat="false" ht="15" hidden="false" customHeight="false" outlineLevel="0" collapsed="false">
      <c r="A679" s="0" t="s">
        <v>1231</v>
      </c>
      <c r="B679" s="0" t="s">
        <v>350</v>
      </c>
      <c r="C679" s="0" t="s">
        <v>476</v>
      </c>
      <c r="D679" s="0" t="s">
        <v>531</v>
      </c>
      <c r="E679" s="0" t="s">
        <v>1543</v>
      </c>
      <c r="F679" s="0" t="n">
        <v>5</v>
      </c>
      <c r="G679" s="0" t="n">
        <v>4</v>
      </c>
      <c r="H679" s="0" t="s">
        <v>122</v>
      </c>
      <c r="I679" s="0" t="s">
        <v>1329</v>
      </c>
      <c r="K679" s="0" t="s">
        <v>123</v>
      </c>
      <c r="L679" s="0" t="s">
        <v>1544</v>
      </c>
    </row>
    <row r="680" customFormat="false" ht="15" hidden="false" customHeight="false" outlineLevel="0" collapsed="false">
      <c r="A680" s="0" t="s">
        <v>1231</v>
      </c>
      <c r="B680" s="0" t="s">
        <v>350</v>
      </c>
      <c r="C680" s="0" t="s">
        <v>476</v>
      </c>
      <c r="D680" s="0" t="s">
        <v>534</v>
      </c>
      <c r="E680" s="0" t="s">
        <v>1545</v>
      </c>
      <c r="F680" s="0" t="n">
        <v>5</v>
      </c>
      <c r="G680" s="0" t="n">
        <v>3</v>
      </c>
      <c r="H680" s="0" t="s">
        <v>122</v>
      </c>
      <c r="I680" s="0" t="s">
        <v>1287</v>
      </c>
      <c r="K680" s="0" t="s">
        <v>127</v>
      </c>
      <c r="L680" s="0" t="s">
        <v>1546</v>
      </c>
    </row>
    <row r="681" customFormat="false" ht="15" hidden="false" customHeight="false" outlineLevel="0" collapsed="false">
      <c r="A681" s="0" t="s">
        <v>1231</v>
      </c>
      <c r="B681" s="0" t="s">
        <v>350</v>
      </c>
      <c r="C681" s="0" t="s">
        <v>476</v>
      </c>
      <c r="D681" s="0" t="s">
        <v>52</v>
      </c>
      <c r="E681" s="0" t="s">
        <v>1547</v>
      </c>
      <c r="F681" s="0" t="n">
        <v>5</v>
      </c>
      <c r="G681" s="0" t="n">
        <v>3</v>
      </c>
      <c r="H681" s="0" t="s">
        <v>122</v>
      </c>
      <c r="I681" s="0" t="s">
        <v>1262</v>
      </c>
      <c r="K681" s="0" t="s">
        <v>132</v>
      </c>
      <c r="L681" s="0" t="s">
        <v>1548</v>
      </c>
    </row>
    <row r="682" customFormat="false" ht="15" hidden="false" customHeight="false" outlineLevel="0" collapsed="false">
      <c r="A682" s="0" t="s">
        <v>1231</v>
      </c>
      <c r="B682" s="0" t="s">
        <v>350</v>
      </c>
      <c r="C682" s="0" t="s">
        <v>476</v>
      </c>
      <c r="D682" s="0" t="s">
        <v>55</v>
      </c>
      <c r="E682" s="0" t="s">
        <v>1549</v>
      </c>
      <c r="F682" s="0" t="n">
        <v>5</v>
      </c>
      <c r="G682" s="0" t="n">
        <v>5</v>
      </c>
      <c r="H682" s="0" t="s">
        <v>117</v>
      </c>
      <c r="I682" s="0" t="s">
        <v>1287</v>
      </c>
      <c r="K682" s="0" t="s">
        <v>135</v>
      </c>
      <c r="L682" s="0" t="s">
        <v>1550</v>
      </c>
    </row>
    <row r="683" customFormat="false" ht="15" hidden="false" customHeight="false" outlineLevel="0" collapsed="false">
      <c r="A683" s="0" t="s">
        <v>1231</v>
      </c>
      <c r="B683" s="0" t="s">
        <v>350</v>
      </c>
      <c r="C683" s="0" t="s">
        <v>476</v>
      </c>
      <c r="D683" s="0" t="s">
        <v>58</v>
      </c>
      <c r="E683" s="0" t="s">
        <v>1551</v>
      </c>
      <c r="F683" s="0" t="n">
        <v>5</v>
      </c>
      <c r="G683" s="0" t="n">
        <v>2</v>
      </c>
      <c r="H683" s="0" t="s">
        <v>122</v>
      </c>
      <c r="I683" s="0" t="s">
        <v>1235</v>
      </c>
      <c r="K683" s="0" t="s">
        <v>138</v>
      </c>
      <c r="L683" s="0" t="s">
        <v>1552</v>
      </c>
    </row>
    <row r="684" customFormat="false" ht="15" hidden="false" customHeight="false" outlineLevel="0" collapsed="false">
      <c r="A684" s="0" t="s">
        <v>1231</v>
      </c>
      <c r="B684" s="0" t="s">
        <v>350</v>
      </c>
      <c r="C684" s="0" t="s">
        <v>476</v>
      </c>
      <c r="D684" s="0" t="s">
        <v>65</v>
      </c>
      <c r="E684" s="0" t="s">
        <v>1553</v>
      </c>
      <c r="F684" s="0" t="n">
        <v>5</v>
      </c>
      <c r="G684" s="0" t="n">
        <v>0</v>
      </c>
      <c r="H684" s="0" t="s">
        <v>122</v>
      </c>
      <c r="K684" s="0" t="s">
        <v>143</v>
      </c>
      <c r="L684" s="0" t="s">
        <v>1554</v>
      </c>
    </row>
    <row r="685" customFormat="false" ht="15" hidden="false" customHeight="false" outlineLevel="0" collapsed="false">
      <c r="A685" s="0" t="s">
        <v>1231</v>
      </c>
      <c r="B685" s="0" t="s">
        <v>350</v>
      </c>
      <c r="C685" s="0" t="s">
        <v>476</v>
      </c>
      <c r="D685" s="0" t="s">
        <v>69</v>
      </c>
      <c r="E685" s="0" t="s">
        <v>1555</v>
      </c>
      <c r="F685" s="0" t="n">
        <v>5</v>
      </c>
      <c r="G685" s="0" t="n">
        <v>0</v>
      </c>
      <c r="H685" s="0" t="s">
        <v>122</v>
      </c>
      <c r="I685" s="0" t="s">
        <v>1262</v>
      </c>
      <c r="K685" s="0" t="s">
        <v>146</v>
      </c>
      <c r="L685" s="0" t="s">
        <v>1556</v>
      </c>
    </row>
    <row r="686" customFormat="false" ht="15" hidden="false" customHeight="false" outlineLevel="0" collapsed="false">
      <c r="A686" s="0" t="s">
        <v>1231</v>
      </c>
      <c r="B686" s="0" t="s">
        <v>350</v>
      </c>
      <c r="C686" s="0" t="s">
        <v>476</v>
      </c>
      <c r="D686" s="0" t="s">
        <v>72</v>
      </c>
      <c r="E686" s="0" t="s">
        <v>1557</v>
      </c>
      <c r="F686" s="0" t="n">
        <v>5</v>
      </c>
      <c r="G686" s="0" t="n">
        <v>3</v>
      </c>
      <c r="H686" s="0" t="s">
        <v>122</v>
      </c>
      <c r="I686" s="0" t="s">
        <v>1354</v>
      </c>
      <c r="K686" s="0" t="s">
        <v>149</v>
      </c>
      <c r="L686" s="0" t="s">
        <v>1558</v>
      </c>
    </row>
    <row r="687" customFormat="false" ht="15" hidden="false" customHeight="false" outlineLevel="0" collapsed="false">
      <c r="A687" s="0" t="s">
        <v>1231</v>
      </c>
      <c r="B687" s="0" t="s">
        <v>350</v>
      </c>
      <c r="C687" s="0" t="s">
        <v>476</v>
      </c>
      <c r="D687" s="0" t="s">
        <v>75</v>
      </c>
      <c r="E687" s="0" t="s">
        <v>1559</v>
      </c>
      <c r="F687" s="0" t="n">
        <v>5</v>
      </c>
      <c r="G687" s="0" t="n">
        <v>2</v>
      </c>
      <c r="H687" s="0" t="s">
        <v>122</v>
      </c>
      <c r="I687" s="0" t="s">
        <v>1292</v>
      </c>
      <c r="K687" s="0" t="s">
        <v>152</v>
      </c>
      <c r="L687" s="0" t="s">
        <v>1560</v>
      </c>
    </row>
    <row r="688" customFormat="false" ht="15" hidden="false" customHeight="false" outlineLevel="0" collapsed="false">
      <c r="A688" s="0" t="s">
        <v>1231</v>
      </c>
      <c r="B688" s="0" t="s">
        <v>350</v>
      </c>
      <c r="C688" s="0" t="s">
        <v>476</v>
      </c>
      <c r="D688" s="0" t="s">
        <v>78</v>
      </c>
      <c r="E688" s="0" t="s">
        <v>1561</v>
      </c>
      <c r="F688" s="0" t="n">
        <v>5</v>
      </c>
      <c r="G688" s="0" t="n">
        <v>3</v>
      </c>
      <c r="H688" s="0" t="s">
        <v>122</v>
      </c>
      <c r="I688" s="0" t="s">
        <v>1329</v>
      </c>
      <c r="K688" s="0" t="s">
        <v>156</v>
      </c>
      <c r="L688" s="0" t="s">
        <v>1562</v>
      </c>
    </row>
    <row r="689" customFormat="false" ht="15" hidden="false" customHeight="false" outlineLevel="0" collapsed="false">
      <c r="A689" s="0" t="s">
        <v>1231</v>
      </c>
      <c r="B689" s="0" t="s">
        <v>350</v>
      </c>
      <c r="C689" s="0" t="s">
        <v>476</v>
      </c>
      <c r="D689" s="0" t="s">
        <v>81</v>
      </c>
      <c r="E689" s="0" t="s">
        <v>1563</v>
      </c>
      <c r="F689" s="0" t="n">
        <v>5</v>
      </c>
      <c r="G689" s="0" t="n">
        <v>2</v>
      </c>
      <c r="H689" s="0" t="s">
        <v>122</v>
      </c>
      <c r="I689" s="0" t="s">
        <v>1287</v>
      </c>
      <c r="K689" s="0" t="s">
        <v>160</v>
      </c>
      <c r="L689" s="0" t="s">
        <v>1564</v>
      </c>
    </row>
    <row r="690" customFormat="false" ht="15" hidden="false" customHeight="false" outlineLevel="0" collapsed="false">
      <c r="A690" s="0" t="s">
        <v>1231</v>
      </c>
      <c r="B690" s="0" t="s">
        <v>350</v>
      </c>
      <c r="C690" s="0" t="s">
        <v>502</v>
      </c>
      <c r="D690" s="0" t="s">
        <v>528</v>
      </c>
      <c r="E690" s="0" t="s">
        <v>1565</v>
      </c>
      <c r="F690" s="0" t="n">
        <v>0</v>
      </c>
      <c r="G690" s="0" t="n">
        <v>0</v>
      </c>
      <c r="H690" s="0" t="s">
        <v>117</v>
      </c>
      <c r="K690" s="0" t="s">
        <v>118</v>
      </c>
      <c r="L690" s="0" t="s">
        <v>1566</v>
      </c>
    </row>
    <row r="691" customFormat="false" ht="15" hidden="false" customHeight="false" outlineLevel="0" collapsed="false">
      <c r="A691" s="0" t="s">
        <v>1231</v>
      </c>
      <c r="B691" s="0" t="s">
        <v>350</v>
      </c>
      <c r="C691" s="0" t="s">
        <v>502</v>
      </c>
      <c r="D691" s="0" t="s">
        <v>531</v>
      </c>
      <c r="E691" s="0" t="s">
        <v>1567</v>
      </c>
      <c r="F691" s="0" t="n">
        <v>5</v>
      </c>
      <c r="G691" s="0" t="n">
        <v>5</v>
      </c>
      <c r="H691" s="0" t="s">
        <v>117</v>
      </c>
      <c r="I691" s="0" t="s">
        <v>1329</v>
      </c>
      <c r="K691" s="0" t="s">
        <v>123</v>
      </c>
      <c r="L691" s="0" t="s">
        <v>1568</v>
      </c>
    </row>
    <row r="692" customFormat="false" ht="15" hidden="false" customHeight="false" outlineLevel="0" collapsed="false">
      <c r="A692" s="0" t="s">
        <v>1231</v>
      </c>
      <c r="B692" s="0" t="s">
        <v>350</v>
      </c>
      <c r="C692" s="0" t="s">
        <v>502</v>
      </c>
      <c r="D692" s="0" t="s">
        <v>534</v>
      </c>
      <c r="E692" s="0" t="s">
        <v>1569</v>
      </c>
      <c r="F692" s="0" t="n">
        <v>5</v>
      </c>
      <c r="G692" s="0" t="n">
        <v>3</v>
      </c>
      <c r="H692" s="0" t="s">
        <v>122</v>
      </c>
      <c r="I692" s="0" t="s">
        <v>1329</v>
      </c>
      <c r="K692" s="0" t="s">
        <v>127</v>
      </c>
      <c r="L692" s="0" t="s">
        <v>1570</v>
      </c>
    </row>
    <row r="693" customFormat="false" ht="15" hidden="false" customHeight="false" outlineLevel="0" collapsed="false">
      <c r="A693" s="0" t="s">
        <v>1231</v>
      </c>
      <c r="B693" s="0" t="s">
        <v>350</v>
      </c>
      <c r="C693" s="0" t="s">
        <v>502</v>
      </c>
      <c r="D693" s="0" t="s">
        <v>52</v>
      </c>
      <c r="E693" s="0" t="s">
        <v>1571</v>
      </c>
      <c r="F693" s="0" t="n">
        <v>5</v>
      </c>
      <c r="G693" s="0" t="n">
        <v>2</v>
      </c>
      <c r="H693" s="0" t="s">
        <v>122</v>
      </c>
      <c r="I693" s="0" t="s">
        <v>1262</v>
      </c>
      <c r="K693" s="0" t="s">
        <v>132</v>
      </c>
      <c r="L693" s="0" t="s">
        <v>1572</v>
      </c>
    </row>
    <row r="694" customFormat="false" ht="15" hidden="false" customHeight="false" outlineLevel="0" collapsed="false">
      <c r="A694" s="0" t="s">
        <v>1231</v>
      </c>
      <c r="B694" s="0" t="s">
        <v>350</v>
      </c>
      <c r="C694" s="0" t="s">
        <v>502</v>
      </c>
      <c r="D694" s="0" t="s">
        <v>55</v>
      </c>
      <c r="E694" s="0" t="s">
        <v>1573</v>
      </c>
      <c r="F694" s="0" t="n">
        <v>5</v>
      </c>
      <c r="G694" s="0" t="n">
        <v>3</v>
      </c>
      <c r="H694" s="0" t="s">
        <v>122</v>
      </c>
      <c r="I694" s="0" t="s">
        <v>1262</v>
      </c>
      <c r="K694" s="0" t="s">
        <v>135</v>
      </c>
      <c r="L694" s="0" t="s">
        <v>1574</v>
      </c>
    </row>
    <row r="695" customFormat="false" ht="15" hidden="false" customHeight="false" outlineLevel="0" collapsed="false">
      <c r="A695" s="0" t="s">
        <v>1231</v>
      </c>
      <c r="B695" s="0" t="s">
        <v>350</v>
      </c>
      <c r="C695" s="0" t="s">
        <v>502</v>
      </c>
      <c r="D695" s="0" t="s">
        <v>58</v>
      </c>
      <c r="E695" s="0" t="s">
        <v>1575</v>
      </c>
      <c r="F695" s="0" t="n">
        <v>5</v>
      </c>
      <c r="G695" s="0" t="n">
        <v>0</v>
      </c>
      <c r="H695" s="0" t="s">
        <v>122</v>
      </c>
      <c r="K695" s="0" t="s">
        <v>138</v>
      </c>
      <c r="L695" s="0" t="s">
        <v>1576</v>
      </c>
    </row>
    <row r="696" customFormat="false" ht="15" hidden="false" customHeight="false" outlineLevel="0" collapsed="false">
      <c r="A696" s="0" t="s">
        <v>1231</v>
      </c>
      <c r="B696" s="0" t="s">
        <v>350</v>
      </c>
      <c r="C696" s="0" t="s">
        <v>502</v>
      </c>
      <c r="D696" s="0" t="s">
        <v>65</v>
      </c>
      <c r="E696" s="0" t="s">
        <v>1577</v>
      </c>
      <c r="F696" s="0" t="n">
        <v>5</v>
      </c>
      <c r="G696" s="0" t="n">
        <v>0</v>
      </c>
      <c r="H696" s="0" t="s">
        <v>122</v>
      </c>
      <c r="I696" s="0" t="s">
        <v>1578</v>
      </c>
      <c r="K696" s="0" t="s">
        <v>143</v>
      </c>
      <c r="L696" s="0" t="s">
        <v>1579</v>
      </c>
    </row>
    <row r="697" customFormat="false" ht="15" hidden="false" customHeight="false" outlineLevel="0" collapsed="false">
      <c r="A697" s="0" t="s">
        <v>1231</v>
      </c>
      <c r="B697" s="0" t="s">
        <v>350</v>
      </c>
      <c r="C697" s="0" t="s">
        <v>502</v>
      </c>
      <c r="D697" s="0" t="s">
        <v>69</v>
      </c>
      <c r="E697" s="0" t="s">
        <v>1580</v>
      </c>
      <c r="F697" s="0" t="n">
        <v>5</v>
      </c>
      <c r="G697" s="0" t="n">
        <v>0</v>
      </c>
      <c r="H697" s="0" t="s">
        <v>122</v>
      </c>
      <c r="K697" s="0" t="s">
        <v>146</v>
      </c>
      <c r="L697" s="0" t="s">
        <v>1581</v>
      </c>
    </row>
    <row r="698" customFormat="false" ht="15" hidden="false" customHeight="false" outlineLevel="0" collapsed="false">
      <c r="A698" s="0" t="s">
        <v>1231</v>
      </c>
      <c r="B698" s="0" t="s">
        <v>350</v>
      </c>
      <c r="C698" s="0" t="s">
        <v>502</v>
      </c>
      <c r="D698" s="0" t="s">
        <v>72</v>
      </c>
      <c r="E698" s="0" t="s">
        <v>1582</v>
      </c>
      <c r="F698" s="0" t="n">
        <v>5</v>
      </c>
      <c r="G698" s="0" t="n">
        <v>0</v>
      </c>
      <c r="H698" s="0" t="s">
        <v>122</v>
      </c>
      <c r="K698" s="0" t="s">
        <v>149</v>
      </c>
      <c r="L698" s="0" t="s">
        <v>1583</v>
      </c>
    </row>
    <row r="699" customFormat="false" ht="15" hidden="false" customHeight="false" outlineLevel="0" collapsed="false">
      <c r="A699" s="0" t="s">
        <v>1231</v>
      </c>
      <c r="B699" s="0" t="s">
        <v>350</v>
      </c>
      <c r="C699" s="0" t="s">
        <v>502</v>
      </c>
      <c r="D699" s="0" t="s">
        <v>75</v>
      </c>
      <c r="E699" s="0" t="s">
        <v>1584</v>
      </c>
      <c r="F699" s="0" t="n">
        <v>5</v>
      </c>
      <c r="G699" s="0" t="n">
        <v>4</v>
      </c>
      <c r="H699" s="0" t="s">
        <v>122</v>
      </c>
      <c r="I699" s="0" t="s">
        <v>1235</v>
      </c>
      <c r="K699" s="0" t="s">
        <v>152</v>
      </c>
      <c r="L699" s="0" t="s">
        <v>1585</v>
      </c>
    </row>
    <row r="700" customFormat="false" ht="15" hidden="false" customHeight="false" outlineLevel="0" collapsed="false">
      <c r="A700" s="0" t="s">
        <v>1231</v>
      </c>
      <c r="B700" s="0" t="s">
        <v>350</v>
      </c>
      <c r="C700" s="0" t="s">
        <v>502</v>
      </c>
      <c r="D700" s="0" t="s">
        <v>78</v>
      </c>
      <c r="E700" s="0" t="s">
        <v>1586</v>
      </c>
      <c r="F700" s="0" t="n">
        <v>5</v>
      </c>
      <c r="G700" s="0" t="n">
        <v>3</v>
      </c>
      <c r="H700" s="0" t="s">
        <v>122</v>
      </c>
      <c r="I700" s="0" t="s">
        <v>1354</v>
      </c>
      <c r="K700" s="0" t="s">
        <v>156</v>
      </c>
      <c r="L700" s="0" t="s">
        <v>1587</v>
      </c>
    </row>
    <row r="701" customFormat="false" ht="15" hidden="false" customHeight="false" outlineLevel="0" collapsed="false">
      <c r="A701" s="0" t="s">
        <v>1231</v>
      </c>
      <c r="B701" s="0" t="s">
        <v>350</v>
      </c>
      <c r="C701" s="0" t="s">
        <v>502</v>
      </c>
      <c r="D701" s="0" t="s">
        <v>81</v>
      </c>
      <c r="E701" s="0" t="s">
        <v>1588</v>
      </c>
      <c r="F701" s="0" t="n">
        <v>5</v>
      </c>
      <c r="G701" s="0" t="n">
        <v>0</v>
      </c>
      <c r="H701" s="0" t="s">
        <v>122</v>
      </c>
      <c r="I701" s="0" t="s">
        <v>1578</v>
      </c>
      <c r="K701" s="0" t="s">
        <v>160</v>
      </c>
      <c r="L701" s="0" t="s">
        <v>1589</v>
      </c>
    </row>
    <row r="702" customFormat="false" ht="15" hidden="false" customHeight="false" outlineLevel="0" collapsed="false">
      <c r="A702" s="0" t="s">
        <v>1231</v>
      </c>
      <c r="B702" s="0" t="s">
        <v>140</v>
      </c>
      <c r="C702" s="0" t="s">
        <v>527</v>
      </c>
      <c r="D702" s="0" t="s">
        <v>115</v>
      </c>
      <c r="E702" s="0" t="s">
        <v>1590</v>
      </c>
      <c r="F702" s="0" t="n">
        <v>0</v>
      </c>
      <c r="G702" s="0" t="n">
        <v>0</v>
      </c>
      <c r="H702" s="0" t="s">
        <v>117</v>
      </c>
      <c r="K702" s="0" t="s">
        <v>118</v>
      </c>
      <c r="L702" s="0" t="s">
        <v>1591</v>
      </c>
    </row>
    <row r="703" customFormat="false" ht="15" hidden="false" customHeight="false" outlineLevel="0" collapsed="false">
      <c r="A703" s="0" t="s">
        <v>1231</v>
      </c>
      <c r="B703" s="0" t="s">
        <v>140</v>
      </c>
      <c r="C703" s="0" t="s">
        <v>527</v>
      </c>
      <c r="D703" s="0" t="s">
        <v>120</v>
      </c>
      <c r="E703" s="0" t="s">
        <v>1592</v>
      </c>
      <c r="F703" s="0" t="n">
        <v>4</v>
      </c>
      <c r="G703" s="0" t="n">
        <v>0</v>
      </c>
      <c r="H703" s="0" t="s">
        <v>122</v>
      </c>
      <c r="K703" s="0" t="s">
        <v>123</v>
      </c>
      <c r="L703" s="0" t="s">
        <v>1593</v>
      </c>
    </row>
    <row r="704" customFormat="false" ht="15" hidden="false" customHeight="false" outlineLevel="0" collapsed="false">
      <c r="A704" s="0" t="s">
        <v>1231</v>
      </c>
      <c r="B704" s="0" t="s">
        <v>140</v>
      </c>
      <c r="C704" s="0" t="s">
        <v>527</v>
      </c>
      <c r="D704" s="0" t="s">
        <v>125</v>
      </c>
      <c r="E704" s="0" t="s">
        <v>1594</v>
      </c>
      <c r="F704" s="0" t="n">
        <v>4</v>
      </c>
      <c r="G704" s="0" t="n">
        <v>0</v>
      </c>
      <c r="H704" s="0" t="s">
        <v>122</v>
      </c>
      <c r="K704" s="0" t="s">
        <v>127</v>
      </c>
      <c r="L704" s="0" t="s">
        <v>1595</v>
      </c>
    </row>
    <row r="705" customFormat="false" ht="15" hidden="false" customHeight="false" outlineLevel="0" collapsed="false">
      <c r="A705" s="0" t="s">
        <v>1231</v>
      </c>
      <c r="B705" s="0" t="s">
        <v>140</v>
      </c>
      <c r="C705" s="0" t="s">
        <v>527</v>
      </c>
      <c r="D705" s="0" t="s">
        <v>53</v>
      </c>
      <c r="E705" s="0" t="s">
        <v>1596</v>
      </c>
      <c r="F705" s="0" t="n">
        <v>4</v>
      </c>
      <c r="G705" s="0" t="n">
        <v>0</v>
      </c>
      <c r="H705" s="0" t="s">
        <v>122</v>
      </c>
      <c r="K705" s="0" t="s">
        <v>132</v>
      </c>
      <c r="L705" s="0" t="s">
        <v>1597</v>
      </c>
    </row>
    <row r="706" customFormat="false" ht="15" hidden="false" customHeight="false" outlineLevel="0" collapsed="false">
      <c r="A706" s="0" t="s">
        <v>1231</v>
      </c>
      <c r="B706" s="0" t="s">
        <v>140</v>
      </c>
      <c r="C706" s="0" t="s">
        <v>527</v>
      </c>
      <c r="D706" s="0" t="s">
        <v>56</v>
      </c>
      <c r="E706" s="0" t="s">
        <v>1598</v>
      </c>
      <c r="F706" s="0" t="n">
        <v>4</v>
      </c>
      <c r="G706" s="0" t="n">
        <v>4</v>
      </c>
      <c r="H706" s="0" t="s">
        <v>117</v>
      </c>
      <c r="I706" s="0" t="s">
        <v>1235</v>
      </c>
      <c r="K706" s="0" t="s">
        <v>135</v>
      </c>
      <c r="L706" s="0" t="s">
        <v>1599</v>
      </c>
    </row>
    <row r="707" customFormat="false" ht="15" hidden="false" customHeight="false" outlineLevel="0" collapsed="false">
      <c r="A707" s="0" t="s">
        <v>1231</v>
      </c>
      <c r="B707" s="0" t="s">
        <v>140</v>
      </c>
      <c r="C707" s="0" t="s">
        <v>527</v>
      </c>
      <c r="D707" s="0" t="s">
        <v>59</v>
      </c>
      <c r="E707" s="0" t="s">
        <v>1600</v>
      </c>
      <c r="F707" s="0" t="n">
        <v>0</v>
      </c>
      <c r="G707" s="0" t="n">
        <v>0</v>
      </c>
      <c r="H707" s="0" t="s">
        <v>117</v>
      </c>
      <c r="K707" s="0" t="s">
        <v>138</v>
      </c>
      <c r="L707" s="0" t="s">
        <v>1601</v>
      </c>
    </row>
    <row r="708" customFormat="false" ht="15" hidden="false" customHeight="false" outlineLevel="0" collapsed="false">
      <c r="A708" s="0" t="s">
        <v>1231</v>
      </c>
      <c r="B708" s="0" t="s">
        <v>140</v>
      </c>
      <c r="C708" s="0" t="s">
        <v>527</v>
      </c>
      <c r="D708" s="0" t="s">
        <v>67</v>
      </c>
      <c r="E708" s="0" t="s">
        <v>1602</v>
      </c>
      <c r="F708" s="0" t="n">
        <v>4</v>
      </c>
      <c r="G708" s="0" t="n">
        <v>0</v>
      </c>
      <c r="H708" s="0" t="s">
        <v>122</v>
      </c>
      <c r="K708" s="0" t="s">
        <v>143</v>
      </c>
      <c r="L708" s="0" t="s">
        <v>1603</v>
      </c>
    </row>
    <row r="709" customFormat="false" ht="15" hidden="false" customHeight="false" outlineLevel="0" collapsed="false">
      <c r="A709" s="0" t="s">
        <v>1231</v>
      </c>
      <c r="B709" s="0" t="s">
        <v>140</v>
      </c>
      <c r="C709" s="0" t="s">
        <v>527</v>
      </c>
      <c r="D709" s="0" t="s">
        <v>70</v>
      </c>
      <c r="E709" s="0" t="s">
        <v>1604</v>
      </c>
      <c r="F709" s="0" t="n">
        <v>4</v>
      </c>
      <c r="G709" s="0" t="n">
        <v>4</v>
      </c>
      <c r="H709" s="0" t="s">
        <v>117</v>
      </c>
      <c r="I709" s="0" t="s">
        <v>1417</v>
      </c>
      <c r="K709" s="0" t="s">
        <v>146</v>
      </c>
      <c r="L709" s="0" t="s">
        <v>1605</v>
      </c>
    </row>
    <row r="710" customFormat="false" ht="15" hidden="false" customHeight="false" outlineLevel="0" collapsed="false">
      <c r="A710" s="0" t="s">
        <v>1231</v>
      </c>
      <c r="B710" s="0" t="s">
        <v>140</v>
      </c>
      <c r="C710" s="0" t="s">
        <v>527</v>
      </c>
      <c r="D710" s="0" t="s">
        <v>73</v>
      </c>
      <c r="E710" s="0" t="s">
        <v>1606</v>
      </c>
      <c r="F710" s="0" t="n">
        <v>0</v>
      </c>
      <c r="G710" s="0" t="n">
        <v>0</v>
      </c>
      <c r="H710" s="0" t="s">
        <v>117</v>
      </c>
      <c r="K710" s="0" t="s">
        <v>149</v>
      </c>
      <c r="L710" s="0" t="s">
        <v>1607</v>
      </c>
    </row>
    <row r="711" customFormat="false" ht="15" hidden="false" customHeight="false" outlineLevel="0" collapsed="false">
      <c r="A711" s="0" t="s">
        <v>1231</v>
      </c>
      <c r="B711" s="0" t="s">
        <v>140</v>
      </c>
      <c r="C711" s="0" t="s">
        <v>527</v>
      </c>
      <c r="D711" s="0" t="s">
        <v>76</v>
      </c>
      <c r="E711" s="0" t="s">
        <v>1608</v>
      </c>
      <c r="F711" s="0" t="n">
        <v>4</v>
      </c>
      <c r="G711" s="0" t="n">
        <v>4</v>
      </c>
      <c r="H711" s="0" t="s">
        <v>117</v>
      </c>
      <c r="I711" s="0" t="s">
        <v>1235</v>
      </c>
      <c r="K711" s="0" t="s">
        <v>152</v>
      </c>
      <c r="L711" s="0" t="s">
        <v>1609</v>
      </c>
    </row>
    <row r="712" customFormat="false" ht="15" hidden="false" customHeight="false" outlineLevel="0" collapsed="false">
      <c r="A712" s="0" t="s">
        <v>1231</v>
      </c>
      <c r="B712" s="0" t="s">
        <v>140</v>
      </c>
      <c r="C712" s="0" t="s">
        <v>527</v>
      </c>
      <c r="D712" s="0" t="s">
        <v>79</v>
      </c>
      <c r="E712" s="0" t="s">
        <v>1610</v>
      </c>
      <c r="F712" s="0" t="n">
        <v>4</v>
      </c>
      <c r="G712" s="0" t="n">
        <v>4</v>
      </c>
      <c r="H712" s="0" t="s">
        <v>117</v>
      </c>
      <c r="I712" s="0" t="s">
        <v>1354</v>
      </c>
      <c r="K712" s="0" t="s">
        <v>156</v>
      </c>
      <c r="L712" s="0" t="s">
        <v>1611</v>
      </c>
    </row>
    <row r="713" customFormat="false" ht="15" hidden="false" customHeight="false" outlineLevel="0" collapsed="false">
      <c r="A713" s="0" t="s">
        <v>1231</v>
      </c>
      <c r="B713" s="0" t="s">
        <v>140</v>
      </c>
      <c r="C713" s="0" t="s">
        <v>527</v>
      </c>
      <c r="D713" s="0" t="s">
        <v>82</v>
      </c>
      <c r="E713" s="0" t="s">
        <v>1612</v>
      </c>
      <c r="F713" s="0" t="n">
        <v>4</v>
      </c>
      <c r="G713" s="0" t="n">
        <v>3</v>
      </c>
      <c r="H713" s="0" t="s">
        <v>122</v>
      </c>
      <c r="I713" s="0" t="s">
        <v>1354</v>
      </c>
      <c r="K713" s="0" t="s">
        <v>160</v>
      </c>
      <c r="L713" s="0" t="s">
        <v>1613</v>
      </c>
    </row>
    <row r="714" customFormat="false" ht="15" hidden="false" customHeight="false" outlineLevel="0" collapsed="false">
      <c r="A714" s="0" t="s">
        <v>1231</v>
      </c>
      <c r="B714" s="0" t="s">
        <v>140</v>
      </c>
      <c r="C714" s="0" t="s">
        <v>555</v>
      </c>
      <c r="D714" s="0" t="s">
        <v>115</v>
      </c>
      <c r="E714" s="0" t="s">
        <v>1614</v>
      </c>
      <c r="F714" s="0" t="n">
        <v>0</v>
      </c>
      <c r="G714" s="0" t="n">
        <v>0</v>
      </c>
      <c r="H714" s="0" t="s">
        <v>117</v>
      </c>
      <c r="K714" s="0" t="s">
        <v>118</v>
      </c>
      <c r="L714" s="0" t="s">
        <v>1615</v>
      </c>
    </row>
    <row r="715" customFormat="false" ht="15" hidden="false" customHeight="false" outlineLevel="0" collapsed="false">
      <c r="A715" s="0" t="s">
        <v>1231</v>
      </c>
      <c r="B715" s="0" t="s">
        <v>140</v>
      </c>
      <c r="C715" s="0" t="s">
        <v>555</v>
      </c>
      <c r="D715" s="0" t="s">
        <v>120</v>
      </c>
      <c r="E715" s="0" t="s">
        <v>1616</v>
      </c>
      <c r="F715" s="0" t="n">
        <v>4</v>
      </c>
      <c r="G715" s="0" t="n">
        <v>0</v>
      </c>
      <c r="H715" s="0" t="s">
        <v>122</v>
      </c>
      <c r="K715" s="0" t="s">
        <v>123</v>
      </c>
      <c r="L715" s="0" t="s">
        <v>1617</v>
      </c>
    </row>
    <row r="716" customFormat="false" ht="15" hidden="false" customHeight="false" outlineLevel="0" collapsed="false">
      <c r="A716" s="0" t="s">
        <v>1231</v>
      </c>
      <c r="B716" s="0" t="s">
        <v>140</v>
      </c>
      <c r="C716" s="0" t="s">
        <v>555</v>
      </c>
      <c r="D716" s="0" t="s">
        <v>125</v>
      </c>
      <c r="E716" s="0" t="s">
        <v>1618</v>
      </c>
      <c r="F716" s="0" t="n">
        <v>4</v>
      </c>
      <c r="G716" s="0" t="n">
        <v>2</v>
      </c>
      <c r="H716" s="0" t="s">
        <v>122</v>
      </c>
      <c r="I716" s="0" t="s">
        <v>1235</v>
      </c>
      <c r="K716" s="0" t="s">
        <v>127</v>
      </c>
      <c r="L716" s="0" t="s">
        <v>1619</v>
      </c>
    </row>
    <row r="717" customFormat="false" ht="15" hidden="false" customHeight="false" outlineLevel="0" collapsed="false">
      <c r="A717" s="0" t="s">
        <v>1231</v>
      </c>
      <c r="B717" s="0" t="s">
        <v>140</v>
      </c>
      <c r="C717" s="0" t="s">
        <v>555</v>
      </c>
      <c r="D717" s="0" t="s">
        <v>53</v>
      </c>
      <c r="E717" s="0" t="s">
        <v>1620</v>
      </c>
      <c r="F717" s="0" t="n">
        <v>4</v>
      </c>
      <c r="G717" s="0" t="n">
        <v>3</v>
      </c>
      <c r="H717" s="0" t="s">
        <v>122</v>
      </c>
      <c r="I717" s="0" t="s">
        <v>1235</v>
      </c>
      <c r="K717" s="0" t="s">
        <v>132</v>
      </c>
      <c r="L717" s="0" t="s">
        <v>1621</v>
      </c>
    </row>
    <row r="718" customFormat="false" ht="15" hidden="false" customHeight="false" outlineLevel="0" collapsed="false">
      <c r="A718" s="0" t="s">
        <v>1231</v>
      </c>
      <c r="B718" s="0" t="s">
        <v>140</v>
      </c>
      <c r="C718" s="0" t="s">
        <v>555</v>
      </c>
      <c r="D718" s="0" t="s">
        <v>56</v>
      </c>
      <c r="E718" s="0" t="s">
        <v>1622</v>
      </c>
      <c r="F718" s="0" t="n">
        <v>4</v>
      </c>
      <c r="G718" s="0" t="n">
        <v>3</v>
      </c>
      <c r="H718" s="0" t="s">
        <v>122</v>
      </c>
      <c r="I718" s="0" t="s">
        <v>1417</v>
      </c>
      <c r="K718" s="0" t="s">
        <v>135</v>
      </c>
      <c r="L718" s="0" t="s">
        <v>1623</v>
      </c>
    </row>
    <row r="719" customFormat="false" ht="15" hidden="false" customHeight="false" outlineLevel="0" collapsed="false">
      <c r="A719" s="0" t="s">
        <v>1231</v>
      </c>
      <c r="B719" s="0" t="s">
        <v>140</v>
      </c>
      <c r="C719" s="0" t="s">
        <v>555</v>
      </c>
      <c r="D719" s="0" t="s">
        <v>59</v>
      </c>
      <c r="E719" s="0" t="s">
        <v>1624</v>
      </c>
      <c r="F719" s="0" t="n">
        <v>0</v>
      </c>
      <c r="G719" s="0" t="n">
        <v>0</v>
      </c>
      <c r="H719" s="0" t="s">
        <v>117</v>
      </c>
      <c r="I719" s="0" t="s">
        <v>1578</v>
      </c>
      <c r="K719" s="0" t="s">
        <v>138</v>
      </c>
      <c r="L719" s="0" t="s">
        <v>1625</v>
      </c>
    </row>
    <row r="720" customFormat="false" ht="15" hidden="false" customHeight="false" outlineLevel="0" collapsed="false">
      <c r="A720" s="0" t="s">
        <v>1231</v>
      </c>
      <c r="B720" s="0" t="s">
        <v>140</v>
      </c>
      <c r="C720" s="0" t="s">
        <v>555</v>
      </c>
      <c r="D720" s="0" t="s">
        <v>67</v>
      </c>
      <c r="E720" s="0" t="s">
        <v>1626</v>
      </c>
      <c r="F720" s="0" t="n">
        <v>4</v>
      </c>
      <c r="G720" s="0" t="n">
        <v>4</v>
      </c>
      <c r="H720" s="0" t="s">
        <v>117</v>
      </c>
      <c r="I720" s="0" t="s">
        <v>1235</v>
      </c>
      <c r="K720" s="0" t="s">
        <v>143</v>
      </c>
      <c r="L720" s="0" t="s">
        <v>1627</v>
      </c>
    </row>
    <row r="721" customFormat="false" ht="15" hidden="false" customHeight="false" outlineLevel="0" collapsed="false">
      <c r="A721" s="0" t="s">
        <v>1231</v>
      </c>
      <c r="B721" s="0" t="s">
        <v>140</v>
      </c>
      <c r="C721" s="0" t="s">
        <v>555</v>
      </c>
      <c r="D721" s="0" t="s">
        <v>70</v>
      </c>
      <c r="E721" s="0" t="s">
        <v>1628</v>
      </c>
      <c r="F721" s="0" t="n">
        <v>4</v>
      </c>
      <c r="G721" s="0" t="n">
        <v>3</v>
      </c>
      <c r="H721" s="0" t="s">
        <v>122</v>
      </c>
      <c r="I721" s="0" t="s">
        <v>1629</v>
      </c>
      <c r="K721" s="0" t="s">
        <v>146</v>
      </c>
      <c r="L721" s="0" t="s">
        <v>1630</v>
      </c>
    </row>
    <row r="722" customFormat="false" ht="15" hidden="false" customHeight="false" outlineLevel="0" collapsed="false">
      <c r="A722" s="0" t="s">
        <v>1231</v>
      </c>
      <c r="B722" s="0" t="s">
        <v>140</v>
      </c>
      <c r="C722" s="0" t="s">
        <v>555</v>
      </c>
      <c r="D722" s="0" t="s">
        <v>73</v>
      </c>
      <c r="E722" s="0" t="s">
        <v>1631</v>
      </c>
      <c r="F722" s="0" t="n">
        <v>4</v>
      </c>
      <c r="G722" s="0" t="n">
        <v>3</v>
      </c>
      <c r="H722" s="0" t="s">
        <v>122</v>
      </c>
      <c r="I722" s="0" t="s">
        <v>1354</v>
      </c>
      <c r="K722" s="0" t="s">
        <v>149</v>
      </c>
      <c r="L722" s="0" t="s">
        <v>1632</v>
      </c>
    </row>
    <row r="723" customFormat="false" ht="15" hidden="false" customHeight="false" outlineLevel="0" collapsed="false">
      <c r="A723" s="0" t="s">
        <v>1231</v>
      </c>
      <c r="B723" s="0" t="s">
        <v>140</v>
      </c>
      <c r="C723" s="0" t="s">
        <v>555</v>
      </c>
      <c r="D723" s="0" t="s">
        <v>76</v>
      </c>
      <c r="E723" s="0" t="s">
        <v>1633</v>
      </c>
      <c r="F723" s="0" t="n">
        <v>0</v>
      </c>
      <c r="G723" s="0" t="n">
        <v>2</v>
      </c>
      <c r="H723" s="0" t="s">
        <v>117</v>
      </c>
      <c r="I723" s="0" t="s">
        <v>1354</v>
      </c>
      <c r="K723" s="0" t="s">
        <v>152</v>
      </c>
      <c r="L723" s="0" t="s">
        <v>1634</v>
      </c>
    </row>
    <row r="724" customFormat="false" ht="15" hidden="false" customHeight="false" outlineLevel="0" collapsed="false">
      <c r="A724" s="0" t="s">
        <v>1231</v>
      </c>
      <c r="B724" s="0" t="s">
        <v>140</v>
      </c>
      <c r="C724" s="0" t="s">
        <v>555</v>
      </c>
      <c r="D724" s="0" t="s">
        <v>79</v>
      </c>
      <c r="E724" s="0" t="s">
        <v>1635</v>
      </c>
      <c r="F724" s="0" t="n">
        <v>4</v>
      </c>
      <c r="G724" s="0" t="n">
        <v>4</v>
      </c>
      <c r="H724" s="0" t="s">
        <v>117</v>
      </c>
      <c r="I724" s="0" t="s">
        <v>1235</v>
      </c>
      <c r="K724" s="0" t="s">
        <v>156</v>
      </c>
      <c r="L724" s="0" t="s">
        <v>1636</v>
      </c>
    </row>
    <row r="725" customFormat="false" ht="15" hidden="false" customHeight="false" outlineLevel="0" collapsed="false">
      <c r="A725" s="0" t="s">
        <v>1231</v>
      </c>
      <c r="B725" s="0" t="s">
        <v>140</v>
      </c>
      <c r="C725" s="0" t="s">
        <v>555</v>
      </c>
      <c r="D725" s="0" t="s">
        <v>82</v>
      </c>
      <c r="E725" s="0" t="s">
        <v>1637</v>
      </c>
      <c r="F725" s="0" t="n">
        <v>4</v>
      </c>
      <c r="G725" s="0" t="n">
        <v>0</v>
      </c>
      <c r="H725" s="0" t="s">
        <v>122</v>
      </c>
      <c r="K725" s="0" t="s">
        <v>160</v>
      </c>
      <c r="L725" s="0" t="s">
        <v>1638</v>
      </c>
    </row>
    <row r="726" customFormat="false" ht="15" hidden="false" customHeight="false" outlineLevel="0" collapsed="false">
      <c r="A726" s="0" t="s">
        <v>1231</v>
      </c>
      <c r="B726" s="0" t="s">
        <v>140</v>
      </c>
      <c r="C726" s="0" t="s">
        <v>580</v>
      </c>
      <c r="D726" s="0" t="s">
        <v>115</v>
      </c>
      <c r="E726" s="0" t="s">
        <v>1639</v>
      </c>
      <c r="F726" s="0" t="n">
        <v>0</v>
      </c>
      <c r="G726" s="0" t="n">
        <v>0</v>
      </c>
      <c r="H726" s="0" t="s">
        <v>117</v>
      </c>
      <c r="K726" s="0" t="s">
        <v>118</v>
      </c>
      <c r="L726" s="0" t="s">
        <v>1640</v>
      </c>
    </row>
    <row r="727" customFormat="false" ht="15" hidden="false" customHeight="false" outlineLevel="0" collapsed="false">
      <c r="A727" s="0" t="s">
        <v>1231</v>
      </c>
      <c r="B727" s="0" t="s">
        <v>140</v>
      </c>
      <c r="C727" s="0" t="s">
        <v>580</v>
      </c>
      <c r="D727" s="0" t="s">
        <v>120</v>
      </c>
      <c r="E727" s="0" t="s">
        <v>1641</v>
      </c>
      <c r="F727" s="0" t="n">
        <v>4</v>
      </c>
      <c r="G727" s="0" t="n">
        <v>2</v>
      </c>
      <c r="H727" s="0" t="s">
        <v>122</v>
      </c>
      <c r="I727" s="0" t="s">
        <v>1629</v>
      </c>
      <c r="K727" s="0" t="s">
        <v>123</v>
      </c>
      <c r="L727" s="0" t="s">
        <v>1642</v>
      </c>
    </row>
    <row r="728" customFormat="false" ht="15" hidden="false" customHeight="false" outlineLevel="0" collapsed="false">
      <c r="A728" s="0" t="s">
        <v>1231</v>
      </c>
      <c r="B728" s="0" t="s">
        <v>140</v>
      </c>
      <c r="C728" s="0" t="s">
        <v>580</v>
      </c>
      <c r="D728" s="0" t="s">
        <v>125</v>
      </c>
      <c r="E728" s="0" t="s">
        <v>1643</v>
      </c>
      <c r="F728" s="0" t="n">
        <v>4</v>
      </c>
      <c r="G728" s="0" t="n">
        <v>0</v>
      </c>
      <c r="H728" s="0" t="s">
        <v>122</v>
      </c>
      <c r="K728" s="0" t="s">
        <v>127</v>
      </c>
      <c r="L728" s="0" t="s">
        <v>1644</v>
      </c>
    </row>
    <row r="729" customFormat="false" ht="15" hidden="false" customHeight="false" outlineLevel="0" collapsed="false">
      <c r="A729" s="0" t="s">
        <v>1231</v>
      </c>
      <c r="B729" s="0" t="s">
        <v>140</v>
      </c>
      <c r="C729" s="0" t="s">
        <v>580</v>
      </c>
      <c r="D729" s="0" t="s">
        <v>53</v>
      </c>
      <c r="E729" s="0" t="s">
        <v>1645</v>
      </c>
      <c r="F729" s="0" t="n">
        <v>4</v>
      </c>
      <c r="G729" s="0" t="n">
        <v>0</v>
      </c>
      <c r="H729" s="0" t="s">
        <v>122</v>
      </c>
      <c r="K729" s="0" t="s">
        <v>132</v>
      </c>
      <c r="L729" s="0" t="s">
        <v>1646</v>
      </c>
    </row>
    <row r="730" customFormat="false" ht="15" hidden="false" customHeight="false" outlineLevel="0" collapsed="false">
      <c r="A730" s="0" t="s">
        <v>1231</v>
      </c>
      <c r="B730" s="0" t="s">
        <v>140</v>
      </c>
      <c r="C730" s="0" t="s">
        <v>580</v>
      </c>
      <c r="D730" s="0" t="s">
        <v>56</v>
      </c>
      <c r="E730" s="0" t="s">
        <v>1647</v>
      </c>
      <c r="F730" s="0" t="n">
        <v>4</v>
      </c>
      <c r="G730" s="0" t="n">
        <v>4</v>
      </c>
      <c r="H730" s="0" t="s">
        <v>117</v>
      </c>
      <c r="I730" s="0" t="s">
        <v>1329</v>
      </c>
      <c r="K730" s="0" t="s">
        <v>135</v>
      </c>
      <c r="L730" s="0" t="s">
        <v>1648</v>
      </c>
    </row>
    <row r="731" customFormat="false" ht="15" hidden="false" customHeight="false" outlineLevel="0" collapsed="false">
      <c r="A731" s="0" t="s">
        <v>1231</v>
      </c>
      <c r="B731" s="0" t="s">
        <v>140</v>
      </c>
      <c r="C731" s="0" t="s">
        <v>580</v>
      </c>
      <c r="D731" s="0" t="s">
        <v>59</v>
      </c>
      <c r="E731" s="0" t="s">
        <v>1649</v>
      </c>
      <c r="F731" s="0" t="n">
        <v>0</v>
      </c>
      <c r="G731" s="0" t="n">
        <v>0</v>
      </c>
      <c r="H731" s="0" t="s">
        <v>117</v>
      </c>
      <c r="K731" s="0" t="s">
        <v>138</v>
      </c>
      <c r="L731" s="0" t="s">
        <v>1650</v>
      </c>
    </row>
    <row r="732" customFormat="false" ht="15" hidden="false" customHeight="false" outlineLevel="0" collapsed="false">
      <c r="A732" s="0" t="s">
        <v>1231</v>
      </c>
      <c r="B732" s="0" t="s">
        <v>140</v>
      </c>
      <c r="C732" s="0" t="s">
        <v>580</v>
      </c>
      <c r="D732" s="0" t="s">
        <v>67</v>
      </c>
      <c r="E732" s="0" t="s">
        <v>1651</v>
      </c>
      <c r="F732" s="0" t="n">
        <v>4</v>
      </c>
      <c r="G732" s="0" t="n">
        <v>1</v>
      </c>
      <c r="H732" s="0" t="s">
        <v>122</v>
      </c>
      <c r="I732" s="0" t="s">
        <v>1292</v>
      </c>
      <c r="K732" s="0" t="s">
        <v>143</v>
      </c>
      <c r="L732" s="0" t="s">
        <v>1652</v>
      </c>
    </row>
    <row r="733" customFormat="false" ht="15" hidden="false" customHeight="false" outlineLevel="0" collapsed="false">
      <c r="A733" s="0" t="s">
        <v>1231</v>
      </c>
      <c r="B733" s="0" t="s">
        <v>140</v>
      </c>
      <c r="C733" s="0" t="s">
        <v>580</v>
      </c>
      <c r="D733" s="0" t="s">
        <v>70</v>
      </c>
      <c r="E733" s="0" t="s">
        <v>1653</v>
      </c>
      <c r="F733" s="0" t="n">
        <v>4</v>
      </c>
      <c r="G733" s="0" t="n">
        <v>3</v>
      </c>
      <c r="H733" s="0" t="s">
        <v>122</v>
      </c>
      <c r="I733" s="0" t="s">
        <v>1292</v>
      </c>
      <c r="K733" s="0" t="s">
        <v>146</v>
      </c>
      <c r="L733" s="0" t="s">
        <v>1654</v>
      </c>
    </row>
    <row r="734" customFormat="false" ht="15" hidden="false" customHeight="false" outlineLevel="0" collapsed="false">
      <c r="A734" s="0" t="s">
        <v>1231</v>
      </c>
      <c r="B734" s="0" t="s">
        <v>140</v>
      </c>
      <c r="C734" s="0" t="s">
        <v>580</v>
      </c>
      <c r="D734" s="0" t="s">
        <v>73</v>
      </c>
      <c r="E734" s="0" t="s">
        <v>1655</v>
      </c>
      <c r="F734" s="0" t="n">
        <v>4</v>
      </c>
      <c r="G734" s="0" t="n">
        <v>1</v>
      </c>
      <c r="H734" s="0" t="s">
        <v>122</v>
      </c>
      <c r="I734" s="0" t="s">
        <v>1629</v>
      </c>
      <c r="K734" s="0" t="s">
        <v>149</v>
      </c>
      <c r="L734" s="0" t="s">
        <v>1656</v>
      </c>
    </row>
    <row r="735" customFormat="false" ht="15" hidden="false" customHeight="false" outlineLevel="0" collapsed="false">
      <c r="A735" s="0" t="s">
        <v>1231</v>
      </c>
      <c r="B735" s="0" t="s">
        <v>140</v>
      </c>
      <c r="C735" s="0" t="s">
        <v>580</v>
      </c>
      <c r="D735" s="0" t="s">
        <v>76</v>
      </c>
      <c r="E735" s="0" t="s">
        <v>1657</v>
      </c>
      <c r="F735" s="0" t="n">
        <v>4</v>
      </c>
      <c r="G735" s="0" t="n">
        <v>4</v>
      </c>
      <c r="H735" s="0" t="s">
        <v>117</v>
      </c>
      <c r="I735" s="0" t="s">
        <v>1329</v>
      </c>
      <c r="K735" s="0" t="s">
        <v>152</v>
      </c>
      <c r="L735" s="0" t="s">
        <v>1658</v>
      </c>
    </row>
    <row r="736" customFormat="false" ht="15" hidden="false" customHeight="false" outlineLevel="0" collapsed="false">
      <c r="A736" s="0" t="s">
        <v>1231</v>
      </c>
      <c r="B736" s="0" t="s">
        <v>140</v>
      </c>
      <c r="C736" s="0" t="s">
        <v>580</v>
      </c>
      <c r="D736" s="0" t="s">
        <v>79</v>
      </c>
      <c r="E736" s="0" t="s">
        <v>1659</v>
      </c>
      <c r="F736" s="0" t="n">
        <v>4</v>
      </c>
      <c r="G736" s="0" t="n">
        <v>3</v>
      </c>
      <c r="H736" s="0" t="s">
        <v>122</v>
      </c>
      <c r="I736" s="0" t="s">
        <v>1629</v>
      </c>
      <c r="K736" s="0" t="s">
        <v>156</v>
      </c>
      <c r="L736" s="0" t="s">
        <v>1660</v>
      </c>
    </row>
    <row r="737" customFormat="false" ht="15" hidden="false" customHeight="false" outlineLevel="0" collapsed="false">
      <c r="A737" s="0" t="s">
        <v>1231</v>
      </c>
      <c r="B737" s="0" t="s">
        <v>140</v>
      </c>
      <c r="C737" s="0" t="s">
        <v>580</v>
      </c>
      <c r="D737" s="0" t="s">
        <v>82</v>
      </c>
      <c r="E737" s="0" t="s">
        <v>1661</v>
      </c>
      <c r="F737" s="0" t="n">
        <v>4</v>
      </c>
      <c r="G737" s="0" t="n">
        <v>4</v>
      </c>
      <c r="H737" s="0" t="s">
        <v>117</v>
      </c>
      <c r="I737" s="0" t="s">
        <v>1287</v>
      </c>
      <c r="K737" s="0" t="s">
        <v>160</v>
      </c>
      <c r="L737" s="0" t="s">
        <v>1662</v>
      </c>
    </row>
    <row r="738" customFormat="false" ht="15" hidden="false" customHeight="false" outlineLevel="0" collapsed="false">
      <c r="A738" s="0" t="s">
        <v>1231</v>
      </c>
      <c r="B738" s="0" t="s">
        <v>140</v>
      </c>
      <c r="C738" s="0" t="s">
        <v>605</v>
      </c>
      <c r="D738" s="0" t="s">
        <v>115</v>
      </c>
      <c r="E738" s="0" t="s">
        <v>1663</v>
      </c>
      <c r="F738" s="0" t="n">
        <v>0</v>
      </c>
      <c r="G738" s="0" t="n">
        <v>0</v>
      </c>
      <c r="H738" s="0" t="s">
        <v>117</v>
      </c>
      <c r="K738" s="0" t="s">
        <v>118</v>
      </c>
      <c r="L738" s="0" t="s">
        <v>1664</v>
      </c>
    </row>
    <row r="739" customFormat="false" ht="15" hidden="false" customHeight="false" outlineLevel="0" collapsed="false">
      <c r="A739" s="0" t="s">
        <v>1231</v>
      </c>
      <c r="B739" s="0" t="s">
        <v>140</v>
      </c>
      <c r="C739" s="0" t="s">
        <v>605</v>
      </c>
      <c r="D739" s="0" t="s">
        <v>120</v>
      </c>
      <c r="E739" s="0" t="s">
        <v>1665</v>
      </c>
      <c r="F739" s="0" t="n">
        <v>4</v>
      </c>
      <c r="G739" s="0" t="n">
        <v>0</v>
      </c>
      <c r="H739" s="0" t="s">
        <v>122</v>
      </c>
      <c r="K739" s="0" t="s">
        <v>123</v>
      </c>
      <c r="L739" s="0" t="s">
        <v>1666</v>
      </c>
    </row>
    <row r="740" customFormat="false" ht="15" hidden="false" customHeight="false" outlineLevel="0" collapsed="false">
      <c r="A740" s="0" t="s">
        <v>1231</v>
      </c>
      <c r="B740" s="0" t="s">
        <v>140</v>
      </c>
      <c r="C740" s="0" t="s">
        <v>605</v>
      </c>
      <c r="D740" s="0" t="s">
        <v>125</v>
      </c>
      <c r="E740" s="0" t="s">
        <v>1667</v>
      </c>
      <c r="F740" s="0" t="n">
        <v>4</v>
      </c>
      <c r="G740" s="0" t="n">
        <v>2</v>
      </c>
      <c r="H740" s="0" t="s">
        <v>122</v>
      </c>
      <c r="I740" s="0" t="s">
        <v>1287</v>
      </c>
      <c r="K740" s="0" t="s">
        <v>127</v>
      </c>
      <c r="L740" s="0" t="s">
        <v>1668</v>
      </c>
    </row>
    <row r="741" customFormat="false" ht="15" hidden="false" customHeight="false" outlineLevel="0" collapsed="false">
      <c r="A741" s="0" t="s">
        <v>1231</v>
      </c>
      <c r="B741" s="0" t="s">
        <v>140</v>
      </c>
      <c r="C741" s="0" t="s">
        <v>605</v>
      </c>
      <c r="D741" s="0" t="s">
        <v>53</v>
      </c>
      <c r="E741" s="0" t="s">
        <v>1669</v>
      </c>
      <c r="F741" s="0" t="n">
        <v>4</v>
      </c>
      <c r="G741" s="0" t="n">
        <v>0</v>
      </c>
      <c r="H741" s="0" t="s">
        <v>122</v>
      </c>
      <c r="K741" s="0" t="s">
        <v>132</v>
      </c>
      <c r="L741" s="0" t="s">
        <v>1670</v>
      </c>
    </row>
    <row r="742" customFormat="false" ht="15" hidden="false" customHeight="false" outlineLevel="0" collapsed="false">
      <c r="A742" s="0" t="s">
        <v>1231</v>
      </c>
      <c r="B742" s="0" t="s">
        <v>140</v>
      </c>
      <c r="C742" s="0" t="s">
        <v>605</v>
      </c>
      <c r="D742" s="0" t="s">
        <v>56</v>
      </c>
      <c r="E742" s="0" t="s">
        <v>1671</v>
      </c>
      <c r="F742" s="0" t="n">
        <v>4</v>
      </c>
      <c r="G742" s="0" t="n">
        <v>2</v>
      </c>
      <c r="H742" s="0" t="s">
        <v>122</v>
      </c>
      <c r="I742" s="0" t="s">
        <v>1329</v>
      </c>
      <c r="K742" s="0" t="s">
        <v>135</v>
      </c>
      <c r="L742" s="0" t="s">
        <v>1672</v>
      </c>
    </row>
    <row r="743" customFormat="false" ht="15" hidden="false" customHeight="false" outlineLevel="0" collapsed="false">
      <c r="A743" s="0" t="s">
        <v>1231</v>
      </c>
      <c r="B743" s="0" t="s">
        <v>140</v>
      </c>
      <c r="C743" s="0" t="s">
        <v>605</v>
      </c>
      <c r="D743" s="0" t="s">
        <v>59</v>
      </c>
      <c r="E743" s="0" t="s">
        <v>1673</v>
      </c>
      <c r="F743" s="0" t="n">
        <v>0</v>
      </c>
      <c r="G743" s="0" t="n">
        <v>0</v>
      </c>
      <c r="H743" s="0" t="s">
        <v>117</v>
      </c>
      <c r="K743" s="0" t="s">
        <v>138</v>
      </c>
      <c r="L743" s="0" t="s">
        <v>1674</v>
      </c>
    </row>
    <row r="744" customFormat="false" ht="15" hidden="false" customHeight="false" outlineLevel="0" collapsed="false">
      <c r="A744" s="0" t="s">
        <v>1231</v>
      </c>
      <c r="B744" s="0" t="s">
        <v>140</v>
      </c>
      <c r="C744" s="0" t="s">
        <v>605</v>
      </c>
      <c r="D744" s="0" t="s">
        <v>67</v>
      </c>
      <c r="E744" s="0" t="s">
        <v>1675</v>
      </c>
      <c r="F744" s="0" t="n">
        <v>4</v>
      </c>
      <c r="G744" s="0" t="n">
        <v>0</v>
      </c>
      <c r="H744" s="0" t="s">
        <v>122</v>
      </c>
      <c r="K744" s="0" t="s">
        <v>143</v>
      </c>
      <c r="L744" s="0" t="s">
        <v>1676</v>
      </c>
    </row>
    <row r="745" customFormat="false" ht="15" hidden="false" customHeight="false" outlineLevel="0" collapsed="false">
      <c r="A745" s="0" t="s">
        <v>1231</v>
      </c>
      <c r="B745" s="0" t="s">
        <v>140</v>
      </c>
      <c r="C745" s="0" t="s">
        <v>605</v>
      </c>
      <c r="D745" s="0" t="s">
        <v>70</v>
      </c>
      <c r="E745" s="0" t="s">
        <v>1677</v>
      </c>
      <c r="F745" s="0" t="n">
        <v>4</v>
      </c>
      <c r="G745" s="0" t="n">
        <v>3</v>
      </c>
      <c r="H745" s="0" t="s">
        <v>122</v>
      </c>
      <c r="I745" s="0" t="s">
        <v>1329</v>
      </c>
      <c r="K745" s="0" t="s">
        <v>146</v>
      </c>
      <c r="L745" s="0" t="s">
        <v>1678</v>
      </c>
    </row>
    <row r="746" customFormat="false" ht="15" hidden="false" customHeight="false" outlineLevel="0" collapsed="false">
      <c r="A746" s="0" t="s">
        <v>1231</v>
      </c>
      <c r="B746" s="0" t="s">
        <v>140</v>
      </c>
      <c r="C746" s="0" t="s">
        <v>605</v>
      </c>
      <c r="D746" s="0" t="s">
        <v>73</v>
      </c>
      <c r="E746" s="0" t="s">
        <v>1679</v>
      </c>
      <c r="F746" s="0" t="n">
        <v>4</v>
      </c>
      <c r="G746" s="0" t="n">
        <v>3</v>
      </c>
      <c r="H746" s="0" t="s">
        <v>122</v>
      </c>
      <c r="I746" s="0" t="s">
        <v>1680</v>
      </c>
      <c r="K746" s="0" t="s">
        <v>149</v>
      </c>
      <c r="L746" s="0" t="s">
        <v>1681</v>
      </c>
    </row>
    <row r="747" customFormat="false" ht="15" hidden="false" customHeight="false" outlineLevel="0" collapsed="false">
      <c r="A747" s="0" t="s">
        <v>1231</v>
      </c>
      <c r="B747" s="0" t="s">
        <v>140</v>
      </c>
      <c r="C747" s="0" t="s">
        <v>605</v>
      </c>
      <c r="D747" s="0" t="s">
        <v>76</v>
      </c>
      <c r="E747" s="0" t="s">
        <v>1682</v>
      </c>
      <c r="F747" s="0" t="n">
        <v>4</v>
      </c>
      <c r="G747" s="0" t="n">
        <v>4</v>
      </c>
      <c r="H747" s="0" t="s">
        <v>117</v>
      </c>
      <c r="I747" s="0" t="s">
        <v>1287</v>
      </c>
      <c r="K747" s="0" t="s">
        <v>152</v>
      </c>
      <c r="L747" s="0" t="s">
        <v>1683</v>
      </c>
    </row>
    <row r="748" customFormat="false" ht="15" hidden="false" customHeight="false" outlineLevel="0" collapsed="false">
      <c r="A748" s="0" t="s">
        <v>1231</v>
      </c>
      <c r="B748" s="0" t="s">
        <v>140</v>
      </c>
      <c r="C748" s="0" t="s">
        <v>605</v>
      </c>
      <c r="D748" s="0" t="s">
        <v>79</v>
      </c>
      <c r="E748" s="0" t="s">
        <v>1684</v>
      </c>
      <c r="F748" s="0" t="n">
        <v>4</v>
      </c>
      <c r="G748" s="0" t="n">
        <v>0</v>
      </c>
      <c r="H748" s="0" t="s">
        <v>122</v>
      </c>
      <c r="K748" s="0" t="s">
        <v>156</v>
      </c>
      <c r="L748" s="0" t="s">
        <v>1685</v>
      </c>
    </row>
    <row r="749" customFormat="false" ht="15" hidden="false" customHeight="false" outlineLevel="0" collapsed="false">
      <c r="A749" s="0" t="s">
        <v>1231</v>
      </c>
      <c r="B749" s="0" t="s">
        <v>140</v>
      </c>
      <c r="C749" s="0" t="s">
        <v>605</v>
      </c>
      <c r="D749" s="0" t="s">
        <v>82</v>
      </c>
      <c r="E749" s="0" t="s">
        <v>1686</v>
      </c>
      <c r="F749" s="0" t="n">
        <v>4</v>
      </c>
      <c r="G749" s="0" t="n">
        <v>2</v>
      </c>
      <c r="H749" s="0" t="s">
        <v>122</v>
      </c>
      <c r="I749" s="0" t="s">
        <v>1287</v>
      </c>
      <c r="K749" s="0" t="s">
        <v>160</v>
      </c>
      <c r="L749" s="0" t="s">
        <v>1687</v>
      </c>
    </row>
    <row r="750" customFormat="false" ht="15" hidden="false" customHeight="false" outlineLevel="0" collapsed="false">
      <c r="A750" s="0" t="s">
        <v>1231</v>
      </c>
      <c r="B750" s="0" t="s">
        <v>140</v>
      </c>
      <c r="C750" s="0" t="s">
        <v>630</v>
      </c>
      <c r="D750" s="0" t="s">
        <v>115</v>
      </c>
      <c r="E750" s="0" t="s">
        <v>1688</v>
      </c>
      <c r="F750" s="0" t="n">
        <v>0</v>
      </c>
      <c r="G750" s="0" t="n">
        <v>0</v>
      </c>
      <c r="H750" s="0" t="s">
        <v>117</v>
      </c>
      <c r="K750" s="0" t="s">
        <v>118</v>
      </c>
      <c r="L750" s="0" t="s">
        <v>1689</v>
      </c>
    </row>
    <row r="751" customFormat="false" ht="15" hidden="false" customHeight="false" outlineLevel="0" collapsed="false">
      <c r="A751" s="0" t="s">
        <v>1231</v>
      </c>
      <c r="B751" s="0" t="s">
        <v>140</v>
      </c>
      <c r="C751" s="0" t="s">
        <v>630</v>
      </c>
      <c r="D751" s="0" t="s">
        <v>120</v>
      </c>
      <c r="E751" s="0" t="s">
        <v>1690</v>
      </c>
      <c r="F751" s="0" t="n">
        <v>4</v>
      </c>
      <c r="G751" s="0" t="n">
        <v>0</v>
      </c>
      <c r="H751" s="0" t="s">
        <v>122</v>
      </c>
      <c r="K751" s="0" t="s">
        <v>123</v>
      </c>
      <c r="L751" s="0" t="s">
        <v>1691</v>
      </c>
    </row>
    <row r="752" customFormat="false" ht="15" hidden="false" customHeight="false" outlineLevel="0" collapsed="false">
      <c r="A752" s="0" t="s">
        <v>1231</v>
      </c>
      <c r="B752" s="0" t="s">
        <v>140</v>
      </c>
      <c r="C752" s="0" t="s">
        <v>630</v>
      </c>
      <c r="D752" s="0" t="s">
        <v>125</v>
      </c>
      <c r="E752" s="0" t="s">
        <v>1692</v>
      </c>
      <c r="F752" s="0" t="n">
        <v>4</v>
      </c>
      <c r="G752" s="0" t="n">
        <v>3</v>
      </c>
      <c r="H752" s="0" t="s">
        <v>122</v>
      </c>
      <c r="I752" s="0" t="s">
        <v>1354</v>
      </c>
      <c r="K752" s="0" t="s">
        <v>127</v>
      </c>
      <c r="L752" s="0" t="s">
        <v>1693</v>
      </c>
    </row>
    <row r="753" customFormat="false" ht="15" hidden="false" customHeight="false" outlineLevel="0" collapsed="false">
      <c r="A753" s="0" t="s">
        <v>1231</v>
      </c>
      <c r="B753" s="0" t="s">
        <v>140</v>
      </c>
      <c r="C753" s="0" t="s">
        <v>630</v>
      </c>
      <c r="D753" s="0" t="s">
        <v>53</v>
      </c>
      <c r="E753" s="0" t="s">
        <v>1694</v>
      </c>
      <c r="F753" s="0" t="n">
        <v>4</v>
      </c>
      <c r="G753" s="0" t="n">
        <v>0</v>
      </c>
      <c r="H753" s="0" t="s">
        <v>122</v>
      </c>
      <c r="K753" s="0" t="s">
        <v>132</v>
      </c>
      <c r="L753" s="0" t="s">
        <v>1695</v>
      </c>
    </row>
    <row r="754" customFormat="false" ht="15" hidden="false" customHeight="false" outlineLevel="0" collapsed="false">
      <c r="A754" s="0" t="s">
        <v>1231</v>
      </c>
      <c r="B754" s="0" t="s">
        <v>140</v>
      </c>
      <c r="C754" s="0" t="s">
        <v>630</v>
      </c>
      <c r="D754" s="0" t="s">
        <v>56</v>
      </c>
      <c r="E754" s="0" t="s">
        <v>1696</v>
      </c>
      <c r="F754" s="0" t="n">
        <v>4</v>
      </c>
      <c r="G754" s="0" t="n">
        <v>0</v>
      </c>
      <c r="H754" s="0" t="s">
        <v>122</v>
      </c>
      <c r="K754" s="0" t="s">
        <v>135</v>
      </c>
      <c r="L754" s="0" t="s">
        <v>1697</v>
      </c>
    </row>
    <row r="755" customFormat="false" ht="15" hidden="false" customHeight="false" outlineLevel="0" collapsed="false">
      <c r="A755" s="0" t="s">
        <v>1231</v>
      </c>
      <c r="B755" s="0" t="s">
        <v>140</v>
      </c>
      <c r="C755" s="0" t="s">
        <v>630</v>
      </c>
      <c r="D755" s="0" t="s">
        <v>59</v>
      </c>
      <c r="E755" s="0" t="s">
        <v>1698</v>
      </c>
      <c r="F755" s="0" t="n">
        <v>0</v>
      </c>
      <c r="G755" s="0" t="n">
        <v>0</v>
      </c>
      <c r="H755" s="0" t="s">
        <v>117</v>
      </c>
      <c r="K755" s="0" t="s">
        <v>138</v>
      </c>
      <c r="L755" s="0" t="s">
        <v>1699</v>
      </c>
    </row>
    <row r="756" customFormat="false" ht="15" hidden="false" customHeight="false" outlineLevel="0" collapsed="false">
      <c r="A756" s="0" t="s">
        <v>1231</v>
      </c>
      <c r="B756" s="0" t="s">
        <v>140</v>
      </c>
      <c r="C756" s="0" t="s">
        <v>630</v>
      </c>
      <c r="D756" s="0" t="s">
        <v>67</v>
      </c>
      <c r="E756" s="0" t="s">
        <v>1700</v>
      </c>
      <c r="F756" s="0" t="n">
        <v>4</v>
      </c>
      <c r="G756" s="0" t="n">
        <v>3</v>
      </c>
      <c r="H756" s="0" t="s">
        <v>122</v>
      </c>
      <c r="I756" s="0" t="s">
        <v>1329</v>
      </c>
      <c r="K756" s="0" t="s">
        <v>143</v>
      </c>
      <c r="L756" s="0" t="s">
        <v>1701</v>
      </c>
    </row>
    <row r="757" customFormat="false" ht="15" hidden="false" customHeight="false" outlineLevel="0" collapsed="false">
      <c r="A757" s="0" t="s">
        <v>1231</v>
      </c>
      <c r="B757" s="0" t="s">
        <v>140</v>
      </c>
      <c r="C757" s="0" t="s">
        <v>630</v>
      </c>
      <c r="D757" s="0" t="s">
        <v>70</v>
      </c>
      <c r="E757" s="0" t="s">
        <v>1702</v>
      </c>
      <c r="F757" s="0" t="n">
        <v>4</v>
      </c>
      <c r="G757" s="0" t="n">
        <v>3</v>
      </c>
      <c r="H757" s="0" t="s">
        <v>122</v>
      </c>
      <c r="I757" s="0" t="s">
        <v>1287</v>
      </c>
      <c r="K757" s="0" t="s">
        <v>146</v>
      </c>
      <c r="L757" s="0" t="s">
        <v>1703</v>
      </c>
    </row>
    <row r="758" customFormat="false" ht="15" hidden="false" customHeight="false" outlineLevel="0" collapsed="false">
      <c r="A758" s="0" t="s">
        <v>1231</v>
      </c>
      <c r="B758" s="0" t="s">
        <v>140</v>
      </c>
      <c r="C758" s="0" t="s">
        <v>630</v>
      </c>
      <c r="D758" s="0" t="s">
        <v>73</v>
      </c>
      <c r="E758" s="0" t="s">
        <v>1704</v>
      </c>
      <c r="F758" s="0" t="n">
        <v>4</v>
      </c>
      <c r="G758" s="0" t="n">
        <v>3</v>
      </c>
      <c r="H758" s="0" t="s">
        <v>122</v>
      </c>
      <c r="I758" s="0" t="s">
        <v>1417</v>
      </c>
      <c r="K758" s="0" t="s">
        <v>149</v>
      </c>
      <c r="L758" s="0" t="s">
        <v>1705</v>
      </c>
    </row>
    <row r="759" customFormat="false" ht="15" hidden="false" customHeight="false" outlineLevel="0" collapsed="false">
      <c r="A759" s="0" t="s">
        <v>1231</v>
      </c>
      <c r="B759" s="0" t="s">
        <v>140</v>
      </c>
      <c r="C759" s="0" t="s">
        <v>630</v>
      </c>
      <c r="D759" s="0" t="s">
        <v>76</v>
      </c>
      <c r="E759" s="0" t="s">
        <v>1706</v>
      </c>
      <c r="F759" s="0" t="n">
        <v>4</v>
      </c>
      <c r="G759" s="0" t="n">
        <v>4</v>
      </c>
      <c r="H759" s="0" t="s">
        <v>117</v>
      </c>
      <c r="I759" s="0" t="s">
        <v>1329</v>
      </c>
      <c r="K759" s="0" t="s">
        <v>152</v>
      </c>
      <c r="L759" s="0" t="s">
        <v>1707</v>
      </c>
    </row>
    <row r="760" customFormat="false" ht="15" hidden="false" customHeight="false" outlineLevel="0" collapsed="false">
      <c r="A760" s="0" t="s">
        <v>1231</v>
      </c>
      <c r="B760" s="0" t="s">
        <v>140</v>
      </c>
      <c r="C760" s="0" t="s">
        <v>630</v>
      </c>
      <c r="D760" s="0" t="s">
        <v>79</v>
      </c>
      <c r="E760" s="0" t="s">
        <v>1708</v>
      </c>
      <c r="F760" s="0" t="n">
        <v>4</v>
      </c>
      <c r="G760" s="0" t="n">
        <v>3</v>
      </c>
      <c r="H760" s="0" t="s">
        <v>122</v>
      </c>
      <c r="I760" s="0" t="s">
        <v>1287</v>
      </c>
      <c r="K760" s="0" t="s">
        <v>156</v>
      </c>
      <c r="L760" s="0" t="s">
        <v>1709</v>
      </c>
    </row>
    <row r="761" customFormat="false" ht="15" hidden="false" customHeight="false" outlineLevel="0" collapsed="false">
      <c r="A761" s="0" t="s">
        <v>1231</v>
      </c>
      <c r="B761" s="0" t="s">
        <v>140</v>
      </c>
      <c r="C761" s="0" t="s">
        <v>630</v>
      </c>
      <c r="D761" s="0" t="s">
        <v>82</v>
      </c>
      <c r="E761" s="0" t="s">
        <v>1710</v>
      </c>
      <c r="F761" s="0" t="n">
        <v>4</v>
      </c>
      <c r="G761" s="0" t="n">
        <v>4</v>
      </c>
      <c r="H761" s="0" t="s">
        <v>117</v>
      </c>
      <c r="I761" s="0" t="s">
        <v>1329</v>
      </c>
      <c r="K761" s="0" t="s">
        <v>160</v>
      </c>
      <c r="L761" s="0" t="s">
        <v>1711</v>
      </c>
    </row>
    <row r="762" customFormat="false" ht="15" hidden="false" customHeight="false" outlineLevel="0" collapsed="false">
      <c r="A762" s="0" t="s">
        <v>1231</v>
      </c>
      <c r="B762" s="0" t="s">
        <v>140</v>
      </c>
      <c r="C762" s="0" t="s">
        <v>655</v>
      </c>
      <c r="D762" s="0" t="s">
        <v>115</v>
      </c>
      <c r="E762" s="0" t="s">
        <v>1712</v>
      </c>
      <c r="F762" s="0" t="n">
        <v>0</v>
      </c>
      <c r="G762" s="0" t="n">
        <v>0</v>
      </c>
      <c r="H762" s="0" t="s">
        <v>117</v>
      </c>
      <c r="K762" s="0" t="s">
        <v>118</v>
      </c>
      <c r="L762" s="0" t="s">
        <v>1713</v>
      </c>
    </row>
    <row r="763" customFormat="false" ht="15" hidden="false" customHeight="false" outlineLevel="0" collapsed="false">
      <c r="A763" s="0" t="s">
        <v>1231</v>
      </c>
      <c r="B763" s="0" t="s">
        <v>140</v>
      </c>
      <c r="C763" s="0" t="s">
        <v>655</v>
      </c>
      <c r="D763" s="0" t="s">
        <v>120</v>
      </c>
      <c r="E763" s="0" t="s">
        <v>1714</v>
      </c>
      <c r="F763" s="0" t="n">
        <v>4</v>
      </c>
      <c r="G763" s="0" t="n">
        <v>4</v>
      </c>
      <c r="H763" s="0" t="s">
        <v>117</v>
      </c>
      <c r="I763" s="0" t="s">
        <v>1354</v>
      </c>
      <c r="K763" s="0" t="s">
        <v>123</v>
      </c>
      <c r="L763" s="0" t="s">
        <v>1715</v>
      </c>
    </row>
    <row r="764" customFormat="false" ht="15" hidden="false" customHeight="false" outlineLevel="0" collapsed="false">
      <c r="A764" s="0" t="s">
        <v>1231</v>
      </c>
      <c r="B764" s="0" t="s">
        <v>140</v>
      </c>
      <c r="C764" s="0" t="s">
        <v>655</v>
      </c>
      <c r="D764" s="0" t="s">
        <v>125</v>
      </c>
      <c r="E764" s="0" t="s">
        <v>1716</v>
      </c>
      <c r="F764" s="0" t="n">
        <v>4</v>
      </c>
      <c r="G764" s="0" t="n">
        <v>4</v>
      </c>
      <c r="H764" s="0" t="s">
        <v>117</v>
      </c>
      <c r="I764" s="0" t="s">
        <v>1354</v>
      </c>
      <c r="K764" s="0" t="s">
        <v>127</v>
      </c>
      <c r="L764" s="0" t="s">
        <v>1717</v>
      </c>
    </row>
    <row r="765" customFormat="false" ht="15" hidden="false" customHeight="false" outlineLevel="0" collapsed="false">
      <c r="A765" s="0" t="s">
        <v>1231</v>
      </c>
      <c r="B765" s="0" t="s">
        <v>140</v>
      </c>
      <c r="C765" s="0" t="s">
        <v>655</v>
      </c>
      <c r="D765" s="0" t="s">
        <v>53</v>
      </c>
      <c r="E765" s="0" t="s">
        <v>1718</v>
      </c>
      <c r="F765" s="0" t="n">
        <v>4</v>
      </c>
      <c r="G765" s="0" t="n">
        <v>4</v>
      </c>
      <c r="H765" s="0" t="s">
        <v>117</v>
      </c>
      <c r="I765" s="0" t="s">
        <v>1329</v>
      </c>
      <c r="K765" s="0" t="s">
        <v>132</v>
      </c>
      <c r="L765" s="0" t="s">
        <v>1719</v>
      </c>
    </row>
    <row r="766" customFormat="false" ht="15" hidden="false" customHeight="false" outlineLevel="0" collapsed="false">
      <c r="A766" s="0" t="s">
        <v>1231</v>
      </c>
      <c r="B766" s="0" t="s">
        <v>140</v>
      </c>
      <c r="C766" s="0" t="s">
        <v>655</v>
      </c>
      <c r="D766" s="0" t="s">
        <v>56</v>
      </c>
      <c r="E766" s="0" t="s">
        <v>1720</v>
      </c>
      <c r="F766" s="0" t="n">
        <v>2</v>
      </c>
      <c r="G766" s="0" t="n">
        <v>2</v>
      </c>
      <c r="H766" s="0" t="s">
        <v>117</v>
      </c>
      <c r="I766" s="0" t="s">
        <v>1721</v>
      </c>
      <c r="K766" s="0" t="s">
        <v>135</v>
      </c>
      <c r="L766" s="0" t="s">
        <v>1722</v>
      </c>
    </row>
    <row r="767" customFormat="false" ht="15" hidden="false" customHeight="false" outlineLevel="0" collapsed="false">
      <c r="A767" s="0" t="s">
        <v>1231</v>
      </c>
      <c r="B767" s="0" t="s">
        <v>140</v>
      </c>
      <c r="C767" s="0" t="s">
        <v>655</v>
      </c>
      <c r="D767" s="0" t="s">
        <v>59</v>
      </c>
      <c r="E767" s="0" t="s">
        <v>1723</v>
      </c>
      <c r="F767" s="0" t="n">
        <v>4</v>
      </c>
      <c r="G767" s="0" t="n">
        <v>4</v>
      </c>
      <c r="H767" s="0" t="s">
        <v>117</v>
      </c>
      <c r="I767" s="0" t="s">
        <v>1354</v>
      </c>
      <c r="K767" s="0" t="s">
        <v>138</v>
      </c>
      <c r="L767" s="0" t="s">
        <v>1724</v>
      </c>
    </row>
    <row r="768" customFormat="false" ht="15" hidden="false" customHeight="false" outlineLevel="0" collapsed="false">
      <c r="A768" s="0" t="s">
        <v>1231</v>
      </c>
      <c r="B768" s="0" t="s">
        <v>140</v>
      </c>
      <c r="C768" s="0" t="s">
        <v>655</v>
      </c>
      <c r="D768" s="0" t="s">
        <v>67</v>
      </c>
      <c r="E768" s="0" t="s">
        <v>1725</v>
      </c>
      <c r="F768" s="0" t="n">
        <v>4</v>
      </c>
      <c r="G768" s="0" t="n">
        <v>1</v>
      </c>
      <c r="H768" s="0" t="s">
        <v>122</v>
      </c>
      <c r="I768" s="0" t="s">
        <v>1329</v>
      </c>
      <c r="K768" s="0" t="s">
        <v>143</v>
      </c>
      <c r="L768" s="0" t="s">
        <v>1726</v>
      </c>
    </row>
    <row r="769" customFormat="false" ht="15" hidden="false" customHeight="false" outlineLevel="0" collapsed="false">
      <c r="A769" s="0" t="s">
        <v>1231</v>
      </c>
      <c r="B769" s="0" t="s">
        <v>140</v>
      </c>
      <c r="C769" s="0" t="s">
        <v>655</v>
      </c>
      <c r="D769" s="0" t="s">
        <v>70</v>
      </c>
      <c r="E769" s="0" t="s">
        <v>1727</v>
      </c>
      <c r="F769" s="0" t="n">
        <v>4</v>
      </c>
      <c r="G769" s="0" t="n">
        <v>4</v>
      </c>
      <c r="H769" s="0" t="s">
        <v>117</v>
      </c>
      <c r="I769" s="0" t="s">
        <v>1235</v>
      </c>
      <c r="K769" s="0" t="s">
        <v>146</v>
      </c>
      <c r="L769" s="0" t="s">
        <v>1728</v>
      </c>
    </row>
    <row r="770" customFormat="false" ht="15" hidden="false" customHeight="false" outlineLevel="0" collapsed="false">
      <c r="A770" s="0" t="s">
        <v>1231</v>
      </c>
      <c r="B770" s="0" t="s">
        <v>140</v>
      </c>
      <c r="C770" s="0" t="s">
        <v>655</v>
      </c>
      <c r="D770" s="0" t="s">
        <v>73</v>
      </c>
      <c r="E770" s="0" t="s">
        <v>1729</v>
      </c>
      <c r="F770" s="0" t="n">
        <v>4</v>
      </c>
      <c r="G770" s="0" t="n">
        <v>4</v>
      </c>
      <c r="H770" s="0" t="s">
        <v>117</v>
      </c>
      <c r="I770" s="0" t="s">
        <v>1329</v>
      </c>
      <c r="K770" s="0" t="s">
        <v>149</v>
      </c>
      <c r="L770" s="0" t="s">
        <v>1730</v>
      </c>
    </row>
    <row r="771" customFormat="false" ht="15" hidden="false" customHeight="false" outlineLevel="0" collapsed="false">
      <c r="A771" s="0" t="s">
        <v>1231</v>
      </c>
      <c r="B771" s="0" t="s">
        <v>140</v>
      </c>
      <c r="C771" s="0" t="s">
        <v>655</v>
      </c>
      <c r="D771" s="0" t="s">
        <v>76</v>
      </c>
      <c r="E771" s="0" t="s">
        <v>1731</v>
      </c>
      <c r="F771" s="0" t="n">
        <v>4</v>
      </c>
      <c r="G771" s="0" t="n">
        <v>3</v>
      </c>
      <c r="H771" s="0" t="s">
        <v>122</v>
      </c>
      <c r="I771" s="0" t="s">
        <v>1235</v>
      </c>
      <c r="K771" s="0" t="s">
        <v>152</v>
      </c>
      <c r="L771" s="0" t="s">
        <v>1732</v>
      </c>
    </row>
    <row r="772" customFormat="false" ht="15" hidden="false" customHeight="false" outlineLevel="0" collapsed="false">
      <c r="A772" s="0" t="s">
        <v>1231</v>
      </c>
      <c r="B772" s="0" t="s">
        <v>140</v>
      </c>
      <c r="C772" s="0" t="s">
        <v>655</v>
      </c>
      <c r="D772" s="0" t="s">
        <v>79</v>
      </c>
      <c r="E772" s="0" t="s">
        <v>1733</v>
      </c>
      <c r="F772" s="0" t="n">
        <v>4</v>
      </c>
      <c r="G772" s="0" t="n">
        <v>3</v>
      </c>
      <c r="H772" s="0" t="s">
        <v>122</v>
      </c>
      <c r="I772" s="0" t="s">
        <v>1354</v>
      </c>
      <c r="K772" s="0" t="s">
        <v>156</v>
      </c>
      <c r="L772" s="0" t="s">
        <v>1734</v>
      </c>
    </row>
    <row r="773" customFormat="false" ht="15" hidden="false" customHeight="false" outlineLevel="0" collapsed="false">
      <c r="A773" s="0" t="s">
        <v>1231</v>
      </c>
      <c r="B773" s="0" t="s">
        <v>140</v>
      </c>
      <c r="C773" s="0" t="s">
        <v>655</v>
      </c>
      <c r="D773" s="0" t="s">
        <v>82</v>
      </c>
      <c r="E773" s="0" t="s">
        <v>1735</v>
      </c>
      <c r="F773" s="0" t="n">
        <v>4</v>
      </c>
      <c r="G773" s="0" t="n">
        <v>4</v>
      </c>
      <c r="H773" s="0" t="s">
        <v>117</v>
      </c>
      <c r="I773" s="0" t="s">
        <v>1417</v>
      </c>
      <c r="K773" s="0" t="s">
        <v>160</v>
      </c>
      <c r="L773" s="0" t="s">
        <v>1736</v>
      </c>
    </row>
    <row r="774" customFormat="false" ht="15" hidden="false" customHeight="false" outlineLevel="0" collapsed="false">
      <c r="A774" s="0" t="s">
        <v>1231</v>
      </c>
      <c r="B774" s="0" t="s">
        <v>140</v>
      </c>
      <c r="C774" s="0" t="s">
        <v>680</v>
      </c>
      <c r="D774" s="0" t="s">
        <v>115</v>
      </c>
      <c r="E774" s="0" t="s">
        <v>1737</v>
      </c>
      <c r="F774" s="0" t="n">
        <v>0</v>
      </c>
      <c r="G774" s="0" t="n">
        <v>0</v>
      </c>
      <c r="H774" s="0" t="s">
        <v>117</v>
      </c>
      <c r="K774" s="0" t="s">
        <v>118</v>
      </c>
      <c r="L774" s="0" t="s">
        <v>1738</v>
      </c>
    </row>
    <row r="775" customFormat="false" ht="15" hidden="false" customHeight="false" outlineLevel="0" collapsed="false">
      <c r="A775" s="0" t="s">
        <v>1231</v>
      </c>
      <c r="B775" s="0" t="s">
        <v>140</v>
      </c>
      <c r="C775" s="0" t="s">
        <v>680</v>
      </c>
      <c r="D775" s="0" t="s">
        <v>120</v>
      </c>
      <c r="E775" s="0" t="s">
        <v>1739</v>
      </c>
      <c r="F775" s="0" t="n">
        <v>4</v>
      </c>
      <c r="G775" s="0" t="n">
        <v>4</v>
      </c>
      <c r="H775" s="0" t="s">
        <v>117</v>
      </c>
      <c r="I775" s="0" t="s">
        <v>1354</v>
      </c>
      <c r="K775" s="0" t="s">
        <v>123</v>
      </c>
      <c r="L775" s="0" t="s">
        <v>1740</v>
      </c>
    </row>
    <row r="776" customFormat="false" ht="15" hidden="false" customHeight="false" outlineLevel="0" collapsed="false">
      <c r="A776" s="0" t="s">
        <v>1231</v>
      </c>
      <c r="B776" s="0" t="s">
        <v>140</v>
      </c>
      <c r="C776" s="0" t="s">
        <v>680</v>
      </c>
      <c r="D776" s="0" t="s">
        <v>125</v>
      </c>
      <c r="E776" s="0" t="s">
        <v>1741</v>
      </c>
      <c r="F776" s="0" t="n">
        <v>4</v>
      </c>
      <c r="G776" s="0" t="n">
        <v>4</v>
      </c>
      <c r="H776" s="0" t="s">
        <v>117</v>
      </c>
      <c r="I776" s="0" t="s">
        <v>1235</v>
      </c>
      <c r="K776" s="0" t="s">
        <v>127</v>
      </c>
      <c r="L776" s="0" t="s">
        <v>1742</v>
      </c>
    </row>
    <row r="777" customFormat="false" ht="15" hidden="false" customHeight="false" outlineLevel="0" collapsed="false">
      <c r="A777" s="0" t="s">
        <v>1231</v>
      </c>
      <c r="B777" s="0" t="s">
        <v>140</v>
      </c>
      <c r="C777" s="0" t="s">
        <v>680</v>
      </c>
      <c r="D777" s="0" t="s">
        <v>53</v>
      </c>
      <c r="E777" s="0" t="s">
        <v>1743</v>
      </c>
      <c r="F777" s="0" t="n">
        <v>4</v>
      </c>
      <c r="G777" s="0" t="n">
        <v>4</v>
      </c>
      <c r="H777" s="0" t="s">
        <v>117</v>
      </c>
      <c r="I777" s="0" t="s">
        <v>1235</v>
      </c>
      <c r="K777" s="0" t="s">
        <v>132</v>
      </c>
      <c r="L777" s="0" t="s">
        <v>1744</v>
      </c>
    </row>
    <row r="778" customFormat="false" ht="15" hidden="false" customHeight="false" outlineLevel="0" collapsed="false">
      <c r="A778" s="0" t="s">
        <v>1231</v>
      </c>
      <c r="B778" s="0" t="s">
        <v>140</v>
      </c>
      <c r="C778" s="0" t="s">
        <v>680</v>
      </c>
      <c r="D778" s="0" t="s">
        <v>56</v>
      </c>
      <c r="E778" s="0" t="s">
        <v>1745</v>
      </c>
      <c r="F778" s="0" t="n">
        <v>4</v>
      </c>
      <c r="G778" s="0" t="n">
        <v>3</v>
      </c>
      <c r="H778" s="0" t="s">
        <v>122</v>
      </c>
      <c r="I778" s="0" t="s">
        <v>1354</v>
      </c>
      <c r="K778" s="0" t="s">
        <v>135</v>
      </c>
      <c r="L778" s="0" t="s">
        <v>1746</v>
      </c>
    </row>
    <row r="779" customFormat="false" ht="15" hidden="false" customHeight="false" outlineLevel="0" collapsed="false">
      <c r="A779" s="0" t="s">
        <v>1231</v>
      </c>
      <c r="B779" s="0" t="s">
        <v>140</v>
      </c>
      <c r="C779" s="0" t="s">
        <v>680</v>
      </c>
      <c r="D779" s="0" t="s">
        <v>59</v>
      </c>
      <c r="E779" s="0" t="s">
        <v>1747</v>
      </c>
      <c r="F779" s="0" t="n">
        <v>4</v>
      </c>
      <c r="G779" s="0" t="n">
        <v>4</v>
      </c>
      <c r="H779" s="0" t="s">
        <v>117</v>
      </c>
      <c r="I779" s="0" t="s">
        <v>1329</v>
      </c>
      <c r="K779" s="0" t="s">
        <v>138</v>
      </c>
      <c r="L779" s="0" t="s">
        <v>1748</v>
      </c>
    </row>
    <row r="780" customFormat="false" ht="15" hidden="false" customHeight="false" outlineLevel="0" collapsed="false">
      <c r="A780" s="0" t="s">
        <v>1231</v>
      </c>
      <c r="B780" s="0" t="s">
        <v>140</v>
      </c>
      <c r="C780" s="0" t="s">
        <v>680</v>
      </c>
      <c r="D780" s="0" t="s">
        <v>67</v>
      </c>
      <c r="E780" s="0" t="s">
        <v>1749</v>
      </c>
      <c r="F780" s="0" t="n">
        <v>4</v>
      </c>
      <c r="G780" s="0" t="n">
        <v>1</v>
      </c>
      <c r="H780" s="0" t="s">
        <v>122</v>
      </c>
      <c r="I780" s="0" t="s">
        <v>1680</v>
      </c>
      <c r="K780" s="0" t="s">
        <v>143</v>
      </c>
      <c r="L780" s="0" t="s">
        <v>1750</v>
      </c>
    </row>
    <row r="781" customFormat="false" ht="15" hidden="false" customHeight="false" outlineLevel="0" collapsed="false">
      <c r="A781" s="0" t="s">
        <v>1231</v>
      </c>
      <c r="B781" s="0" t="s">
        <v>140</v>
      </c>
      <c r="C781" s="0" t="s">
        <v>680</v>
      </c>
      <c r="D781" s="0" t="s">
        <v>70</v>
      </c>
      <c r="E781" s="0" t="s">
        <v>1751</v>
      </c>
      <c r="F781" s="0" t="n">
        <v>4</v>
      </c>
      <c r="G781" s="0" t="n">
        <v>3</v>
      </c>
      <c r="H781" s="0" t="s">
        <v>122</v>
      </c>
      <c r="I781" s="0" t="s">
        <v>1354</v>
      </c>
      <c r="K781" s="0" t="s">
        <v>146</v>
      </c>
      <c r="L781" s="0" t="s">
        <v>1752</v>
      </c>
    </row>
    <row r="782" customFormat="false" ht="15" hidden="false" customHeight="false" outlineLevel="0" collapsed="false">
      <c r="A782" s="0" t="s">
        <v>1231</v>
      </c>
      <c r="B782" s="0" t="s">
        <v>140</v>
      </c>
      <c r="C782" s="0" t="s">
        <v>680</v>
      </c>
      <c r="D782" s="0" t="s">
        <v>73</v>
      </c>
      <c r="E782" s="0" t="s">
        <v>1753</v>
      </c>
      <c r="F782" s="0" t="n">
        <v>4</v>
      </c>
      <c r="G782" s="0" t="n">
        <v>3</v>
      </c>
      <c r="H782" s="0" t="s">
        <v>122</v>
      </c>
      <c r="I782" s="0" t="s">
        <v>1262</v>
      </c>
      <c r="K782" s="0" t="s">
        <v>149</v>
      </c>
      <c r="L782" s="0" t="s">
        <v>1754</v>
      </c>
    </row>
    <row r="783" customFormat="false" ht="15" hidden="false" customHeight="false" outlineLevel="0" collapsed="false">
      <c r="A783" s="0" t="s">
        <v>1231</v>
      </c>
      <c r="B783" s="0" t="s">
        <v>140</v>
      </c>
      <c r="C783" s="0" t="s">
        <v>680</v>
      </c>
      <c r="D783" s="0" t="s">
        <v>76</v>
      </c>
      <c r="E783" s="0" t="s">
        <v>1755</v>
      </c>
      <c r="F783" s="0" t="n">
        <v>4</v>
      </c>
      <c r="G783" s="0" t="n">
        <v>4</v>
      </c>
      <c r="H783" s="0" t="s">
        <v>117</v>
      </c>
      <c r="I783" s="0" t="s">
        <v>1287</v>
      </c>
      <c r="K783" s="0" t="s">
        <v>152</v>
      </c>
      <c r="L783" s="0" t="s">
        <v>1756</v>
      </c>
    </row>
    <row r="784" customFormat="false" ht="15" hidden="false" customHeight="false" outlineLevel="0" collapsed="false">
      <c r="A784" s="0" t="s">
        <v>1231</v>
      </c>
      <c r="B784" s="0" t="s">
        <v>140</v>
      </c>
      <c r="C784" s="0" t="s">
        <v>680</v>
      </c>
      <c r="D784" s="0" t="s">
        <v>79</v>
      </c>
      <c r="E784" s="0" t="s">
        <v>1757</v>
      </c>
      <c r="F784" s="0" t="n">
        <v>4</v>
      </c>
      <c r="G784" s="0" t="n">
        <v>2</v>
      </c>
      <c r="H784" s="0" t="s">
        <v>122</v>
      </c>
      <c r="I784" s="0" t="s">
        <v>1287</v>
      </c>
      <c r="K784" s="0" t="s">
        <v>156</v>
      </c>
      <c r="L784" s="0" t="s">
        <v>1758</v>
      </c>
    </row>
    <row r="785" customFormat="false" ht="15" hidden="false" customHeight="false" outlineLevel="0" collapsed="false">
      <c r="A785" s="0" t="s">
        <v>1231</v>
      </c>
      <c r="B785" s="0" t="s">
        <v>140</v>
      </c>
      <c r="C785" s="0" t="s">
        <v>680</v>
      </c>
      <c r="D785" s="0" t="s">
        <v>82</v>
      </c>
      <c r="E785" s="0" t="s">
        <v>1759</v>
      </c>
      <c r="F785" s="0" t="n">
        <v>4</v>
      </c>
      <c r="G785" s="0" t="n">
        <v>3</v>
      </c>
      <c r="H785" s="0" t="s">
        <v>122</v>
      </c>
      <c r="I785" s="0" t="s">
        <v>1354</v>
      </c>
      <c r="K785" s="0" t="s">
        <v>160</v>
      </c>
      <c r="L785" s="0" t="s">
        <v>1760</v>
      </c>
    </row>
    <row r="786" customFormat="false" ht="15" hidden="false" customHeight="false" outlineLevel="0" collapsed="false">
      <c r="A786" s="0" t="s">
        <v>1231</v>
      </c>
      <c r="B786" s="0" t="s">
        <v>154</v>
      </c>
      <c r="C786" s="0" t="s">
        <v>705</v>
      </c>
      <c r="D786" s="0" t="s">
        <v>115</v>
      </c>
      <c r="E786" s="0" t="s">
        <v>1761</v>
      </c>
      <c r="F786" s="0" t="n">
        <v>0</v>
      </c>
      <c r="G786" s="0" t="n">
        <v>0</v>
      </c>
      <c r="H786" s="0" t="s">
        <v>117</v>
      </c>
      <c r="K786" s="0" t="s">
        <v>118</v>
      </c>
      <c r="L786" s="0" t="s">
        <v>1762</v>
      </c>
    </row>
    <row r="787" customFormat="false" ht="15" hidden="false" customHeight="false" outlineLevel="0" collapsed="false">
      <c r="A787" s="0" t="s">
        <v>1231</v>
      </c>
      <c r="B787" s="0" t="s">
        <v>154</v>
      </c>
      <c r="C787" s="0" t="s">
        <v>705</v>
      </c>
      <c r="D787" s="0" t="s">
        <v>120</v>
      </c>
      <c r="E787" s="0" t="s">
        <v>1763</v>
      </c>
      <c r="F787" s="0" t="n">
        <v>4</v>
      </c>
      <c r="G787" s="0" t="n">
        <v>0</v>
      </c>
      <c r="H787" s="0" t="s">
        <v>122</v>
      </c>
      <c r="K787" s="0" t="s">
        <v>123</v>
      </c>
      <c r="L787" s="0" t="s">
        <v>1764</v>
      </c>
    </row>
    <row r="788" customFormat="false" ht="15" hidden="false" customHeight="false" outlineLevel="0" collapsed="false">
      <c r="A788" s="0" t="s">
        <v>1231</v>
      </c>
      <c r="B788" s="0" t="s">
        <v>154</v>
      </c>
      <c r="C788" s="0" t="s">
        <v>705</v>
      </c>
      <c r="D788" s="0" t="s">
        <v>125</v>
      </c>
      <c r="E788" s="0" t="s">
        <v>1765</v>
      </c>
      <c r="F788" s="0" t="n">
        <v>4</v>
      </c>
      <c r="G788" s="0" t="n">
        <v>2</v>
      </c>
      <c r="H788" s="0" t="s">
        <v>122</v>
      </c>
      <c r="I788" s="0" t="s">
        <v>1417</v>
      </c>
      <c r="K788" s="0" t="s">
        <v>127</v>
      </c>
      <c r="L788" s="0" t="s">
        <v>1766</v>
      </c>
    </row>
    <row r="789" customFormat="false" ht="15" hidden="false" customHeight="false" outlineLevel="0" collapsed="false">
      <c r="A789" s="0" t="s">
        <v>1231</v>
      </c>
      <c r="B789" s="0" t="s">
        <v>154</v>
      </c>
      <c r="C789" s="0" t="s">
        <v>705</v>
      </c>
      <c r="D789" s="0" t="s">
        <v>53</v>
      </c>
      <c r="E789" s="0" t="s">
        <v>1767</v>
      </c>
      <c r="F789" s="0" t="n">
        <v>4</v>
      </c>
      <c r="G789" s="0" t="n">
        <v>0</v>
      </c>
      <c r="H789" s="0" t="s">
        <v>122</v>
      </c>
      <c r="K789" s="0" t="s">
        <v>132</v>
      </c>
      <c r="L789" s="0" t="s">
        <v>1768</v>
      </c>
    </row>
    <row r="790" customFormat="false" ht="15" hidden="false" customHeight="false" outlineLevel="0" collapsed="false">
      <c r="A790" s="0" t="s">
        <v>1231</v>
      </c>
      <c r="B790" s="0" t="s">
        <v>154</v>
      </c>
      <c r="C790" s="0" t="s">
        <v>705</v>
      </c>
      <c r="D790" s="0" t="s">
        <v>56</v>
      </c>
      <c r="E790" s="0" t="s">
        <v>1769</v>
      </c>
      <c r="F790" s="0" t="n">
        <v>4</v>
      </c>
      <c r="G790" s="0" t="n">
        <v>0</v>
      </c>
      <c r="H790" s="0" t="s">
        <v>122</v>
      </c>
      <c r="K790" s="0" t="s">
        <v>135</v>
      </c>
      <c r="L790" s="0" t="s">
        <v>1770</v>
      </c>
    </row>
    <row r="791" customFormat="false" ht="15" hidden="false" customHeight="false" outlineLevel="0" collapsed="false">
      <c r="A791" s="0" t="s">
        <v>1231</v>
      </c>
      <c r="B791" s="0" t="s">
        <v>154</v>
      </c>
      <c r="C791" s="0" t="s">
        <v>705</v>
      </c>
      <c r="D791" s="0" t="s">
        <v>59</v>
      </c>
      <c r="E791" s="0" t="s">
        <v>1771</v>
      </c>
      <c r="F791" s="0" t="n">
        <v>0</v>
      </c>
      <c r="G791" s="0" t="n">
        <v>0</v>
      </c>
      <c r="H791" s="0" t="s">
        <v>117</v>
      </c>
      <c r="K791" s="0" t="s">
        <v>138</v>
      </c>
      <c r="L791" s="0" t="s">
        <v>1772</v>
      </c>
    </row>
    <row r="792" customFormat="false" ht="15" hidden="false" customHeight="false" outlineLevel="0" collapsed="false">
      <c r="A792" s="0" t="s">
        <v>1231</v>
      </c>
      <c r="B792" s="0" t="s">
        <v>154</v>
      </c>
      <c r="C792" s="0" t="s">
        <v>705</v>
      </c>
      <c r="D792" s="0" t="s">
        <v>67</v>
      </c>
      <c r="E792" s="0" t="s">
        <v>1773</v>
      </c>
      <c r="F792" s="0" t="n">
        <v>4</v>
      </c>
      <c r="G792" s="0" t="n">
        <v>2</v>
      </c>
      <c r="H792" s="0" t="s">
        <v>122</v>
      </c>
      <c r="I792" s="0" t="s">
        <v>1235</v>
      </c>
      <c r="K792" s="0" t="s">
        <v>143</v>
      </c>
      <c r="L792" s="0" t="s">
        <v>1774</v>
      </c>
    </row>
    <row r="793" customFormat="false" ht="15" hidden="false" customHeight="false" outlineLevel="0" collapsed="false">
      <c r="A793" s="0" t="s">
        <v>1231</v>
      </c>
      <c r="B793" s="0" t="s">
        <v>154</v>
      </c>
      <c r="C793" s="0" t="s">
        <v>705</v>
      </c>
      <c r="D793" s="0" t="s">
        <v>70</v>
      </c>
      <c r="E793" s="0" t="s">
        <v>1775</v>
      </c>
      <c r="F793" s="0" t="n">
        <v>4</v>
      </c>
      <c r="G793" s="0" t="n">
        <v>3</v>
      </c>
      <c r="H793" s="0" t="s">
        <v>122</v>
      </c>
      <c r="I793" s="0" t="s">
        <v>1680</v>
      </c>
      <c r="K793" s="0" t="s">
        <v>146</v>
      </c>
      <c r="L793" s="0" t="s">
        <v>1776</v>
      </c>
    </row>
    <row r="794" customFormat="false" ht="15" hidden="false" customHeight="false" outlineLevel="0" collapsed="false">
      <c r="A794" s="0" t="s">
        <v>1231</v>
      </c>
      <c r="B794" s="0" t="s">
        <v>154</v>
      </c>
      <c r="C794" s="0" t="s">
        <v>705</v>
      </c>
      <c r="D794" s="0" t="s">
        <v>73</v>
      </c>
      <c r="E794" s="0" t="s">
        <v>1777</v>
      </c>
      <c r="F794" s="0" t="n">
        <v>4</v>
      </c>
      <c r="G794" s="0" t="n">
        <v>3</v>
      </c>
      <c r="H794" s="0" t="s">
        <v>122</v>
      </c>
      <c r="I794" s="0" t="s">
        <v>1235</v>
      </c>
      <c r="K794" s="0" t="s">
        <v>149</v>
      </c>
      <c r="L794" s="0" t="s">
        <v>1778</v>
      </c>
    </row>
    <row r="795" customFormat="false" ht="15" hidden="false" customHeight="false" outlineLevel="0" collapsed="false">
      <c r="A795" s="0" t="s">
        <v>1231</v>
      </c>
      <c r="B795" s="0" t="s">
        <v>154</v>
      </c>
      <c r="C795" s="0" t="s">
        <v>705</v>
      </c>
      <c r="D795" s="0" t="s">
        <v>76</v>
      </c>
      <c r="E795" s="0" t="s">
        <v>1779</v>
      </c>
      <c r="F795" s="0" t="n">
        <v>4</v>
      </c>
      <c r="G795" s="0" t="n">
        <v>5</v>
      </c>
      <c r="H795" s="0" t="s">
        <v>117</v>
      </c>
      <c r="I795" s="0" t="s">
        <v>1354</v>
      </c>
      <c r="K795" s="0" t="s">
        <v>152</v>
      </c>
      <c r="L795" s="0" t="s">
        <v>1780</v>
      </c>
    </row>
    <row r="796" customFormat="false" ht="15" hidden="false" customHeight="false" outlineLevel="0" collapsed="false">
      <c r="A796" s="0" t="s">
        <v>1231</v>
      </c>
      <c r="B796" s="0" t="s">
        <v>154</v>
      </c>
      <c r="C796" s="0" t="s">
        <v>705</v>
      </c>
      <c r="D796" s="0" t="s">
        <v>79</v>
      </c>
      <c r="E796" s="0" t="s">
        <v>1781</v>
      </c>
      <c r="F796" s="0" t="n">
        <v>4</v>
      </c>
      <c r="G796" s="0" t="n">
        <v>4</v>
      </c>
      <c r="H796" s="0" t="s">
        <v>117</v>
      </c>
      <c r="I796" s="0" t="s">
        <v>1629</v>
      </c>
      <c r="K796" s="0" t="s">
        <v>156</v>
      </c>
      <c r="L796" s="0" t="s">
        <v>1782</v>
      </c>
    </row>
    <row r="797" customFormat="false" ht="15" hidden="false" customHeight="false" outlineLevel="0" collapsed="false">
      <c r="A797" s="0" t="s">
        <v>1231</v>
      </c>
      <c r="B797" s="0" t="s">
        <v>154</v>
      </c>
      <c r="C797" s="0" t="s">
        <v>705</v>
      </c>
      <c r="D797" s="0" t="s">
        <v>82</v>
      </c>
      <c r="E797" s="0" t="s">
        <v>1783</v>
      </c>
      <c r="F797" s="0" t="n">
        <v>4</v>
      </c>
      <c r="G797" s="0" t="n">
        <v>4</v>
      </c>
      <c r="H797" s="0" t="s">
        <v>117</v>
      </c>
      <c r="I797" s="0" t="s">
        <v>1629</v>
      </c>
      <c r="K797" s="0" t="s">
        <v>160</v>
      </c>
      <c r="L797" s="0" t="s">
        <v>1784</v>
      </c>
    </row>
    <row r="798" customFormat="false" ht="15" hidden="false" customHeight="false" outlineLevel="0" collapsed="false">
      <c r="A798" s="0" t="s">
        <v>1231</v>
      </c>
      <c r="B798" s="0" t="s">
        <v>154</v>
      </c>
      <c r="C798" s="0" t="s">
        <v>730</v>
      </c>
      <c r="D798" s="0" t="s">
        <v>115</v>
      </c>
      <c r="E798" s="0" t="s">
        <v>1785</v>
      </c>
      <c r="F798" s="0" t="n">
        <v>0</v>
      </c>
      <c r="G798" s="0" t="n">
        <v>0</v>
      </c>
      <c r="H798" s="0" t="s">
        <v>117</v>
      </c>
      <c r="K798" s="0" t="s">
        <v>118</v>
      </c>
      <c r="L798" s="0" t="s">
        <v>1786</v>
      </c>
    </row>
    <row r="799" customFormat="false" ht="15" hidden="false" customHeight="false" outlineLevel="0" collapsed="false">
      <c r="A799" s="0" t="s">
        <v>1231</v>
      </c>
      <c r="B799" s="0" t="s">
        <v>154</v>
      </c>
      <c r="C799" s="0" t="s">
        <v>730</v>
      </c>
      <c r="D799" s="0" t="s">
        <v>120</v>
      </c>
      <c r="E799" s="0" t="s">
        <v>1787</v>
      </c>
      <c r="F799" s="0" t="n">
        <v>4</v>
      </c>
      <c r="G799" s="0" t="n">
        <v>0</v>
      </c>
      <c r="H799" s="0" t="s">
        <v>122</v>
      </c>
      <c r="K799" s="0" t="s">
        <v>123</v>
      </c>
      <c r="L799" s="0" t="s">
        <v>1788</v>
      </c>
    </row>
    <row r="800" customFormat="false" ht="15" hidden="false" customHeight="false" outlineLevel="0" collapsed="false">
      <c r="A800" s="0" t="s">
        <v>1231</v>
      </c>
      <c r="B800" s="0" t="s">
        <v>154</v>
      </c>
      <c r="C800" s="0" t="s">
        <v>730</v>
      </c>
      <c r="D800" s="0" t="s">
        <v>125</v>
      </c>
      <c r="E800" s="0" t="s">
        <v>1789</v>
      </c>
      <c r="F800" s="0" t="n">
        <v>4</v>
      </c>
      <c r="G800" s="0" t="n">
        <v>0</v>
      </c>
      <c r="H800" s="0" t="s">
        <v>122</v>
      </c>
      <c r="K800" s="0" t="s">
        <v>127</v>
      </c>
      <c r="L800" s="0" t="s">
        <v>1790</v>
      </c>
    </row>
    <row r="801" customFormat="false" ht="15" hidden="false" customHeight="false" outlineLevel="0" collapsed="false">
      <c r="A801" s="0" t="s">
        <v>1231</v>
      </c>
      <c r="B801" s="0" t="s">
        <v>154</v>
      </c>
      <c r="C801" s="0" t="s">
        <v>730</v>
      </c>
      <c r="D801" s="0" t="s">
        <v>53</v>
      </c>
      <c r="E801" s="0" t="s">
        <v>1791</v>
      </c>
      <c r="F801" s="0" t="n">
        <v>4</v>
      </c>
      <c r="G801" s="0" t="n">
        <v>0</v>
      </c>
      <c r="H801" s="0" t="s">
        <v>122</v>
      </c>
      <c r="K801" s="0" t="s">
        <v>132</v>
      </c>
      <c r="L801" s="0" t="s">
        <v>1792</v>
      </c>
    </row>
    <row r="802" customFormat="false" ht="15" hidden="false" customHeight="false" outlineLevel="0" collapsed="false">
      <c r="A802" s="0" t="s">
        <v>1231</v>
      </c>
      <c r="B802" s="0" t="s">
        <v>154</v>
      </c>
      <c r="C802" s="0" t="s">
        <v>730</v>
      </c>
      <c r="D802" s="0" t="s">
        <v>56</v>
      </c>
      <c r="E802" s="0" t="s">
        <v>1793</v>
      </c>
      <c r="F802" s="0" t="n">
        <v>4</v>
      </c>
      <c r="G802" s="0" t="n">
        <v>1</v>
      </c>
      <c r="H802" s="0" t="s">
        <v>122</v>
      </c>
      <c r="I802" s="0" t="s">
        <v>1354</v>
      </c>
      <c r="K802" s="0" t="s">
        <v>135</v>
      </c>
      <c r="L802" s="0" t="s">
        <v>1794</v>
      </c>
    </row>
    <row r="803" customFormat="false" ht="15" hidden="false" customHeight="false" outlineLevel="0" collapsed="false">
      <c r="A803" s="0" t="s">
        <v>1231</v>
      </c>
      <c r="B803" s="0" t="s">
        <v>154</v>
      </c>
      <c r="C803" s="0" t="s">
        <v>730</v>
      </c>
      <c r="D803" s="0" t="s">
        <v>59</v>
      </c>
      <c r="E803" s="0" t="s">
        <v>1795</v>
      </c>
      <c r="F803" s="0" t="n">
        <v>0</v>
      </c>
      <c r="G803" s="0" t="n">
        <v>0</v>
      </c>
      <c r="H803" s="0" t="s">
        <v>117</v>
      </c>
      <c r="K803" s="0" t="s">
        <v>138</v>
      </c>
      <c r="L803" s="0" t="s">
        <v>1796</v>
      </c>
    </row>
    <row r="804" customFormat="false" ht="15" hidden="false" customHeight="false" outlineLevel="0" collapsed="false">
      <c r="A804" s="0" t="s">
        <v>1231</v>
      </c>
      <c r="B804" s="0" t="s">
        <v>154</v>
      </c>
      <c r="C804" s="0" t="s">
        <v>730</v>
      </c>
      <c r="D804" s="0" t="s">
        <v>67</v>
      </c>
      <c r="E804" s="0" t="s">
        <v>1797</v>
      </c>
      <c r="F804" s="0" t="n">
        <v>4</v>
      </c>
      <c r="G804" s="0" t="n">
        <v>4</v>
      </c>
      <c r="H804" s="0" t="s">
        <v>117</v>
      </c>
      <c r="I804" s="0" t="s">
        <v>1354</v>
      </c>
      <c r="K804" s="0" t="s">
        <v>143</v>
      </c>
      <c r="L804" s="0" t="s">
        <v>1798</v>
      </c>
    </row>
    <row r="805" customFormat="false" ht="15" hidden="false" customHeight="false" outlineLevel="0" collapsed="false">
      <c r="A805" s="0" t="s">
        <v>1231</v>
      </c>
      <c r="B805" s="0" t="s">
        <v>154</v>
      </c>
      <c r="C805" s="0" t="s">
        <v>730</v>
      </c>
      <c r="D805" s="0" t="s">
        <v>70</v>
      </c>
      <c r="E805" s="0" t="s">
        <v>1799</v>
      </c>
      <c r="F805" s="0" t="n">
        <v>4</v>
      </c>
      <c r="G805" s="0" t="n">
        <v>2</v>
      </c>
      <c r="H805" s="0" t="s">
        <v>122</v>
      </c>
      <c r="I805" s="0" t="s">
        <v>1235</v>
      </c>
      <c r="K805" s="0" t="s">
        <v>146</v>
      </c>
      <c r="L805" s="0" t="s">
        <v>1800</v>
      </c>
    </row>
    <row r="806" customFormat="false" ht="15" hidden="false" customHeight="false" outlineLevel="0" collapsed="false">
      <c r="A806" s="0" t="s">
        <v>1231</v>
      </c>
      <c r="B806" s="0" t="s">
        <v>154</v>
      </c>
      <c r="C806" s="0" t="s">
        <v>730</v>
      </c>
      <c r="D806" s="0" t="s">
        <v>73</v>
      </c>
      <c r="E806" s="0" t="s">
        <v>1801</v>
      </c>
      <c r="F806" s="0" t="n">
        <v>4</v>
      </c>
      <c r="G806" s="0" t="n">
        <v>2</v>
      </c>
      <c r="H806" s="0" t="s">
        <v>122</v>
      </c>
      <c r="I806" s="0" t="s">
        <v>1235</v>
      </c>
      <c r="K806" s="0" t="s">
        <v>149</v>
      </c>
      <c r="L806" s="0" t="s">
        <v>1802</v>
      </c>
    </row>
    <row r="807" customFormat="false" ht="15" hidden="false" customHeight="false" outlineLevel="0" collapsed="false">
      <c r="A807" s="0" t="s">
        <v>1231</v>
      </c>
      <c r="B807" s="0" t="s">
        <v>154</v>
      </c>
      <c r="C807" s="0" t="s">
        <v>730</v>
      </c>
      <c r="D807" s="0" t="s">
        <v>76</v>
      </c>
      <c r="E807" s="0" t="s">
        <v>1803</v>
      </c>
      <c r="F807" s="0" t="n">
        <v>4</v>
      </c>
      <c r="G807" s="0" t="n">
        <v>4</v>
      </c>
      <c r="H807" s="0" t="s">
        <v>117</v>
      </c>
      <c r="I807" s="0" t="s">
        <v>1629</v>
      </c>
      <c r="K807" s="0" t="s">
        <v>152</v>
      </c>
      <c r="L807" s="0" t="s">
        <v>1804</v>
      </c>
    </row>
    <row r="808" customFormat="false" ht="15" hidden="false" customHeight="false" outlineLevel="0" collapsed="false">
      <c r="A808" s="0" t="s">
        <v>1231</v>
      </c>
      <c r="B808" s="0" t="s">
        <v>154</v>
      </c>
      <c r="C808" s="0" t="s">
        <v>730</v>
      </c>
      <c r="D808" s="0" t="s">
        <v>79</v>
      </c>
      <c r="E808" s="0" t="s">
        <v>1805</v>
      </c>
      <c r="F808" s="0" t="n">
        <v>4</v>
      </c>
      <c r="G808" s="0" t="n">
        <v>4</v>
      </c>
      <c r="H808" s="0" t="s">
        <v>117</v>
      </c>
      <c r="I808" s="0" t="s">
        <v>1354</v>
      </c>
      <c r="K808" s="0" t="s">
        <v>156</v>
      </c>
      <c r="L808" s="0" t="s">
        <v>1806</v>
      </c>
    </row>
    <row r="809" customFormat="false" ht="15" hidden="false" customHeight="false" outlineLevel="0" collapsed="false">
      <c r="A809" s="0" t="s">
        <v>1231</v>
      </c>
      <c r="B809" s="0" t="s">
        <v>154</v>
      </c>
      <c r="C809" s="0" t="s">
        <v>730</v>
      </c>
      <c r="D809" s="0" t="s">
        <v>82</v>
      </c>
      <c r="E809" s="0" t="s">
        <v>1807</v>
      </c>
      <c r="F809" s="0" t="n">
        <v>4</v>
      </c>
      <c r="G809" s="0" t="n">
        <v>1</v>
      </c>
      <c r="H809" s="0" t="s">
        <v>122</v>
      </c>
      <c r="I809" s="0" t="s">
        <v>1354</v>
      </c>
      <c r="K809" s="0" t="s">
        <v>160</v>
      </c>
      <c r="L809" s="0" t="s">
        <v>1808</v>
      </c>
    </row>
    <row r="810" customFormat="false" ht="15" hidden="false" customHeight="false" outlineLevel="0" collapsed="false">
      <c r="A810" s="0" t="s">
        <v>1231</v>
      </c>
      <c r="B810" s="0" t="s">
        <v>154</v>
      </c>
      <c r="C810" s="0" t="s">
        <v>755</v>
      </c>
      <c r="D810" s="0" t="s">
        <v>115</v>
      </c>
      <c r="E810" s="0" t="s">
        <v>1809</v>
      </c>
      <c r="F810" s="0" t="n">
        <v>0</v>
      </c>
      <c r="G810" s="0" t="n">
        <v>0</v>
      </c>
      <c r="H810" s="0" t="s">
        <v>117</v>
      </c>
      <c r="K810" s="0" t="s">
        <v>118</v>
      </c>
      <c r="L810" s="0" t="s">
        <v>1810</v>
      </c>
    </row>
    <row r="811" customFormat="false" ht="15" hidden="false" customHeight="false" outlineLevel="0" collapsed="false">
      <c r="A811" s="0" t="s">
        <v>1231</v>
      </c>
      <c r="B811" s="0" t="s">
        <v>154</v>
      </c>
      <c r="C811" s="0" t="s">
        <v>755</v>
      </c>
      <c r="D811" s="0" t="s">
        <v>120</v>
      </c>
      <c r="E811" s="0" t="s">
        <v>1811</v>
      </c>
      <c r="F811" s="0" t="n">
        <v>4</v>
      </c>
      <c r="G811" s="0" t="n">
        <v>0</v>
      </c>
      <c r="H811" s="0" t="s">
        <v>122</v>
      </c>
      <c r="K811" s="0" t="s">
        <v>123</v>
      </c>
      <c r="L811" s="0" t="s">
        <v>1812</v>
      </c>
    </row>
    <row r="812" customFormat="false" ht="15" hidden="false" customHeight="false" outlineLevel="0" collapsed="false">
      <c r="A812" s="0" t="s">
        <v>1231</v>
      </c>
      <c r="B812" s="0" t="s">
        <v>154</v>
      </c>
      <c r="C812" s="0" t="s">
        <v>755</v>
      </c>
      <c r="D812" s="0" t="s">
        <v>125</v>
      </c>
      <c r="E812" s="0" t="s">
        <v>1813</v>
      </c>
      <c r="F812" s="0" t="n">
        <v>4</v>
      </c>
      <c r="G812" s="0" t="n">
        <v>0</v>
      </c>
      <c r="H812" s="0" t="s">
        <v>122</v>
      </c>
      <c r="K812" s="0" t="s">
        <v>127</v>
      </c>
      <c r="L812" s="0" t="s">
        <v>1814</v>
      </c>
    </row>
    <row r="813" customFormat="false" ht="15" hidden="false" customHeight="false" outlineLevel="0" collapsed="false">
      <c r="A813" s="0" t="s">
        <v>1231</v>
      </c>
      <c r="B813" s="0" t="s">
        <v>154</v>
      </c>
      <c r="C813" s="0" t="s">
        <v>755</v>
      </c>
      <c r="D813" s="0" t="s">
        <v>53</v>
      </c>
      <c r="E813" s="0" t="s">
        <v>1815</v>
      </c>
      <c r="F813" s="0" t="n">
        <v>4</v>
      </c>
      <c r="G813" s="0" t="n">
        <v>0</v>
      </c>
      <c r="H813" s="0" t="s">
        <v>122</v>
      </c>
      <c r="K813" s="0" t="s">
        <v>132</v>
      </c>
      <c r="L813" s="0" t="s">
        <v>1816</v>
      </c>
    </row>
    <row r="814" customFormat="false" ht="15" hidden="false" customHeight="false" outlineLevel="0" collapsed="false">
      <c r="A814" s="0" t="s">
        <v>1231</v>
      </c>
      <c r="B814" s="0" t="s">
        <v>154</v>
      </c>
      <c r="C814" s="0" t="s">
        <v>755</v>
      </c>
      <c r="D814" s="0" t="s">
        <v>56</v>
      </c>
      <c r="E814" s="0" t="s">
        <v>1817</v>
      </c>
      <c r="F814" s="0" t="n">
        <v>4</v>
      </c>
      <c r="G814" s="0" t="n">
        <v>2</v>
      </c>
      <c r="H814" s="0" t="s">
        <v>122</v>
      </c>
      <c r="I814" s="0" t="s">
        <v>1287</v>
      </c>
      <c r="K814" s="0" t="s">
        <v>135</v>
      </c>
      <c r="L814" s="0" t="s">
        <v>1818</v>
      </c>
    </row>
    <row r="815" customFormat="false" ht="15" hidden="false" customHeight="false" outlineLevel="0" collapsed="false">
      <c r="A815" s="0" t="s">
        <v>1231</v>
      </c>
      <c r="B815" s="0" t="s">
        <v>154</v>
      </c>
      <c r="C815" s="0" t="s">
        <v>755</v>
      </c>
      <c r="D815" s="0" t="s">
        <v>59</v>
      </c>
      <c r="E815" s="0" t="s">
        <v>1819</v>
      </c>
      <c r="F815" s="0" t="n">
        <v>0</v>
      </c>
      <c r="G815" s="0" t="n">
        <v>0</v>
      </c>
      <c r="H815" s="0" t="s">
        <v>117</v>
      </c>
      <c r="K815" s="0" t="s">
        <v>138</v>
      </c>
      <c r="L815" s="0" t="s">
        <v>1820</v>
      </c>
    </row>
    <row r="816" customFormat="false" ht="15" hidden="false" customHeight="false" outlineLevel="0" collapsed="false">
      <c r="A816" s="0" t="s">
        <v>1231</v>
      </c>
      <c r="B816" s="0" t="s">
        <v>154</v>
      </c>
      <c r="C816" s="0" t="s">
        <v>755</v>
      </c>
      <c r="D816" s="0" t="s">
        <v>67</v>
      </c>
      <c r="E816" s="0" t="s">
        <v>1821</v>
      </c>
      <c r="F816" s="0" t="n">
        <v>4</v>
      </c>
      <c r="G816" s="0" t="n">
        <v>2</v>
      </c>
      <c r="H816" s="0" t="s">
        <v>122</v>
      </c>
      <c r="I816" s="0" t="s">
        <v>1235</v>
      </c>
      <c r="K816" s="0" t="s">
        <v>143</v>
      </c>
      <c r="L816" s="0" t="s">
        <v>1822</v>
      </c>
    </row>
    <row r="817" customFormat="false" ht="15" hidden="false" customHeight="false" outlineLevel="0" collapsed="false">
      <c r="A817" s="0" t="s">
        <v>1231</v>
      </c>
      <c r="B817" s="0" t="s">
        <v>154</v>
      </c>
      <c r="C817" s="0" t="s">
        <v>755</v>
      </c>
      <c r="D817" s="0" t="s">
        <v>70</v>
      </c>
      <c r="E817" s="0" t="s">
        <v>1823</v>
      </c>
      <c r="F817" s="0" t="n">
        <v>4</v>
      </c>
      <c r="G817" s="0" t="n">
        <v>2</v>
      </c>
      <c r="H817" s="0" t="s">
        <v>122</v>
      </c>
      <c r="I817" s="0" t="s">
        <v>1287</v>
      </c>
      <c r="K817" s="0" t="s">
        <v>146</v>
      </c>
      <c r="L817" s="0" t="s">
        <v>1824</v>
      </c>
    </row>
    <row r="818" customFormat="false" ht="15" hidden="false" customHeight="false" outlineLevel="0" collapsed="false">
      <c r="A818" s="0" t="s">
        <v>1231</v>
      </c>
      <c r="B818" s="0" t="s">
        <v>154</v>
      </c>
      <c r="C818" s="0" t="s">
        <v>755</v>
      </c>
      <c r="D818" s="0" t="s">
        <v>73</v>
      </c>
      <c r="E818" s="0" t="s">
        <v>1825</v>
      </c>
      <c r="F818" s="0" t="n">
        <v>4</v>
      </c>
      <c r="G818" s="0" t="n">
        <v>4</v>
      </c>
      <c r="H818" s="0" t="s">
        <v>117</v>
      </c>
      <c r="I818" s="0" t="s">
        <v>1235</v>
      </c>
      <c r="K818" s="0" t="s">
        <v>149</v>
      </c>
      <c r="L818" s="0" t="s">
        <v>1826</v>
      </c>
    </row>
    <row r="819" customFormat="false" ht="15" hidden="false" customHeight="false" outlineLevel="0" collapsed="false">
      <c r="A819" s="0" t="s">
        <v>1231</v>
      </c>
      <c r="B819" s="0" t="s">
        <v>154</v>
      </c>
      <c r="C819" s="0" t="s">
        <v>755</v>
      </c>
      <c r="D819" s="0" t="s">
        <v>76</v>
      </c>
      <c r="E819" s="0" t="s">
        <v>1827</v>
      </c>
      <c r="F819" s="0" t="n">
        <v>4</v>
      </c>
      <c r="G819" s="0" t="n">
        <v>4</v>
      </c>
      <c r="H819" s="0" t="s">
        <v>117</v>
      </c>
      <c r="I819" s="0" t="s">
        <v>1292</v>
      </c>
      <c r="K819" s="0" t="s">
        <v>152</v>
      </c>
      <c r="L819" s="0" t="s">
        <v>1828</v>
      </c>
    </row>
    <row r="820" customFormat="false" ht="15" hidden="false" customHeight="false" outlineLevel="0" collapsed="false">
      <c r="A820" s="0" t="s">
        <v>1231</v>
      </c>
      <c r="B820" s="0" t="s">
        <v>154</v>
      </c>
      <c r="C820" s="0" t="s">
        <v>755</v>
      </c>
      <c r="D820" s="0" t="s">
        <v>79</v>
      </c>
      <c r="E820" s="0" t="s">
        <v>1829</v>
      </c>
      <c r="F820" s="0" t="n">
        <v>4</v>
      </c>
      <c r="G820" s="0" t="n">
        <v>4</v>
      </c>
      <c r="H820" s="0" t="s">
        <v>117</v>
      </c>
      <c r="I820" s="0" t="s">
        <v>1329</v>
      </c>
      <c r="K820" s="0" t="s">
        <v>156</v>
      </c>
      <c r="L820" s="0" t="s">
        <v>1830</v>
      </c>
    </row>
    <row r="821" customFormat="false" ht="15" hidden="false" customHeight="false" outlineLevel="0" collapsed="false">
      <c r="A821" s="0" t="s">
        <v>1231</v>
      </c>
      <c r="B821" s="0" t="s">
        <v>154</v>
      </c>
      <c r="C821" s="0" t="s">
        <v>755</v>
      </c>
      <c r="D821" s="0" t="s">
        <v>82</v>
      </c>
      <c r="E821" s="0" t="s">
        <v>1831</v>
      </c>
      <c r="F821" s="0" t="n">
        <v>4</v>
      </c>
      <c r="G821" s="0" t="n">
        <v>4</v>
      </c>
      <c r="H821" s="0" t="s">
        <v>117</v>
      </c>
      <c r="I821" s="0" t="s">
        <v>1629</v>
      </c>
      <c r="K821" s="0" t="s">
        <v>160</v>
      </c>
      <c r="L821" s="0" t="s">
        <v>1832</v>
      </c>
    </row>
    <row r="822" customFormat="false" ht="15" hidden="false" customHeight="false" outlineLevel="0" collapsed="false">
      <c r="A822" s="0" t="s">
        <v>1231</v>
      </c>
      <c r="B822" s="0" t="s">
        <v>154</v>
      </c>
      <c r="C822" s="0" t="s">
        <v>780</v>
      </c>
      <c r="D822" s="0" t="s">
        <v>115</v>
      </c>
      <c r="E822" s="0" t="s">
        <v>1833</v>
      </c>
      <c r="F822" s="0" t="n">
        <v>0</v>
      </c>
      <c r="G822" s="0" t="n">
        <v>0</v>
      </c>
      <c r="H822" s="0" t="s">
        <v>117</v>
      </c>
      <c r="K822" s="0" t="s">
        <v>118</v>
      </c>
      <c r="L822" s="0" t="s">
        <v>1834</v>
      </c>
    </row>
    <row r="823" customFormat="false" ht="15" hidden="false" customHeight="false" outlineLevel="0" collapsed="false">
      <c r="A823" s="0" t="s">
        <v>1231</v>
      </c>
      <c r="B823" s="0" t="s">
        <v>154</v>
      </c>
      <c r="C823" s="0" t="s">
        <v>780</v>
      </c>
      <c r="D823" s="0" t="s">
        <v>120</v>
      </c>
      <c r="E823" s="0" t="s">
        <v>1835</v>
      </c>
      <c r="F823" s="0" t="n">
        <v>4</v>
      </c>
      <c r="G823" s="0" t="n">
        <v>0</v>
      </c>
      <c r="H823" s="0" t="s">
        <v>122</v>
      </c>
      <c r="K823" s="0" t="s">
        <v>123</v>
      </c>
      <c r="L823" s="0" t="s">
        <v>1836</v>
      </c>
    </row>
    <row r="824" customFormat="false" ht="15" hidden="false" customHeight="false" outlineLevel="0" collapsed="false">
      <c r="A824" s="0" t="s">
        <v>1231</v>
      </c>
      <c r="B824" s="0" t="s">
        <v>154</v>
      </c>
      <c r="C824" s="0" t="s">
        <v>780</v>
      </c>
      <c r="D824" s="0" t="s">
        <v>125</v>
      </c>
      <c r="E824" s="0" t="s">
        <v>1837</v>
      </c>
      <c r="F824" s="0" t="n">
        <v>4</v>
      </c>
      <c r="G824" s="0" t="n">
        <v>0</v>
      </c>
      <c r="H824" s="0" t="s">
        <v>122</v>
      </c>
      <c r="K824" s="0" t="s">
        <v>127</v>
      </c>
      <c r="L824" s="0" t="s">
        <v>1838</v>
      </c>
    </row>
    <row r="825" customFormat="false" ht="15" hidden="false" customHeight="false" outlineLevel="0" collapsed="false">
      <c r="A825" s="0" t="s">
        <v>1231</v>
      </c>
      <c r="B825" s="0" t="s">
        <v>154</v>
      </c>
      <c r="C825" s="0" t="s">
        <v>780</v>
      </c>
      <c r="D825" s="0" t="s">
        <v>53</v>
      </c>
      <c r="E825" s="0" t="s">
        <v>1839</v>
      </c>
      <c r="F825" s="0" t="n">
        <v>4</v>
      </c>
      <c r="G825" s="0" t="n">
        <v>0</v>
      </c>
      <c r="H825" s="0" t="s">
        <v>122</v>
      </c>
      <c r="K825" s="0" t="s">
        <v>132</v>
      </c>
      <c r="L825" s="0" t="s">
        <v>1840</v>
      </c>
    </row>
    <row r="826" customFormat="false" ht="15" hidden="false" customHeight="false" outlineLevel="0" collapsed="false">
      <c r="A826" s="0" t="s">
        <v>1231</v>
      </c>
      <c r="B826" s="0" t="s">
        <v>154</v>
      </c>
      <c r="C826" s="0" t="s">
        <v>780</v>
      </c>
      <c r="D826" s="0" t="s">
        <v>56</v>
      </c>
      <c r="E826" s="0" t="s">
        <v>1841</v>
      </c>
      <c r="F826" s="0" t="n">
        <v>4</v>
      </c>
      <c r="G826" s="0" t="n">
        <v>1</v>
      </c>
      <c r="H826" s="0" t="s">
        <v>122</v>
      </c>
      <c r="I826" s="0" t="s">
        <v>1292</v>
      </c>
      <c r="K826" s="0" t="s">
        <v>135</v>
      </c>
      <c r="L826" s="0" t="s">
        <v>1842</v>
      </c>
    </row>
    <row r="827" customFormat="false" ht="15" hidden="false" customHeight="false" outlineLevel="0" collapsed="false">
      <c r="A827" s="0" t="s">
        <v>1231</v>
      </c>
      <c r="B827" s="0" t="s">
        <v>154</v>
      </c>
      <c r="C827" s="0" t="s">
        <v>780</v>
      </c>
      <c r="D827" s="0" t="s">
        <v>59</v>
      </c>
      <c r="E827" s="0" t="s">
        <v>1843</v>
      </c>
      <c r="F827" s="0" t="n">
        <v>0</v>
      </c>
      <c r="G827" s="0" t="n">
        <v>0</v>
      </c>
      <c r="H827" s="0" t="s">
        <v>117</v>
      </c>
      <c r="K827" s="0" t="s">
        <v>138</v>
      </c>
      <c r="L827" s="0" t="s">
        <v>1844</v>
      </c>
    </row>
    <row r="828" customFormat="false" ht="15" hidden="false" customHeight="false" outlineLevel="0" collapsed="false">
      <c r="A828" s="0" t="s">
        <v>1231</v>
      </c>
      <c r="B828" s="0" t="s">
        <v>154</v>
      </c>
      <c r="C828" s="0" t="s">
        <v>780</v>
      </c>
      <c r="D828" s="0" t="s">
        <v>67</v>
      </c>
      <c r="E828" s="0" t="s">
        <v>1845</v>
      </c>
      <c r="F828" s="0" t="n">
        <v>4</v>
      </c>
      <c r="G828" s="0" t="n">
        <v>0</v>
      </c>
      <c r="H828" s="0" t="s">
        <v>122</v>
      </c>
      <c r="K828" s="0" t="s">
        <v>143</v>
      </c>
      <c r="L828" s="0" t="s">
        <v>1846</v>
      </c>
    </row>
    <row r="829" customFormat="false" ht="15" hidden="false" customHeight="false" outlineLevel="0" collapsed="false">
      <c r="A829" s="0" t="s">
        <v>1231</v>
      </c>
      <c r="B829" s="0" t="s">
        <v>154</v>
      </c>
      <c r="C829" s="0" t="s">
        <v>780</v>
      </c>
      <c r="D829" s="0" t="s">
        <v>70</v>
      </c>
      <c r="E829" s="0" t="s">
        <v>1847</v>
      </c>
      <c r="F829" s="0" t="n">
        <v>4</v>
      </c>
      <c r="G829" s="0" t="n">
        <v>4</v>
      </c>
      <c r="H829" s="0" t="s">
        <v>117</v>
      </c>
      <c r="I829" s="0" t="s">
        <v>1287</v>
      </c>
      <c r="K829" s="0" t="s">
        <v>146</v>
      </c>
      <c r="L829" s="0" t="s">
        <v>1848</v>
      </c>
    </row>
    <row r="830" customFormat="false" ht="15" hidden="false" customHeight="false" outlineLevel="0" collapsed="false">
      <c r="A830" s="0" t="s">
        <v>1231</v>
      </c>
      <c r="B830" s="0" t="s">
        <v>154</v>
      </c>
      <c r="C830" s="0" t="s">
        <v>780</v>
      </c>
      <c r="D830" s="0" t="s">
        <v>73</v>
      </c>
      <c r="E830" s="0" t="s">
        <v>1849</v>
      </c>
      <c r="F830" s="0" t="n">
        <v>4</v>
      </c>
      <c r="G830" s="0" t="n">
        <v>1</v>
      </c>
      <c r="H830" s="0" t="s">
        <v>122</v>
      </c>
      <c r="I830" s="0" t="s">
        <v>1292</v>
      </c>
      <c r="K830" s="0" t="s">
        <v>149</v>
      </c>
      <c r="L830" s="0" t="s">
        <v>1850</v>
      </c>
    </row>
    <row r="831" customFormat="false" ht="15" hidden="false" customHeight="false" outlineLevel="0" collapsed="false">
      <c r="A831" s="0" t="s">
        <v>1231</v>
      </c>
      <c r="B831" s="0" t="s">
        <v>154</v>
      </c>
      <c r="C831" s="0" t="s">
        <v>780</v>
      </c>
      <c r="D831" s="0" t="s">
        <v>76</v>
      </c>
      <c r="E831" s="0" t="s">
        <v>1851</v>
      </c>
      <c r="F831" s="0" t="n">
        <v>4</v>
      </c>
      <c r="G831" s="0" t="n">
        <v>1</v>
      </c>
      <c r="H831" s="0" t="s">
        <v>122</v>
      </c>
      <c r="I831" s="0" t="s">
        <v>1292</v>
      </c>
      <c r="K831" s="0" t="s">
        <v>152</v>
      </c>
      <c r="L831" s="0" t="s">
        <v>1852</v>
      </c>
    </row>
    <row r="832" customFormat="false" ht="15" hidden="false" customHeight="false" outlineLevel="0" collapsed="false">
      <c r="A832" s="0" t="s">
        <v>1231</v>
      </c>
      <c r="B832" s="0" t="s">
        <v>154</v>
      </c>
      <c r="C832" s="0" t="s">
        <v>780</v>
      </c>
      <c r="D832" s="0" t="s">
        <v>79</v>
      </c>
      <c r="E832" s="0" t="s">
        <v>1853</v>
      </c>
      <c r="F832" s="0" t="n">
        <v>4</v>
      </c>
      <c r="G832" s="0" t="n">
        <v>4</v>
      </c>
      <c r="H832" s="0" t="s">
        <v>117</v>
      </c>
      <c r="I832" s="0" t="s">
        <v>1287</v>
      </c>
      <c r="K832" s="0" t="s">
        <v>156</v>
      </c>
      <c r="L832" s="0" t="s">
        <v>1854</v>
      </c>
    </row>
    <row r="833" customFormat="false" ht="15" hidden="false" customHeight="false" outlineLevel="0" collapsed="false">
      <c r="A833" s="0" t="s">
        <v>1231</v>
      </c>
      <c r="B833" s="0" t="s">
        <v>154</v>
      </c>
      <c r="C833" s="0" t="s">
        <v>780</v>
      </c>
      <c r="D833" s="0" t="s">
        <v>82</v>
      </c>
      <c r="E833" s="0" t="s">
        <v>1855</v>
      </c>
      <c r="F833" s="0" t="n">
        <v>4</v>
      </c>
      <c r="G833" s="0" t="n">
        <v>4</v>
      </c>
      <c r="H833" s="0" t="s">
        <v>117</v>
      </c>
      <c r="I833" s="0" t="s">
        <v>1329</v>
      </c>
      <c r="K833" s="0" t="s">
        <v>160</v>
      </c>
      <c r="L833" s="0" t="s">
        <v>1856</v>
      </c>
    </row>
    <row r="834" customFormat="false" ht="15" hidden="false" customHeight="false" outlineLevel="0" collapsed="false">
      <c r="A834" s="0" t="s">
        <v>1231</v>
      </c>
      <c r="B834" s="0" t="s">
        <v>154</v>
      </c>
      <c r="C834" s="0" t="s">
        <v>805</v>
      </c>
      <c r="D834" s="0" t="s">
        <v>115</v>
      </c>
      <c r="E834" s="0" t="s">
        <v>1857</v>
      </c>
      <c r="F834" s="0" t="n">
        <v>0</v>
      </c>
      <c r="G834" s="0" t="n">
        <v>0</v>
      </c>
      <c r="H834" s="0" t="s">
        <v>117</v>
      </c>
      <c r="K834" s="0" t="s">
        <v>118</v>
      </c>
      <c r="L834" s="0" t="s">
        <v>1858</v>
      </c>
    </row>
    <row r="835" customFormat="false" ht="15" hidden="false" customHeight="false" outlineLevel="0" collapsed="false">
      <c r="A835" s="0" t="s">
        <v>1231</v>
      </c>
      <c r="B835" s="0" t="s">
        <v>154</v>
      </c>
      <c r="C835" s="0" t="s">
        <v>805</v>
      </c>
      <c r="D835" s="0" t="s">
        <v>120</v>
      </c>
      <c r="E835" s="0" t="s">
        <v>1859</v>
      </c>
      <c r="F835" s="0" t="n">
        <v>4</v>
      </c>
      <c r="G835" s="0" t="n">
        <v>0</v>
      </c>
      <c r="H835" s="0" t="s">
        <v>122</v>
      </c>
      <c r="K835" s="0" t="s">
        <v>123</v>
      </c>
      <c r="L835" s="0" t="s">
        <v>1860</v>
      </c>
    </row>
    <row r="836" customFormat="false" ht="15" hidden="false" customHeight="false" outlineLevel="0" collapsed="false">
      <c r="A836" s="0" t="s">
        <v>1231</v>
      </c>
      <c r="B836" s="0" t="s">
        <v>154</v>
      </c>
      <c r="C836" s="0" t="s">
        <v>805</v>
      </c>
      <c r="D836" s="0" t="s">
        <v>125</v>
      </c>
      <c r="E836" s="0" t="s">
        <v>1861</v>
      </c>
      <c r="F836" s="0" t="n">
        <v>4</v>
      </c>
      <c r="G836" s="0" t="n">
        <v>1</v>
      </c>
      <c r="H836" s="0" t="s">
        <v>122</v>
      </c>
      <c r="I836" s="0" t="s">
        <v>1680</v>
      </c>
      <c r="K836" s="0" t="s">
        <v>127</v>
      </c>
      <c r="L836" s="0" t="s">
        <v>1862</v>
      </c>
    </row>
    <row r="837" customFormat="false" ht="15" hidden="false" customHeight="false" outlineLevel="0" collapsed="false">
      <c r="A837" s="0" t="s">
        <v>1231</v>
      </c>
      <c r="B837" s="0" t="s">
        <v>154</v>
      </c>
      <c r="C837" s="0" t="s">
        <v>805</v>
      </c>
      <c r="D837" s="0" t="s">
        <v>53</v>
      </c>
      <c r="E837" s="0" t="s">
        <v>1863</v>
      </c>
      <c r="F837" s="0" t="n">
        <v>4</v>
      </c>
      <c r="G837" s="0" t="n">
        <v>0</v>
      </c>
      <c r="H837" s="0" t="s">
        <v>122</v>
      </c>
      <c r="K837" s="0" t="s">
        <v>132</v>
      </c>
      <c r="L837" s="0" t="s">
        <v>1864</v>
      </c>
    </row>
    <row r="838" customFormat="false" ht="15" hidden="false" customHeight="false" outlineLevel="0" collapsed="false">
      <c r="A838" s="0" t="s">
        <v>1231</v>
      </c>
      <c r="B838" s="0" t="s">
        <v>154</v>
      </c>
      <c r="C838" s="0" t="s">
        <v>805</v>
      </c>
      <c r="D838" s="0" t="s">
        <v>56</v>
      </c>
      <c r="E838" s="0" t="s">
        <v>1865</v>
      </c>
      <c r="F838" s="0" t="n">
        <v>4</v>
      </c>
      <c r="G838" s="0" t="n">
        <v>0</v>
      </c>
      <c r="H838" s="0" t="s">
        <v>122</v>
      </c>
      <c r="K838" s="0" t="s">
        <v>135</v>
      </c>
      <c r="L838" s="0" t="s">
        <v>1866</v>
      </c>
    </row>
    <row r="839" customFormat="false" ht="15" hidden="false" customHeight="false" outlineLevel="0" collapsed="false">
      <c r="A839" s="0" t="s">
        <v>1231</v>
      </c>
      <c r="B839" s="0" t="s">
        <v>154</v>
      </c>
      <c r="C839" s="0" t="s">
        <v>805</v>
      </c>
      <c r="D839" s="0" t="s">
        <v>59</v>
      </c>
      <c r="E839" s="0" t="s">
        <v>1867</v>
      </c>
      <c r="F839" s="0" t="n">
        <v>0</v>
      </c>
      <c r="G839" s="0" t="n">
        <v>0</v>
      </c>
      <c r="H839" s="0" t="s">
        <v>117</v>
      </c>
      <c r="K839" s="0" t="s">
        <v>138</v>
      </c>
      <c r="L839" s="0" t="s">
        <v>1868</v>
      </c>
    </row>
    <row r="840" customFormat="false" ht="15" hidden="false" customHeight="false" outlineLevel="0" collapsed="false">
      <c r="A840" s="0" t="s">
        <v>1231</v>
      </c>
      <c r="B840" s="0" t="s">
        <v>154</v>
      </c>
      <c r="C840" s="0" t="s">
        <v>805</v>
      </c>
      <c r="D840" s="0" t="s">
        <v>67</v>
      </c>
      <c r="E840" s="0" t="s">
        <v>1869</v>
      </c>
      <c r="F840" s="0" t="n">
        <v>4</v>
      </c>
      <c r="G840" s="0" t="n">
        <v>4</v>
      </c>
      <c r="H840" s="0" t="s">
        <v>117</v>
      </c>
      <c r="I840" s="0" t="s">
        <v>1680</v>
      </c>
      <c r="K840" s="0" t="s">
        <v>143</v>
      </c>
      <c r="L840" s="0" t="s">
        <v>1870</v>
      </c>
    </row>
    <row r="841" customFormat="false" ht="15" hidden="false" customHeight="false" outlineLevel="0" collapsed="false">
      <c r="A841" s="0" t="s">
        <v>1231</v>
      </c>
      <c r="B841" s="0" t="s">
        <v>154</v>
      </c>
      <c r="C841" s="0" t="s">
        <v>805</v>
      </c>
      <c r="D841" s="0" t="s">
        <v>70</v>
      </c>
      <c r="E841" s="0" t="s">
        <v>1871</v>
      </c>
      <c r="F841" s="0" t="n">
        <v>4</v>
      </c>
      <c r="G841" s="0" t="n">
        <v>4</v>
      </c>
      <c r="H841" s="0" t="s">
        <v>117</v>
      </c>
      <c r="I841" s="0" t="s">
        <v>1329</v>
      </c>
      <c r="K841" s="0" t="s">
        <v>146</v>
      </c>
      <c r="L841" s="0" t="s">
        <v>1872</v>
      </c>
    </row>
    <row r="842" customFormat="false" ht="15" hidden="false" customHeight="false" outlineLevel="0" collapsed="false">
      <c r="A842" s="0" t="s">
        <v>1231</v>
      </c>
      <c r="B842" s="0" t="s">
        <v>154</v>
      </c>
      <c r="C842" s="0" t="s">
        <v>805</v>
      </c>
      <c r="D842" s="0" t="s">
        <v>73</v>
      </c>
      <c r="E842" s="0" t="s">
        <v>1873</v>
      </c>
      <c r="F842" s="0" t="n">
        <v>4</v>
      </c>
      <c r="G842" s="0" t="n">
        <v>3</v>
      </c>
      <c r="H842" s="0" t="s">
        <v>122</v>
      </c>
      <c r="I842" s="0" t="s">
        <v>1354</v>
      </c>
      <c r="K842" s="0" t="s">
        <v>149</v>
      </c>
      <c r="L842" s="0" t="s">
        <v>1874</v>
      </c>
    </row>
    <row r="843" customFormat="false" ht="15" hidden="false" customHeight="false" outlineLevel="0" collapsed="false">
      <c r="A843" s="0" t="s">
        <v>1231</v>
      </c>
      <c r="B843" s="0" t="s">
        <v>154</v>
      </c>
      <c r="C843" s="0" t="s">
        <v>805</v>
      </c>
      <c r="D843" s="0" t="s">
        <v>76</v>
      </c>
      <c r="E843" s="0" t="s">
        <v>1875</v>
      </c>
      <c r="F843" s="0" t="n">
        <v>4</v>
      </c>
      <c r="G843" s="0" t="n">
        <v>4</v>
      </c>
      <c r="H843" s="0" t="s">
        <v>117</v>
      </c>
      <c r="I843" s="0" t="s">
        <v>1680</v>
      </c>
      <c r="K843" s="0" t="s">
        <v>152</v>
      </c>
      <c r="L843" s="0" t="s">
        <v>1876</v>
      </c>
    </row>
    <row r="844" customFormat="false" ht="15" hidden="false" customHeight="false" outlineLevel="0" collapsed="false">
      <c r="A844" s="0" t="s">
        <v>1231</v>
      </c>
      <c r="B844" s="0" t="s">
        <v>154</v>
      </c>
      <c r="C844" s="0" t="s">
        <v>805</v>
      </c>
      <c r="D844" s="0" t="s">
        <v>79</v>
      </c>
      <c r="E844" s="0" t="s">
        <v>1877</v>
      </c>
      <c r="F844" s="0" t="n">
        <v>4</v>
      </c>
      <c r="G844" s="0" t="n">
        <v>4</v>
      </c>
      <c r="H844" s="0" t="s">
        <v>117</v>
      </c>
      <c r="I844" s="0" t="s">
        <v>1329</v>
      </c>
      <c r="K844" s="0" t="s">
        <v>156</v>
      </c>
      <c r="L844" s="0" t="s">
        <v>1878</v>
      </c>
    </row>
    <row r="845" customFormat="false" ht="15" hidden="false" customHeight="false" outlineLevel="0" collapsed="false">
      <c r="A845" s="0" t="s">
        <v>1231</v>
      </c>
      <c r="B845" s="0" t="s">
        <v>154</v>
      </c>
      <c r="C845" s="0" t="s">
        <v>805</v>
      </c>
      <c r="D845" s="0" t="s">
        <v>82</v>
      </c>
      <c r="E845" s="0" t="s">
        <v>1879</v>
      </c>
      <c r="F845" s="0" t="n">
        <v>4</v>
      </c>
      <c r="G845" s="0" t="n">
        <v>4</v>
      </c>
      <c r="H845" s="0" t="s">
        <v>117</v>
      </c>
      <c r="I845" s="0" t="s">
        <v>1354</v>
      </c>
      <c r="K845" s="0" t="s">
        <v>160</v>
      </c>
      <c r="L845" s="0" t="s">
        <v>1880</v>
      </c>
    </row>
    <row r="846" customFormat="false" ht="15" hidden="false" customHeight="false" outlineLevel="0" collapsed="false">
      <c r="A846" s="0" t="s">
        <v>1231</v>
      </c>
      <c r="B846" s="0" t="s">
        <v>154</v>
      </c>
      <c r="C846" s="0" t="s">
        <v>830</v>
      </c>
      <c r="D846" s="0" t="s">
        <v>115</v>
      </c>
      <c r="E846" s="0" t="s">
        <v>1881</v>
      </c>
      <c r="F846" s="0" t="n">
        <v>0</v>
      </c>
      <c r="G846" s="0" t="n">
        <v>0</v>
      </c>
      <c r="H846" s="0" t="s">
        <v>117</v>
      </c>
      <c r="K846" s="0" t="s">
        <v>118</v>
      </c>
      <c r="L846" s="0" t="s">
        <v>1882</v>
      </c>
    </row>
    <row r="847" customFormat="false" ht="15" hidden="false" customHeight="false" outlineLevel="0" collapsed="false">
      <c r="A847" s="0" t="s">
        <v>1231</v>
      </c>
      <c r="B847" s="0" t="s">
        <v>154</v>
      </c>
      <c r="C847" s="0" t="s">
        <v>830</v>
      </c>
      <c r="D847" s="0" t="s">
        <v>120</v>
      </c>
      <c r="E847" s="0" t="s">
        <v>1883</v>
      </c>
      <c r="F847" s="0" t="n">
        <v>4</v>
      </c>
      <c r="G847" s="0" t="n">
        <v>4</v>
      </c>
      <c r="H847" s="0" t="s">
        <v>117</v>
      </c>
      <c r="I847" s="0" t="s">
        <v>1417</v>
      </c>
      <c r="K847" s="0" t="s">
        <v>123</v>
      </c>
      <c r="L847" s="0" t="s">
        <v>1884</v>
      </c>
    </row>
    <row r="848" customFormat="false" ht="15" hidden="false" customHeight="false" outlineLevel="0" collapsed="false">
      <c r="A848" s="0" t="s">
        <v>1231</v>
      </c>
      <c r="B848" s="0" t="s">
        <v>154</v>
      </c>
      <c r="C848" s="0" t="s">
        <v>830</v>
      </c>
      <c r="D848" s="0" t="s">
        <v>125</v>
      </c>
      <c r="E848" s="0" t="s">
        <v>1885</v>
      </c>
      <c r="F848" s="0" t="n">
        <v>4</v>
      </c>
      <c r="G848" s="0" t="n">
        <v>4</v>
      </c>
      <c r="H848" s="0" t="s">
        <v>117</v>
      </c>
      <c r="I848" s="0" t="s">
        <v>1329</v>
      </c>
      <c r="K848" s="0" t="s">
        <v>127</v>
      </c>
      <c r="L848" s="0" t="s">
        <v>1886</v>
      </c>
    </row>
    <row r="849" customFormat="false" ht="15" hidden="false" customHeight="false" outlineLevel="0" collapsed="false">
      <c r="A849" s="0" t="s">
        <v>1231</v>
      </c>
      <c r="B849" s="0" t="s">
        <v>154</v>
      </c>
      <c r="C849" s="0" t="s">
        <v>830</v>
      </c>
      <c r="D849" s="0" t="s">
        <v>53</v>
      </c>
      <c r="E849" s="0" t="s">
        <v>1887</v>
      </c>
      <c r="F849" s="0" t="n">
        <v>4</v>
      </c>
      <c r="G849" s="0" t="n">
        <v>3</v>
      </c>
      <c r="H849" s="0" t="s">
        <v>122</v>
      </c>
      <c r="I849" s="0" t="s">
        <v>1235</v>
      </c>
      <c r="K849" s="0" t="s">
        <v>132</v>
      </c>
      <c r="L849" s="0" t="s">
        <v>1888</v>
      </c>
    </row>
    <row r="850" customFormat="false" ht="15" hidden="false" customHeight="false" outlineLevel="0" collapsed="false">
      <c r="A850" s="0" t="s">
        <v>1231</v>
      </c>
      <c r="B850" s="0" t="s">
        <v>154</v>
      </c>
      <c r="C850" s="0" t="s">
        <v>830</v>
      </c>
      <c r="D850" s="0" t="s">
        <v>56</v>
      </c>
      <c r="E850" s="0" t="s">
        <v>1889</v>
      </c>
      <c r="F850" s="0" t="n">
        <v>4</v>
      </c>
      <c r="G850" s="0" t="n">
        <v>4</v>
      </c>
      <c r="H850" s="0" t="s">
        <v>117</v>
      </c>
      <c r="I850" s="0" t="s">
        <v>1354</v>
      </c>
      <c r="K850" s="0" t="s">
        <v>135</v>
      </c>
      <c r="L850" s="0" t="s">
        <v>1890</v>
      </c>
    </row>
    <row r="851" customFormat="false" ht="15" hidden="false" customHeight="false" outlineLevel="0" collapsed="false">
      <c r="A851" s="0" t="s">
        <v>1231</v>
      </c>
      <c r="B851" s="0" t="s">
        <v>154</v>
      </c>
      <c r="C851" s="0" t="s">
        <v>830</v>
      </c>
      <c r="D851" s="0" t="s">
        <v>59</v>
      </c>
      <c r="E851" s="0" t="s">
        <v>1891</v>
      </c>
      <c r="F851" s="0" t="n">
        <v>4</v>
      </c>
      <c r="G851" s="0" t="n">
        <v>4</v>
      </c>
      <c r="H851" s="0" t="s">
        <v>117</v>
      </c>
      <c r="I851" s="0" t="s">
        <v>1329</v>
      </c>
      <c r="K851" s="0" t="s">
        <v>138</v>
      </c>
      <c r="L851" s="0" t="s">
        <v>1892</v>
      </c>
    </row>
    <row r="852" customFormat="false" ht="15" hidden="false" customHeight="false" outlineLevel="0" collapsed="false">
      <c r="A852" s="0" t="s">
        <v>1231</v>
      </c>
      <c r="B852" s="0" t="s">
        <v>154</v>
      </c>
      <c r="C852" s="0" t="s">
        <v>830</v>
      </c>
      <c r="D852" s="0" t="s">
        <v>67</v>
      </c>
      <c r="E852" s="0" t="s">
        <v>1893</v>
      </c>
      <c r="F852" s="0" t="n">
        <v>4</v>
      </c>
      <c r="G852" s="0" t="n">
        <v>4</v>
      </c>
      <c r="H852" s="0" t="s">
        <v>117</v>
      </c>
      <c r="I852" s="0" t="s">
        <v>1287</v>
      </c>
      <c r="K852" s="0" t="s">
        <v>143</v>
      </c>
      <c r="L852" s="0" t="s">
        <v>1894</v>
      </c>
    </row>
    <row r="853" customFormat="false" ht="15" hidden="false" customHeight="false" outlineLevel="0" collapsed="false">
      <c r="A853" s="0" t="s">
        <v>1231</v>
      </c>
      <c r="B853" s="0" t="s">
        <v>154</v>
      </c>
      <c r="C853" s="0" t="s">
        <v>830</v>
      </c>
      <c r="D853" s="0" t="s">
        <v>70</v>
      </c>
      <c r="E853" s="0" t="s">
        <v>1895</v>
      </c>
      <c r="F853" s="0" t="n">
        <v>4</v>
      </c>
      <c r="G853" s="0" t="n">
        <v>3</v>
      </c>
      <c r="H853" s="0" t="s">
        <v>122</v>
      </c>
      <c r="I853" s="0" t="s">
        <v>1629</v>
      </c>
      <c r="K853" s="0" t="s">
        <v>146</v>
      </c>
      <c r="L853" s="0" t="s">
        <v>1896</v>
      </c>
    </row>
    <row r="854" customFormat="false" ht="15" hidden="false" customHeight="false" outlineLevel="0" collapsed="false">
      <c r="A854" s="0" t="s">
        <v>1231</v>
      </c>
      <c r="B854" s="0" t="s">
        <v>154</v>
      </c>
      <c r="C854" s="0" t="s">
        <v>830</v>
      </c>
      <c r="D854" s="0" t="s">
        <v>73</v>
      </c>
      <c r="E854" s="0" t="s">
        <v>1897</v>
      </c>
      <c r="F854" s="0" t="n">
        <v>4</v>
      </c>
      <c r="G854" s="0" t="n">
        <v>4</v>
      </c>
      <c r="H854" s="0" t="s">
        <v>117</v>
      </c>
      <c r="I854" s="0" t="s">
        <v>1417</v>
      </c>
      <c r="K854" s="0" t="s">
        <v>149</v>
      </c>
      <c r="L854" s="0" t="s">
        <v>1898</v>
      </c>
    </row>
    <row r="855" customFormat="false" ht="15" hidden="false" customHeight="false" outlineLevel="0" collapsed="false">
      <c r="A855" s="0" t="s">
        <v>1231</v>
      </c>
      <c r="B855" s="0" t="s">
        <v>154</v>
      </c>
      <c r="C855" s="0" t="s">
        <v>830</v>
      </c>
      <c r="D855" s="0" t="s">
        <v>76</v>
      </c>
      <c r="E855" s="0" t="s">
        <v>1899</v>
      </c>
      <c r="F855" s="0" t="n">
        <v>4</v>
      </c>
      <c r="G855" s="0" t="n">
        <v>4</v>
      </c>
      <c r="H855" s="0" t="s">
        <v>117</v>
      </c>
      <c r="I855" s="0" t="s">
        <v>1354</v>
      </c>
      <c r="K855" s="0" t="s">
        <v>152</v>
      </c>
      <c r="L855" s="0" t="s">
        <v>1900</v>
      </c>
    </row>
    <row r="856" customFormat="false" ht="15" hidden="false" customHeight="false" outlineLevel="0" collapsed="false">
      <c r="A856" s="0" t="s">
        <v>1231</v>
      </c>
      <c r="B856" s="0" t="s">
        <v>154</v>
      </c>
      <c r="C856" s="0" t="s">
        <v>830</v>
      </c>
      <c r="D856" s="0" t="s">
        <v>79</v>
      </c>
      <c r="E856" s="0" t="s">
        <v>1901</v>
      </c>
      <c r="F856" s="0" t="n">
        <v>4</v>
      </c>
      <c r="G856" s="0" t="n">
        <v>1</v>
      </c>
      <c r="H856" s="0" t="s">
        <v>122</v>
      </c>
      <c r="I856" s="0" t="s">
        <v>1680</v>
      </c>
      <c r="K856" s="0" t="s">
        <v>156</v>
      </c>
      <c r="L856" s="0" t="s">
        <v>1902</v>
      </c>
    </row>
    <row r="857" customFormat="false" ht="15" hidden="false" customHeight="false" outlineLevel="0" collapsed="false">
      <c r="A857" s="0" t="s">
        <v>1231</v>
      </c>
      <c r="B857" s="0" t="s">
        <v>154</v>
      </c>
      <c r="C857" s="0" t="s">
        <v>830</v>
      </c>
      <c r="D857" s="0" t="s">
        <v>82</v>
      </c>
      <c r="E857" s="0" t="s">
        <v>1903</v>
      </c>
      <c r="F857" s="0" t="n">
        <v>4</v>
      </c>
      <c r="G857" s="0" t="n">
        <v>2</v>
      </c>
      <c r="H857" s="0" t="s">
        <v>122</v>
      </c>
      <c r="I857" s="0" t="s">
        <v>1680</v>
      </c>
      <c r="K857" s="0" t="s">
        <v>160</v>
      </c>
      <c r="L857" s="0" t="s">
        <v>1904</v>
      </c>
    </row>
    <row r="858" customFormat="false" ht="15" hidden="false" customHeight="false" outlineLevel="0" collapsed="false">
      <c r="A858" s="0" t="s">
        <v>1231</v>
      </c>
      <c r="B858" s="0" t="s">
        <v>154</v>
      </c>
      <c r="C858" s="0" t="s">
        <v>855</v>
      </c>
      <c r="D858" s="0" t="s">
        <v>115</v>
      </c>
      <c r="E858" s="0" t="s">
        <v>1905</v>
      </c>
      <c r="F858" s="0" t="n">
        <v>0</v>
      </c>
      <c r="G858" s="0" t="n">
        <v>0</v>
      </c>
      <c r="H858" s="0" t="s">
        <v>117</v>
      </c>
      <c r="K858" s="0" t="s">
        <v>118</v>
      </c>
      <c r="L858" s="0" t="s">
        <v>1906</v>
      </c>
    </row>
    <row r="859" customFormat="false" ht="15" hidden="false" customHeight="false" outlineLevel="0" collapsed="false">
      <c r="A859" s="0" t="s">
        <v>1231</v>
      </c>
      <c r="B859" s="0" t="s">
        <v>154</v>
      </c>
      <c r="C859" s="0" t="s">
        <v>855</v>
      </c>
      <c r="D859" s="0" t="s">
        <v>120</v>
      </c>
      <c r="E859" s="0" t="s">
        <v>1907</v>
      </c>
      <c r="F859" s="0" t="n">
        <v>4</v>
      </c>
      <c r="G859" s="0" t="n">
        <v>4</v>
      </c>
      <c r="H859" s="0" t="s">
        <v>117</v>
      </c>
      <c r="I859" s="0" t="s">
        <v>1235</v>
      </c>
      <c r="K859" s="0" t="s">
        <v>123</v>
      </c>
      <c r="L859" s="0" t="s">
        <v>1908</v>
      </c>
    </row>
    <row r="860" customFormat="false" ht="15" hidden="false" customHeight="false" outlineLevel="0" collapsed="false">
      <c r="A860" s="0" t="s">
        <v>1231</v>
      </c>
      <c r="B860" s="0" t="s">
        <v>154</v>
      </c>
      <c r="C860" s="0" t="s">
        <v>855</v>
      </c>
      <c r="D860" s="0" t="s">
        <v>125</v>
      </c>
      <c r="E860" s="0" t="s">
        <v>1909</v>
      </c>
      <c r="F860" s="0" t="n">
        <v>4</v>
      </c>
      <c r="G860" s="0" t="n">
        <v>4</v>
      </c>
      <c r="H860" s="0" t="s">
        <v>117</v>
      </c>
      <c r="I860" s="0" t="s">
        <v>1287</v>
      </c>
      <c r="K860" s="0" t="s">
        <v>127</v>
      </c>
      <c r="L860" s="0" t="s">
        <v>1910</v>
      </c>
    </row>
    <row r="861" customFormat="false" ht="15" hidden="false" customHeight="false" outlineLevel="0" collapsed="false">
      <c r="A861" s="0" t="s">
        <v>1231</v>
      </c>
      <c r="B861" s="0" t="s">
        <v>154</v>
      </c>
      <c r="C861" s="0" t="s">
        <v>855</v>
      </c>
      <c r="D861" s="0" t="s">
        <v>53</v>
      </c>
      <c r="E861" s="0" t="s">
        <v>1911</v>
      </c>
      <c r="F861" s="0" t="n">
        <v>4</v>
      </c>
      <c r="G861" s="0" t="n">
        <v>4</v>
      </c>
      <c r="H861" s="0" t="s">
        <v>117</v>
      </c>
      <c r="I861" s="0" t="s">
        <v>1354</v>
      </c>
      <c r="K861" s="0" t="s">
        <v>132</v>
      </c>
      <c r="L861" s="0" t="s">
        <v>1912</v>
      </c>
    </row>
    <row r="862" customFormat="false" ht="15" hidden="false" customHeight="false" outlineLevel="0" collapsed="false">
      <c r="A862" s="0" t="s">
        <v>1231</v>
      </c>
      <c r="B862" s="0" t="s">
        <v>154</v>
      </c>
      <c r="C862" s="0" t="s">
        <v>855</v>
      </c>
      <c r="D862" s="0" t="s">
        <v>56</v>
      </c>
      <c r="E862" s="0" t="s">
        <v>1913</v>
      </c>
      <c r="F862" s="0" t="n">
        <v>4</v>
      </c>
      <c r="G862" s="0" t="n">
        <v>4</v>
      </c>
      <c r="H862" s="0" t="s">
        <v>117</v>
      </c>
      <c r="I862" s="0" t="s">
        <v>1417</v>
      </c>
      <c r="K862" s="0" t="s">
        <v>135</v>
      </c>
      <c r="L862" s="0" t="s">
        <v>1914</v>
      </c>
    </row>
    <row r="863" customFormat="false" ht="15" hidden="false" customHeight="false" outlineLevel="0" collapsed="false">
      <c r="A863" s="0" t="s">
        <v>1231</v>
      </c>
      <c r="B863" s="0" t="s">
        <v>154</v>
      </c>
      <c r="C863" s="0" t="s">
        <v>855</v>
      </c>
      <c r="D863" s="0" t="s">
        <v>59</v>
      </c>
      <c r="E863" s="0" t="s">
        <v>1915</v>
      </c>
      <c r="F863" s="0" t="n">
        <v>4</v>
      </c>
      <c r="G863" s="0" t="n">
        <v>4</v>
      </c>
      <c r="H863" s="0" t="s">
        <v>117</v>
      </c>
      <c r="I863" s="0" t="s">
        <v>1287</v>
      </c>
      <c r="K863" s="0" t="s">
        <v>138</v>
      </c>
      <c r="L863" s="0" t="s">
        <v>1916</v>
      </c>
    </row>
    <row r="864" customFormat="false" ht="15" hidden="false" customHeight="false" outlineLevel="0" collapsed="false">
      <c r="A864" s="0" t="s">
        <v>1231</v>
      </c>
      <c r="B864" s="0" t="s">
        <v>154</v>
      </c>
      <c r="C864" s="0" t="s">
        <v>855</v>
      </c>
      <c r="D864" s="0" t="s">
        <v>67</v>
      </c>
      <c r="E864" s="0" t="s">
        <v>1917</v>
      </c>
      <c r="F864" s="0" t="n">
        <v>4</v>
      </c>
      <c r="G864" s="0" t="n">
        <v>4</v>
      </c>
      <c r="H864" s="0" t="s">
        <v>117</v>
      </c>
      <c r="I864" s="0" t="s">
        <v>1235</v>
      </c>
      <c r="K864" s="0" t="s">
        <v>143</v>
      </c>
      <c r="L864" s="0" t="s">
        <v>1918</v>
      </c>
    </row>
    <row r="865" customFormat="false" ht="15" hidden="false" customHeight="false" outlineLevel="0" collapsed="false">
      <c r="A865" s="0" t="s">
        <v>1231</v>
      </c>
      <c r="B865" s="0" t="s">
        <v>154</v>
      </c>
      <c r="C865" s="0" t="s">
        <v>855</v>
      </c>
      <c r="D865" s="0" t="s">
        <v>70</v>
      </c>
      <c r="E865" s="0" t="s">
        <v>1919</v>
      </c>
      <c r="F865" s="0" t="n">
        <v>4</v>
      </c>
      <c r="G865" s="0" t="n">
        <v>4</v>
      </c>
      <c r="H865" s="0" t="s">
        <v>117</v>
      </c>
      <c r="I865" s="0" t="s">
        <v>1329</v>
      </c>
      <c r="K865" s="0" t="s">
        <v>146</v>
      </c>
      <c r="L865" s="0" t="s">
        <v>1920</v>
      </c>
    </row>
    <row r="866" customFormat="false" ht="15" hidden="false" customHeight="false" outlineLevel="0" collapsed="false">
      <c r="A866" s="0" t="s">
        <v>1231</v>
      </c>
      <c r="B866" s="0" t="s">
        <v>154</v>
      </c>
      <c r="C866" s="0" t="s">
        <v>855</v>
      </c>
      <c r="D866" s="0" t="s">
        <v>73</v>
      </c>
      <c r="E866" s="0" t="s">
        <v>1921</v>
      </c>
      <c r="F866" s="0" t="n">
        <v>4</v>
      </c>
      <c r="G866" s="0" t="n">
        <v>3</v>
      </c>
      <c r="H866" s="0" t="s">
        <v>122</v>
      </c>
      <c r="I866" s="0" t="s">
        <v>1287</v>
      </c>
      <c r="K866" s="0" t="s">
        <v>149</v>
      </c>
      <c r="L866" s="0" t="s">
        <v>1922</v>
      </c>
    </row>
    <row r="867" customFormat="false" ht="15" hidden="false" customHeight="false" outlineLevel="0" collapsed="false">
      <c r="A867" s="0" t="s">
        <v>1231</v>
      </c>
      <c r="B867" s="0" t="s">
        <v>154</v>
      </c>
      <c r="C867" s="0" t="s">
        <v>855</v>
      </c>
      <c r="D867" s="0" t="s">
        <v>76</v>
      </c>
      <c r="E867" s="0" t="s">
        <v>1923</v>
      </c>
      <c r="F867" s="0" t="n">
        <v>4</v>
      </c>
      <c r="G867" s="0" t="n">
        <v>4</v>
      </c>
      <c r="H867" s="0" t="s">
        <v>117</v>
      </c>
      <c r="I867" s="0" t="s">
        <v>1329</v>
      </c>
      <c r="K867" s="0" t="s">
        <v>152</v>
      </c>
      <c r="L867" s="0" t="s">
        <v>1924</v>
      </c>
    </row>
    <row r="868" customFormat="false" ht="15" hidden="false" customHeight="false" outlineLevel="0" collapsed="false">
      <c r="A868" s="0" t="s">
        <v>1231</v>
      </c>
      <c r="B868" s="0" t="s">
        <v>154</v>
      </c>
      <c r="C868" s="0" t="s">
        <v>855</v>
      </c>
      <c r="D868" s="0" t="s">
        <v>79</v>
      </c>
      <c r="E868" s="0" t="s">
        <v>1925</v>
      </c>
      <c r="F868" s="0" t="n">
        <v>4</v>
      </c>
      <c r="G868" s="0" t="n">
        <v>4</v>
      </c>
      <c r="H868" s="0" t="s">
        <v>117</v>
      </c>
      <c r="I868" s="0" t="s">
        <v>1235</v>
      </c>
      <c r="K868" s="0" t="s">
        <v>156</v>
      </c>
      <c r="L868" s="0" t="s">
        <v>1926</v>
      </c>
    </row>
    <row r="869" customFormat="false" ht="15" hidden="false" customHeight="false" outlineLevel="0" collapsed="false">
      <c r="A869" s="0" t="s">
        <v>1231</v>
      </c>
      <c r="B869" s="0" t="s">
        <v>154</v>
      </c>
      <c r="C869" s="0" t="s">
        <v>855</v>
      </c>
      <c r="D869" s="0" t="s">
        <v>82</v>
      </c>
      <c r="E869" s="0" t="s">
        <v>1927</v>
      </c>
      <c r="F869" s="0" t="n">
        <v>4</v>
      </c>
      <c r="G869" s="0" t="n">
        <v>4</v>
      </c>
      <c r="H869" s="0" t="s">
        <v>117</v>
      </c>
      <c r="I869" s="0" t="s">
        <v>1629</v>
      </c>
      <c r="K869" s="0" t="s">
        <v>160</v>
      </c>
      <c r="L869" s="0" t="s">
        <v>1928</v>
      </c>
    </row>
    <row r="870" customFormat="false" ht="15" hidden="false" customHeight="false" outlineLevel="0" collapsed="false">
      <c r="A870" s="0" t="s">
        <v>1231</v>
      </c>
      <c r="C870" s="0" t="s">
        <v>881</v>
      </c>
      <c r="D870" s="0" t="s">
        <v>528</v>
      </c>
      <c r="E870" s="0" t="s">
        <v>882</v>
      </c>
      <c r="F870" s="0" t="n">
        <v>0</v>
      </c>
      <c r="G870" s="0" t="n">
        <v>0</v>
      </c>
      <c r="H870" s="0" t="s">
        <v>117</v>
      </c>
      <c r="K870" s="0" t="s">
        <v>118</v>
      </c>
      <c r="L870" s="0" t="s">
        <v>1929</v>
      </c>
    </row>
    <row r="871" customFormat="false" ht="15" hidden="false" customHeight="false" outlineLevel="0" collapsed="false">
      <c r="A871" s="0" t="s">
        <v>1231</v>
      </c>
      <c r="C871" s="0" t="s">
        <v>881</v>
      </c>
      <c r="D871" s="0" t="s">
        <v>531</v>
      </c>
      <c r="E871" s="0" t="s">
        <v>884</v>
      </c>
      <c r="F871" s="0" t="n">
        <v>5</v>
      </c>
      <c r="G871" s="0" t="n">
        <v>0</v>
      </c>
      <c r="H871" s="0" t="s">
        <v>122</v>
      </c>
      <c r="K871" s="0" t="s">
        <v>123</v>
      </c>
      <c r="L871" s="0" t="s">
        <v>1930</v>
      </c>
    </row>
    <row r="872" customFormat="false" ht="15" hidden="false" customHeight="false" outlineLevel="0" collapsed="false">
      <c r="A872" s="0" t="s">
        <v>1231</v>
      </c>
      <c r="C872" s="0" t="s">
        <v>881</v>
      </c>
      <c r="D872" s="0" t="s">
        <v>534</v>
      </c>
      <c r="E872" s="0" t="s">
        <v>886</v>
      </c>
      <c r="F872" s="0" t="n">
        <v>5</v>
      </c>
      <c r="G872" s="0" t="n">
        <v>0</v>
      </c>
      <c r="H872" s="0" t="s">
        <v>122</v>
      </c>
      <c r="K872" s="0" t="s">
        <v>127</v>
      </c>
      <c r="L872" s="0" t="s">
        <v>1931</v>
      </c>
    </row>
    <row r="873" customFormat="false" ht="15" hidden="false" customHeight="false" outlineLevel="0" collapsed="false">
      <c r="A873" s="0" t="s">
        <v>1231</v>
      </c>
      <c r="C873" s="0" t="s">
        <v>881</v>
      </c>
      <c r="D873" s="0" t="s">
        <v>52</v>
      </c>
      <c r="E873" s="0" t="s">
        <v>888</v>
      </c>
      <c r="F873" s="0" t="n">
        <v>5</v>
      </c>
      <c r="G873" s="0" t="n">
        <v>0</v>
      </c>
      <c r="H873" s="0" t="s">
        <v>122</v>
      </c>
      <c r="K873" s="0" t="s">
        <v>132</v>
      </c>
      <c r="L873" s="0" t="s">
        <v>1932</v>
      </c>
    </row>
    <row r="874" customFormat="false" ht="15" hidden="false" customHeight="false" outlineLevel="0" collapsed="false">
      <c r="A874" s="0" t="s">
        <v>1231</v>
      </c>
      <c r="C874" s="0" t="s">
        <v>881</v>
      </c>
      <c r="D874" s="0" t="s">
        <v>55</v>
      </c>
      <c r="E874" s="0" t="s">
        <v>890</v>
      </c>
      <c r="F874" s="0" t="n">
        <v>5</v>
      </c>
      <c r="G874" s="0" t="n">
        <v>0</v>
      </c>
      <c r="H874" s="0" t="s">
        <v>122</v>
      </c>
      <c r="K874" s="0" t="s">
        <v>135</v>
      </c>
      <c r="L874" s="0" t="s">
        <v>1933</v>
      </c>
    </row>
    <row r="875" customFormat="false" ht="15" hidden="false" customHeight="false" outlineLevel="0" collapsed="false">
      <c r="A875" s="0" t="s">
        <v>1231</v>
      </c>
      <c r="C875" s="0" t="s">
        <v>881</v>
      </c>
      <c r="D875" s="0" t="s">
        <v>58</v>
      </c>
      <c r="E875" s="0" t="s">
        <v>892</v>
      </c>
      <c r="F875" s="0" t="n">
        <v>0</v>
      </c>
      <c r="G875" s="0" t="n">
        <v>0</v>
      </c>
      <c r="H875" s="0" t="s">
        <v>117</v>
      </c>
      <c r="K875" s="0" t="s">
        <v>138</v>
      </c>
      <c r="L875" s="0" t="s">
        <v>1934</v>
      </c>
    </row>
    <row r="876" customFormat="false" ht="15" hidden="false" customHeight="false" outlineLevel="0" collapsed="false">
      <c r="A876" s="0" t="s">
        <v>1231</v>
      </c>
      <c r="C876" s="0" t="s">
        <v>881</v>
      </c>
      <c r="D876" s="0" t="s">
        <v>65</v>
      </c>
      <c r="E876" s="0" t="s">
        <v>894</v>
      </c>
      <c r="F876" s="0" t="n">
        <v>5</v>
      </c>
      <c r="G876" s="0" t="n">
        <v>0</v>
      </c>
      <c r="H876" s="0" t="s">
        <v>122</v>
      </c>
      <c r="K876" s="0" t="s">
        <v>143</v>
      </c>
      <c r="L876" s="0" t="s">
        <v>1935</v>
      </c>
    </row>
    <row r="877" customFormat="false" ht="15" hidden="false" customHeight="false" outlineLevel="0" collapsed="false">
      <c r="A877" s="0" t="s">
        <v>1231</v>
      </c>
      <c r="C877" s="0" t="s">
        <v>881</v>
      </c>
      <c r="D877" s="0" t="s">
        <v>69</v>
      </c>
      <c r="E877" s="0" t="s">
        <v>1936</v>
      </c>
      <c r="F877" s="0" t="n">
        <v>5</v>
      </c>
      <c r="G877" s="0" t="n">
        <v>0</v>
      </c>
      <c r="H877" s="0" t="s">
        <v>122</v>
      </c>
      <c r="K877" s="0" t="s">
        <v>146</v>
      </c>
      <c r="L877" s="0" t="s">
        <v>1937</v>
      </c>
    </row>
    <row r="878" customFormat="false" ht="15" hidden="false" customHeight="false" outlineLevel="0" collapsed="false">
      <c r="A878" s="0" t="s">
        <v>1231</v>
      </c>
      <c r="C878" s="0" t="s">
        <v>881</v>
      </c>
      <c r="D878" s="0" t="s">
        <v>72</v>
      </c>
      <c r="E878" s="0" t="s">
        <v>1938</v>
      </c>
      <c r="F878" s="0" t="n">
        <v>5</v>
      </c>
      <c r="G878" s="0" t="n">
        <v>0</v>
      </c>
      <c r="H878" s="0" t="s">
        <v>122</v>
      </c>
      <c r="K878" s="0" t="s">
        <v>149</v>
      </c>
      <c r="L878" s="0" t="s">
        <v>1939</v>
      </c>
    </row>
    <row r="879" customFormat="false" ht="15" hidden="false" customHeight="false" outlineLevel="0" collapsed="false">
      <c r="A879" s="0" t="s">
        <v>1231</v>
      </c>
      <c r="B879" s="0" t="s">
        <v>154</v>
      </c>
      <c r="C879" s="0" t="s">
        <v>881</v>
      </c>
      <c r="D879" s="0" t="s">
        <v>75</v>
      </c>
      <c r="E879" s="0" t="s">
        <v>900</v>
      </c>
      <c r="F879" s="0" t="n">
        <v>5</v>
      </c>
      <c r="G879" s="0" t="n">
        <v>2</v>
      </c>
      <c r="H879" s="0" t="s">
        <v>122</v>
      </c>
      <c r="I879" s="0" t="s">
        <v>1417</v>
      </c>
      <c r="K879" s="0" t="s">
        <v>152</v>
      </c>
      <c r="L879" s="0" t="s">
        <v>1940</v>
      </c>
    </row>
    <row r="880" customFormat="false" ht="15" hidden="false" customHeight="false" outlineLevel="0" collapsed="false">
      <c r="A880" s="0" t="s">
        <v>1231</v>
      </c>
      <c r="B880" s="0" t="s">
        <v>140</v>
      </c>
      <c r="C880" s="0" t="s">
        <v>881</v>
      </c>
      <c r="D880" s="0" t="s">
        <v>78</v>
      </c>
      <c r="E880" s="0" t="s">
        <v>1941</v>
      </c>
      <c r="F880" s="0" t="n">
        <v>5</v>
      </c>
      <c r="G880" s="0" t="n">
        <v>1</v>
      </c>
      <c r="H880" s="0" t="s">
        <v>122</v>
      </c>
      <c r="I880" s="0" t="s">
        <v>1262</v>
      </c>
      <c r="K880" s="0" t="s">
        <v>156</v>
      </c>
      <c r="L880" s="0" t="s">
        <v>1942</v>
      </c>
    </row>
    <row r="881" customFormat="false" ht="15" hidden="false" customHeight="false" outlineLevel="0" collapsed="false">
      <c r="A881" s="0" t="s">
        <v>1231</v>
      </c>
      <c r="C881" s="0" t="s">
        <v>881</v>
      </c>
      <c r="D881" s="0" t="s">
        <v>81</v>
      </c>
      <c r="E881" s="0" t="s">
        <v>1943</v>
      </c>
      <c r="F881" s="0" t="n">
        <v>5</v>
      </c>
      <c r="G881" s="0" t="n">
        <v>0</v>
      </c>
      <c r="H881" s="0" t="s">
        <v>122</v>
      </c>
      <c r="K881" s="0" t="s">
        <v>160</v>
      </c>
      <c r="L881" s="0" t="s">
        <v>1944</v>
      </c>
    </row>
    <row r="882" customFormat="false" ht="15" hidden="false" customHeight="false" outlineLevel="0" collapsed="false">
      <c r="A882" s="0" t="s">
        <v>1231</v>
      </c>
      <c r="C882" s="0" t="s">
        <v>906</v>
      </c>
      <c r="D882" s="0" t="s">
        <v>528</v>
      </c>
      <c r="E882" s="0" t="s">
        <v>907</v>
      </c>
      <c r="F882" s="0" t="n">
        <v>0</v>
      </c>
      <c r="G882" s="0" t="n">
        <v>0</v>
      </c>
      <c r="H882" s="0" t="s">
        <v>117</v>
      </c>
      <c r="K882" s="0" t="s">
        <v>118</v>
      </c>
      <c r="L882" s="0" t="s">
        <v>1945</v>
      </c>
    </row>
    <row r="883" customFormat="false" ht="15" hidden="false" customHeight="false" outlineLevel="0" collapsed="false">
      <c r="A883" s="0" t="s">
        <v>1231</v>
      </c>
      <c r="C883" s="0" t="s">
        <v>906</v>
      </c>
      <c r="D883" s="0" t="s">
        <v>531</v>
      </c>
      <c r="E883" s="0" t="s">
        <v>909</v>
      </c>
      <c r="F883" s="0" t="n">
        <v>5</v>
      </c>
      <c r="G883" s="0" t="n">
        <v>0</v>
      </c>
      <c r="H883" s="0" t="s">
        <v>122</v>
      </c>
      <c r="K883" s="0" t="s">
        <v>123</v>
      </c>
      <c r="L883" s="0" t="s">
        <v>1946</v>
      </c>
    </row>
    <row r="884" customFormat="false" ht="15" hidden="false" customHeight="false" outlineLevel="0" collapsed="false">
      <c r="A884" s="0" t="s">
        <v>1231</v>
      </c>
      <c r="C884" s="0" t="s">
        <v>906</v>
      </c>
      <c r="D884" s="0" t="s">
        <v>534</v>
      </c>
      <c r="E884" s="0" t="s">
        <v>911</v>
      </c>
      <c r="F884" s="0" t="n">
        <v>5</v>
      </c>
      <c r="G884" s="0" t="n">
        <v>0</v>
      </c>
      <c r="H884" s="0" t="s">
        <v>122</v>
      </c>
      <c r="K884" s="0" t="s">
        <v>127</v>
      </c>
      <c r="L884" s="0" t="s">
        <v>1947</v>
      </c>
    </row>
    <row r="885" customFormat="false" ht="15" hidden="false" customHeight="false" outlineLevel="0" collapsed="false">
      <c r="A885" s="0" t="s">
        <v>1231</v>
      </c>
      <c r="C885" s="0" t="s">
        <v>906</v>
      </c>
      <c r="D885" s="0" t="s">
        <v>52</v>
      </c>
      <c r="E885" s="0" t="s">
        <v>913</v>
      </c>
      <c r="F885" s="0" t="n">
        <v>5</v>
      </c>
      <c r="G885" s="0" t="n">
        <v>0</v>
      </c>
      <c r="H885" s="0" t="s">
        <v>122</v>
      </c>
      <c r="K885" s="0" t="s">
        <v>132</v>
      </c>
      <c r="L885" s="0" t="s">
        <v>1948</v>
      </c>
    </row>
    <row r="886" customFormat="false" ht="15" hidden="false" customHeight="false" outlineLevel="0" collapsed="false">
      <c r="A886" s="0" t="s">
        <v>1231</v>
      </c>
      <c r="C886" s="0" t="s">
        <v>906</v>
      </c>
      <c r="D886" s="0" t="s">
        <v>55</v>
      </c>
      <c r="E886" s="0" t="s">
        <v>915</v>
      </c>
      <c r="F886" s="0" t="n">
        <v>5</v>
      </c>
      <c r="G886" s="0" t="n">
        <v>0</v>
      </c>
      <c r="H886" s="0" t="s">
        <v>122</v>
      </c>
      <c r="K886" s="0" t="s">
        <v>135</v>
      </c>
      <c r="L886" s="0" t="s">
        <v>1949</v>
      </c>
    </row>
    <row r="887" customFormat="false" ht="15" hidden="false" customHeight="false" outlineLevel="0" collapsed="false">
      <c r="A887" s="0" t="s">
        <v>1231</v>
      </c>
      <c r="C887" s="0" t="s">
        <v>906</v>
      </c>
      <c r="D887" s="0" t="s">
        <v>58</v>
      </c>
      <c r="E887" s="0" t="s">
        <v>917</v>
      </c>
      <c r="F887" s="0" t="n">
        <v>0</v>
      </c>
      <c r="G887" s="0" t="n">
        <v>0</v>
      </c>
      <c r="H887" s="0" t="s">
        <v>117</v>
      </c>
      <c r="K887" s="0" t="s">
        <v>138</v>
      </c>
      <c r="L887" s="0" t="s">
        <v>1950</v>
      </c>
    </row>
    <row r="888" customFormat="false" ht="15" hidden="false" customHeight="false" outlineLevel="0" collapsed="false">
      <c r="A888" s="0" t="s">
        <v>1231</v>
      </c>
      <c r="C888" s="0" t="s">
        <v>906</v>
      </c>
      <c r="D888" s="0" t="s">
        <v>65</v>
      </c>
      <c r="E888" s="0" t="s">
        <v>919</v>
      </c>
      <c r="F888" s="0" t="n">
        <v>5</v>
      </c>
      <c r="G888" s="0" t="n">
        <v>0</v>
      </c>
      <c r="H888" s="0" t="s">
        <v>122</v>
      </c>
      <c r="K888" s="0" t="s">
        <v>143</v>
      </c>
      <c r="L888" s="0" t="s">
        <v>1951</v>
      </c>
    </row>
    <row r="889" customFormat="false" ht="15" hidden="false" customHeight="false" outlineLevel="0" collapsed="false">
      <c r="A889" s="0" t="s">
        <v>1231</v>
      </c>
      <c r="C889" s="0" t="s">
        <v>906</v>
      </c>
      <c r="D889" s="0" t="s">
        <v>69</v>
      </c>
      <c r="E889" s="0" t="s">
        <v>1952</v>
      </c>
      <c r="F889" s="0" t="n">
        <v>5</v>
      </c>
      <c r="G889" s="0" t="n">
        <v>0</v>
      </c>
      <c r="H889" s="0" t="s">
        <v>122</v>
      </c>
      <c r="K889" s="0" t="s">
        <v>146</v>
      </c>
      <c r="L889" s="0" t="s">
        <v>1953</v>
      </c>
    </row>
    <row r="890" customFormat="false" ht="15" hidden="false" customHeight="false" outlineLevel="0" collapsed="false">
      <c r="A890" s="0" t="s">
        <v>1231</v>
      </c>
      <c r="B890" s="0" t="s">
        <v>154</v>
      </c>
      <c r="C890" s="0" t="s">
        <v>906</v>
      </c>
      <c r="D890" s="0" t="s">
        <v>72</v>
      </c>
      <c r="E890" s="0" t="s">
        <v>1954</v>
      </c>
      <c r="F890" s="0" t="n">
        <v>5</v>
      </c>
      <c r="G890" s="0" t="n">
        <v>1</v>
      </c>
      <c r="H890" s="0" t="s">
        <v>122</v>
      </c>
      <c r="I890" s="0" t="s">
        <v>1629</v>
      </c>
      <c r="K890" s="0" t="s">
        <v>149</v>
      </c>
      <c r="L890" s="0" t="s">
        <v>1955</v>
      </c>
    </row>
    <row r="891" customFormat="false" ht="15" hidden="false" customHeight="false" outlineLevel="0" collapsed="false">
      <c r="A891" s="0" t="s">
        <v>1231</v>
      </c>
      <c r="C891" s="0" t="s">
        <v>906</v>
      </c>
      <c r="D891" s="0" t="s">
        <v>75</v>
      </c>
      <c r="E891" s="0" t="s">
        <v>1956</v>
      </c>
      <c r="F891" s="0" t="n">
        <v>5</v>
      </c>
      <c r="G891" s="0" t="n">
        <v>0</v>
      </c>
      <c r="H891" s="0" t="s">
        <v>122</v>
      </c>
      <c r="K891" s="0" t="s">
        <v>152</v>
      </c>
      <c r="L891" s="0" t="s">
        <v>1957</v>
      </c>
    </row>
    <row r="892" customFormat="false" ht="15" hidden="false" customHeight="false" outlineLevel="0" collapsed="false">
      <c r="A892" s="0" t="s">
        <v>1231</v>
      </c>
      <c r="B892" s="0" t="s">
        <v>154</v>
      </c>
      <c r="C892" s="0" t="s">
        <v>906</v>
      </c>
      <c r="D892" s="0" t="s">
        <v>78</v>
      </c>
      <c r="E892" s="0" t="s">
        <v>927</v>
      </c>
      <c r="F892" s="0" t="n">
        <v>5</v>
      </c>
      <c r="G892" s="0" t="n">
        <v>4</v>
      </c>
      <c r="H892" s="0" t="s">
        <v>122</v>
      </c>
      <c r="I892" s="0" t="s">
        <v>1417</v>
      </c>
      <c r="K892" s="0" t="s">
        <v>156</v>
      </c>
      <c r="L892" s="0" t="s">
        <v>1958</v>
      </c>
    </row>
    <row r="893" customFormat="false" ht="15" hidden="false" customHeight="false" outlineLevel="0" collapsed="false">
      <c r="A893" s="0" t="s">
        <v>1231</v>
      </c>
      <c r="B893" s="0" t="s">
        <v>140</v>
      </c>
      <c r="C893" s="0" t="s">
        <v>906</v>
      </c>
      <c r="D893" s="0" t="s">
        <v>81</v>
      </c>
      <c r="E893" s="0" t="s">
        <v>929</v>
      </c>
      <c r="F893" s="0" t="n">
        <v>5</v>
      </c>
      <c r="G893" s="0" t="n">
        <v>2</v>
      </c>
      <c r="H893" s="0" t="s">
        <v>122</v>
      </c>
      <c r="I893" s="0" t="s">
        <v>1629</v>
      </c>
      <c r="K893" s="0" t="s">
        <v>160</v>
      </c>
      <c r="L893" s="0" t="s">
        <v>1959</v>
      </c>
    </row>
    <row r="894" customFormat="false" ht="15" hidden="false" customHeight="false" outlineLevel="0" collapsed="false">
      <c r="A894" s="0" t="s">
        <v>1231</v>
      </c>
      <c r="C894" s="0" t="s">
        <v>931</v>
      </c>
      <c r="D894" s="0" t="s">
        <v>528</v>
      </c>
      <c r="E894" s="0" t="s">
        <v>932</v>
      </c>
      <c r="F894" s="0" t="n">
        <v>0</v>
      </c>
      <c r="G894" s="0" t="n">
        <v>0</v>
      </c>
      <c r="H894" s="0" t="s">
        <v>117</v>
      </c>
      <c r="K894" s="0" t="s">
        <v>118</v>
      </c>
      <c r="L894" s="0" t="s">
        <v>1960</v>
      </c>
    </row>
    <row r="895" customFormat="false" ht="15" hidden="false" customHeight="false" outlineLevel="0" collapsed="false">
      <c r="A895" s="0" t="s">
        <v>1231</v>
      </c>
      <c r="C895" s="0" t="s">
        <v>931</v>
      </c>
      <c r="D895" s="0" t="s">
        <v>531</v>
      </c>
      <c r="E895" s="0" t="s">
        <v>934</v>
      </c>
      <c r="F895" s="0" t="n">
        <v>5</v>
      </c>
      <c r="G895" s="0" t="n">
        <v>0</v>
      </c>
      <c r="H895" s="0" t="s">
        <v>122</v>
      </c>
      <c r="K895" s="0" t="s">
        <v>123</v>
      </c>
      <c r="L895" s="0" t="s">
        <v>1961</v>
      </c>
    </row>
    <row r="896" customFormat="false" ht="15" hidden="false" customHeight="false" outlineLevel="0" collapsed="false">
      <c r="A896" s="0" t="s">
        <v>1231</v>
      </c>
      <c r="C896" s="0" t="s">
        <v>931</v>
      </c>
      <c r="D896" s="0" t="s">
        <v>534</v>
      </c>
      <c r="E896" s="0" t="s">
        <v>936</v>
      </c>
      <c r="F896" s="0" t="n">
        <v>5</v>
      </c>
      <c r="G896" s="0" t="n">
        <v>0</v>
      </c>
      <c r="H896" s="0" t="s">
        <v>122</v>
      </c>
      <c r="K896" s="0" t="s">
        <v>127</v>
      </c>
      <c r="L896" s="0" t="s">
        <v>1962</v>
      </c>
    </row>
    <row r="897" customFormat="false" ht="15" hidden="false" customHeight="false" outlineLevel="0" collapsed="false">
      <c r="A897" s="0" t="s">
        <v>1231</v>
      </c>
      <c r="C897" s="0" t="s">
        <v>931</v>
      </c>
      <c r="D897" s="0" t="s">
        <v>52</v>
      </c>
      <c r="E897" s="0" t="s">
        <v>938</v>
      </c>
      <c r="F897" s="0" t="n">
        <v>5</v>
      </c>
      <c r="G897" s="0" t="n">
        <v>0</v>
      </c>
      <c r="H897" s="0" t="s">
        <v>122</v>
      </c>
      <c r="K897" s="0" t="s">
        <v>132</v>
      </c>
      <c r="L897" s="0" t="s">
        <v>1963</v>
      </c>
    </row>
    <row r="898" customFormat="false" ht="15" hidden="false" customHeight="false" outlineLevel="0" collapsed="false">
      <c r="A898" s="0" t="s">
        <v>1231</v>
      </c>
      <c r="C898" s="0" t="s">
        <v>931</v>
      </c>
      <c r="D898" s="0" t="s">
        <v>55</v>
      </c>
      <c r="E898" s="0" t="s">
        <v>940</v>
      </c>
      <c r="F898" s="0" t="n">
        <v>5</v>
      </c>
      <c r="G898" s="0" t="n">
        <v>0</v>
      </c>
      <c r="H898" s="0" t="s">
        <v>122</v>
      </c>
      <c r="K898" s="0" t="s">
        <v>135</v>
      </c>
      <c r="L898" s="0" t="s">
        <v>1964</v>
      </c>
    </row>
    <row r="899" customFormat="false" ht="15" hidden="false" customHeight="false" outlineLevel="0" collapsed="false">
      <c r="A899" s="0" t="s">
        <v>1231</v>
      </c>
      <c r="C899" s="0" t="s">
        <v>931</v>
      </c>
      <c r="D899" s="0" t="s">
        <v>58</v>
      </c>
      <c r="E899" s="0" t="s">
        <v>942</v>
      </c>
      <c r="F899" s="0" t="n">
        <v>0</v>
      </c>
      <c r="G899" s="0" t="n">
        <v>0</v>
      </c>
      <c r="H899" s="0" t="s">
        <v>117</v>
      </c>
      <c r="K899" s="0" t="s">
        <v>138</v>
      </c>
      <c r="L899" s="0" t="s">
        <v>1965</v>
      </c>
    </row>
    <row r="900" customFormat="false" ht="15" hidden="false" customHeight="false" outlineLevel="0" collapsed="false">
      <c r="A900" s="0" t="s">
        <v>1231</v>
      </c>
      <c r="C900" s="0" t="s">
        <v>931</v>
      </c>
      <c r="D900" s="0" t="s">
        <v>65</v>
      </c>
      <c r="E900" s="0" t="s">
        <v>1966</v>
      </c>
      <c r="F900" s="0" t="n">
        <v>5</v>
      </c>
      <c r="G900" s="0" t="n">
        <v>0</v>
      </c>
      <c r="H900" s="0" t="s">
        <v>122</v>
      </c>
      <c r="K900" s="0" t="s">
        <v>143</v>
      </c>
      <c r="L900" s="0" t="s">
        <v>1967</v>
      </c>
    </row>
    <row r="901" customFormat="false" ht="15" hidden="false" customHeight="false" outlineLevel="0" collapsed="false">
      <c r="A901" s="0" t="s">
        <v>1231</v>
      </c>
      <c r="C901" s="0" t="s">
        <v>931</v>
      </c>
      <c r="D901" s="0" t="s">
        <v>69</v>
      </c>
      <c r="E901" s="0" t="s">
        <v>946</v>
      </c>
      <c r="F901" s="0" t="n">
        <v>5</v>
      </c>
      <c r="G901" s="0" t="n">
        <v>0</v>
      </c>
      <c r="H901" s="0" t="s">
        <v>122</v>
      </c>
      <c r="K901" s="0" t="s">
        <v>146</v>
      </c>
      <c r="L901" s="0" t="s">
        <v>1968</v>
      </c>
    </row>
    <row r="902" customFormat="false" ht="15" hidden="false" customHeight="false" outlineLevel="0" collapsed="false">
      <c r="A902" s="0" t="s">
        <v>1231</v>
      </c>
      <c r="B902" s="0" t="s">
        <v>140</v>
      </c>
      <c r="C902" s="0" t="s">
        <v>931</v>
      </c>
      <c r="D902" s="0" t="s">
        <v>72</v>
      </c>
      <c r="E902" s="0" t="s">
        <v>1969</v>
      </c>
      <c r="F902" s="0" t="n">
        <v>1</v>
      </c>
      <c r="G902" s="0" t="n">
        <v>1</v>
      </c>
      <c r="H902" s="0" t="s">
        <v>117</v>
      </c>
      <c r="I902" s="0" t="s">
        <v>1292</v>
      </c>
      <c r="K902" s="0" t="s">
        <v>149</v>
      </c>
      <c r="L902" s="0" t="s">
        <v>1970</v>
      </c>
    </row>
    <row r="903" customFormat="false" ht="15" hidden="false" customHeight="false" outlineLevel="0" collapsed="false">
      <c r="A903" s="0" t="s">
        <v>1231</v>
      </c>
      <c r="B903" s="0" t="s">
        <v>154</v>
      </c>
      <c r="C903" s="0" t="s">
        <v>931</v>
      </c>
      <c r="D903" s="0" t="s">
        <v>75</v>
      </c>
      <c r="E903" s="0" t="s">
        <v>950</v>
      </c>
      <c r="F903" s="0" t="n">
        <v>5</v>
      </c>
      <c r="G903" s="0" t="n">
        <v>4</v>
      </c>
      <c r="H903" s="0" t="s">
        <v>122</v>
      </c>
      <c r="I903" s="0" t="s">
        <v>1262</v>
      </c>
      <c r="K903" s="0" t="s">
        <v>152</v>
      </c>
      <c r="L903" s="0" t="s">
        <v>1971</v>
      </c>
    </row>
    <row r="904" customFormat="false" ht="15" hidden="false" customHeight="false" outlineLevel="0" collapsed="false">
      <c r="A904" s="0" t="s">
        <v>1231</v>
      </c>
      <c r="C904" s="0" t="s">
        <v>931</v>
      </c>
      <c r="D904" s="0" t="s">
        <v>78</v>
      </c>
      <c r="E904" s="0" t="s">
        <v>1972</v>
      </c>
      <c r="F904" s="0" t="n">
        <v>5</v>
      </c>
      <c r="G904" s="0" t="n">
        <v>0</v>
      </c>
      <c r="H904" s="0" t="s">
        <v>122</v>
      </c>
      <c r="K904" s="0" t="s">
        <v>156</v>
      </c>
      <c r="L904" s="0" t="s">
        <v>1973</v>
      </c>
    </row>
    <row r="905" customFormat="false" ht="15" hidden="false" customHeight="false" outlineLevel="0" collapsed="false">
      <c r="A905" s="0" t="s">
        <v>1231</v>
      </c>
      <c r="B905" s="0" t="s">
        <v>154</v>
      </c>
      <c r="C905" s="0" t="s">
        <v>931</v>
      </c>
      <c r="D905" s="0" t="s">
        <v>81</v>
      </c>
      <c r="E905" s="0" t="s">
        <v>954</v>
      </c>
      <c r="F905" s="0" t="n">
        <v>5</v>
      </c>
      <c r="G905" s="0" t="n">
        <v>4</v>
      </c>
      <c r="H905" s="0" t="s">
        <v>122</v>
      </c>
      <c r="I905" s="0" t="s">
        <v>1292</v>
      </c>
      <c r="K905" s="0" t="s">
        <v>160</v>
      </c>
      <c r="L905" s="0" t="s">
        <v>1974</v>
      </c>
    </row>
    <row r="906" customFormat="false" ht="15" hidden="false" customHeight="false" outlineLevel="0" collapsed="false">
      <c r="A906" s="0" t="s">
        <v>1231</v>
      </c>
      <c r="C906" s="0" t="s">
        <v>956</v>
      </c>
      <c r="D906" s="0" t="s">
        <v>528</v>
      </c>
      <c r="E906" s="0" t="s">
        <v>957</v>
      </c>
      <c r="F906" s="0" t="n">
        <v>0</v>
      </c>
      <c r="G906" s="0" t="n">
        <v>0</v>
      </c>
      <c r="H906" s="0" t="s">
        <v>117</v>
      </c>
      <c r="K906" s="0" t="s">
        <v>118</v>
      </c>
      <c r="L906" s="0" t="s">
        <v>1975</v>
      </c>
    </row>
    <row r="907" customFormat="false" ht="15" hidden="false" customHeight="false" outlineLevel="0" collapsed="false">
      <c r="A907" s="0" t="s">
        <v>1231</v>
      </c>
      <c r="C907" s="0" t="s">
        <v>956</v>
      </c>
      <c r="D907" s="0" t="s">
        <v>531</v>
      </c>
      <c r="E907" s="0" t="s">
        <v>959</v>
      </c>
      <c r="F907" s="0" t="n">
        <v>5</v>
      </c>
      <c r="G907" s="0" t="n">
        <v>0</v>
      </c>
      <c r="H907" s="0" t="s">
        <v>122</v>
      </c>
      <c r="K907" s="0" t="s">
        <v>123</v>
      </c>
      <c r="L907" s="0" t="s">
        <v>1976</v>
      </c>
    </row>
    <row r="908" customFormat="false" ht="15" hidden="false" customHeight="false" outlineLevel="0" collapsed="false">
      <c r="A908" s="0" t="s">
        <v>1231</v>
      </c>
      <c r="C908" s="0" t="s">
        <v>956</v>
      </c>
      <c r="D908" s="0" t="s">
        <v>534</v>
      </c>
      <c r="E908" s="0" t="s">
        <v>961</v>
      </c>
      <c r="F908" s="0" t="n">
        <v>5</v>
      </c>
      <c r="G908" s="0" t="n">
        <v>0</v>
      </c>
      <c r="H908" s="0" t="s">
        <v>122</v>
      </c>
      <c r="K908" s="0" t="s">
        <v>127</v>
      </c>
      <c r="L908" s="0" t="s">
        <v>1977</v>
      </c>
    </row>
    <row r="909" customFormat="false" ht="15" hidden="false" customHeight="false" outlineLevel="0" collapsed="false">
      <c r="A909" s="0" t="s">
        <v>1231</v>
      </c>
      <c r="C909" s="0" t="s">
        <v>956</v>
      </c>
      <c r="D909" s="0" t="s">
        <v>52</v>
      </c>
      <c r="E909" s="0" t="s">
        <v>963</v>
      </c>
      <c r="F909" s="0" t="n">
        <v>5</v>
      </c>
      <c r="G909" s="0" t="n">
        <v>0</v>
      </c>
      <c r="H909" s="0" t="s">
        <v>122</v>
      </c>
      <c r="K909" s="0" t="s">
        <v>132</v>
      </c>
      <c r="L909" s="0" t="s">
        <v>1978</v>
      </c>
    </row>
    <row r="910" customFormat="false" ht="15" hidden="false" customHeight="false" outlineLevel="0" collapsed="false">
      <c r="A910" s="0" t="s">
        <v>1231</v>
      </c>
      <c r="C910" s="0" t="s">
        <v>956</v>
      </c>
      <c r="D910" s="0" t="s">
        <v>55</v>
      </c>
      <c r="E910" s="0" t="s">
        <v>965</v>
      </c>
      <c r="F910" s="0" t="n">
        <v>5</v>
      </c>
      <c r="G910" s="0" t="n">
        <v>0</v>
      </c>
      <c r="H910" s="0" t="s">
        <v>122</v>
      </c>
      <c r="K910" s="0" t="s">
        <v>135</v>
      </c>
      <c r="L910" s="0" t="s">
        <v>1979</v>
      </c>
    </row>
    <row r="911" customFormat="false" ht="15" hidden="false" customHeight="false" outlineLevel="0" collapsed="false">
      <c r="A911" s="0" t="s">
        <v>1231</v>
      </c>
      <c r="C911" s="0" t="s">
        <v>956</v>
      </c>
      <c r="D911" s="0" t="s">
        <v>58</v>
      </c>
      <c r="E911" s="0" t="s">
        <v>967</v>
      </c>
      <c r="F911" s="0" t="n">
        <v>0</v>
      </c>
      <c r="G911" s="0" t="n">
        <v>0</v>
      </c>
      <c r="H911" s="0" t="s">
        <v>117</v>
      </c>
      <c r="K911" s="0" t="s">
        <v>138</v>
      </c>
      <c r="L911" s="0" t="s">
        <v>1980</v>
      </c>
    </row>
    <row r="912" customFormat="false" ht="15" hidden="false" customHeight="false" outlineLevel="0" collapsed="false">
      <c r="A912" s="0" t="s">
        <v>1231</v>
      </c>
      <c r="B912" s="0" t="s">
        <v>140</v>
      </c>
      <c r="C912" s="0" t="s">
        <v>956</v>
      </c>
      <c r="D912" s="0" t="s">
        <v>65</v>
      </c>
      <c r="E912" s="0" t="s">
        <v>969</v>
      </c>
      <c r="F912" s="0" t="n">
        <v>5</v>
      </c>
      <c r="G912" s="0" t="n">
        <v>1</v>
      </c>
      <c r="H912" s="0" t="s">
        <v>122</v>
      </c>
      <c r="I912" s="0" t="s">
        <v>1292</v>
      </c>
      <c r="K912" s="0" t="s">
        <v>143</v>
      </c>
      <c r="L912" s="0" t="s">
        <v>1981</v>
      </c>
    </row>
    <row r="913" customFormat="false" ht="15" hidden="false" customHeight="false" outlineLevel="0" collapsed="false">
      <c r="A913" s="0" t="s">
        <v>1231</v>
      </c>
      <c r="C913" s="0" t="s">
        <v>956</v>
      </c>
      <c r="D913" s="0" t="s">
        <v>69</v>
      </c>
      <c r="E913" s="0" t="s">
        <v>1982</v>
      </c>
      <c r="F913" s="0" t="n">
        <v>5</v>
      </c>
      <c r="G913" s="0" t="n">
        <v>0</v>
      </c>
      <c r="H913" s="0" t="s">
        <v>122</v>
      </c>
      <c r="K913" s="0" t="s">
        <v>146</v>
      </c>
      <c r="L913" s="0" t="s">
        <v>1983</v>
      </c>
    </row>
    <row r="914" customFormat="false" ht="15" hidden="false" customHeight="false" outlineLevel="0" collapsed="false">
      <c r="A914" s="0" t="s">
        <v>1231</v>
      </c>
      <c r="C914" s="0" t="s">
        <v>956</v>
      </c>
      <c r="D914" s="0" t="s">
        <v>72</v>
      </c>
      <c r="E914" s="0" t="s">
        <v>973</v>
      </c>
      <c r="F914" s="0" t="n">
        <v>5</v>
      </c>
      <c r="G914" s="0" t="n">
        <v>0</v>
      </c>
      <c r="H914" s="0" t="s">
        <v>122</v>
      </c>
      <c r="K914" s="0" t="s">
        <v>149</v>
      </c>
      <c r="L914" s="0" t="s">
        <v>1984</v>
      </c>
    </row>
    <row r="915" customFormat="false" ht="15" hidden="false" customHeight="false" outlineLevel="0" collapsed="false">
      <c r="A915" s="0" t="s">
        <v>1231</v>
      </c>
      <c r="C915" s="0" t="s">
        <v>956</v>
      </c>
      <c r="D915" s="0" t="s">
        <v>75</v>
      </c>
      <c r="E915" s="0" t="s">
        <v>1985</v>
      </c>
      <c r="F915" s="0" t="n">
        <v>5</v>
      </c>
      <c r="G915" s="0" t="n">
        <v>0</v>
      </c>
      <c r="H915" s="0" t="s">
        <v>122</v>
      </c>
      <c r="K915" s="0" t="s">
        <v>152</v>
      </c>
      <c r="L915" s="0" t="s">
        <v>1986</v>
      </c>
    </row>
    <row r="916" customFormat="false" ht="15" hidden="false" customHeight="false" outlineLevel="0" collapsed="false">
      <c r="A916" s="0" t="s">
        <v>1231</v>
      </c>
      <c r="C916" s="0" t="s">
        <v>956</v>
      </c>
      <c r="D916" s="0" t="s">
        <v>78</v>
      </c>
      <c r="E916" s="0" t="s">
        <v>1987</v>
      </c>
      <c r="F916" s="0" t="n">
        <v>5</v>
      </c>
      <c r="G916" s="0" t="n">
        <v>0</v>
      </c>
      <c r="H916" s="0" t="s">
        <v>122</v>
      </c>
      <c r="K916" s="0" t="s">
        <v>156</v>
      </c>
      <c r="L916" s="0" t="s">
        <v>1988</v>
      </c>
    </row>
    <row r="917" customFormat="false" ht="15" hidden="false" customHeight="false" outlineLevel="0" collapsed="false">
      <c r="A917" s="0" t="s">
        <v>1231</v>
      </c>
      <c r="C917" s="0" t="s">
        <v>956</v>
      </c>
      <c r="D917" s="0" t="s">
        <v>81</v>
      </c>
      <c r="E917" s="0" t="s">
        <v>1989</v>
      </c>
      <c r="F917" s="0" t="n">
        <v>5</v>
      </c>
      <c r="G917" s="0" t="n">
        <v>0</v>
      </c>
      <c r="H917" s="0" t="s">
        <v>122</v>
      </c>
      <c r="K917" s="0" t="s">
        <v>160</v>
      </c>
      <c r="L917" s="0" t="s">
        <v>1990</v>
      </c>
    </row>
    <row r="918" customFormat="false" ht="15" hidden="false" customHeight="false" outlineLevel="0" collapsed="false">
      <c r="A918" s="0" t="s">
        <v>1231</v>
      </c>
      <c r="C918" s="0" t="s">
        <v>981</v>
      </c>
      <c r="D918" s="0" t="s">
        <v>528</v>
      </c>
      <c r="E918" s="0" t="s">
        <v>982</v>
      </c>
      <c r="F918" s="0" t="n">
        <v>0</v>
      </c>
      <c r="G918" s="0" t="n">
        <v>0</v>
      </c>
      <c r="H918" s="0" t="s">
        <v>117</v>
      </c>
      <c r="K918" s="0" t="s">
        <v>118</v>
      </c>
      <c r="L918" s="0" t="s">
        <v>1991</v>
      </c>
    </row>
    <row r="919" customFormat="false" ht="15" hidden="false" customHeight="false" outlineLevel="0" collapsed="false">
      <c r="A919" s="0" t="s">
        <v>1231</v>
      </c>
      <c r="C919" s="0" t="s">
        <v>981</v>
      </c>
      <c r="D919" s="0" t="s">
        <v>531</v>
      </c>
      <c r="E919" s="0" t="s">
        <v>984</v>
      </c>
      <c r="F919" s="0" t="n">
        <v>5</v>
      </c>
      <c r="G919" s="0" t="n">
        <v>0</v>
      </c>
      <c r="H919" s="0" t="s">
        <v>122</v>
      </c>
      <c r="K919" s="0" t="s">
        <v>123</v>
      </c>
      <c r="L919" s="0" t="s">
        <v>1992</v>
      </c>
    </row>
    <row r="920" customFormat="false" ht="15" hidden="false" customHeight="false" outlineLevel="0" collapsed="false">
      <c r="A920" s="0" t="s">
        <v>1231</v>
      </c>
      <c r="C920" s="0" t="s">
        <v>981</v>
      </c>
      <c r="D920" s="0" t="s">
        <v>534</v>
      </c>
      <c r="E920" s="0" t="s">
        <v>986</v>
      </c>
      <c r="F920" s="0" t="n">
        <v>5</v>
      </c>
      <c r="G920" s="0" t="n">
        <v>0</v>
      </c>
      <c r="H920" s="0" t="s">
        <v>122</v>
      </c>
      <c r="K920" s="0" t="s">
        <v>127</v>
      </c>
      <c r="L920" s="0" t="s">
        <v>1993</v>
      </c>
    </row>
    <row r="921" customFormat="false" ht="15" hidden="false" customHeight="false" outlineLevel="0" collapsed="false">
      <c r="A921" s="0" t="s">
        <v>1231</v>
      </c>
      <c r="C921" s="0" t="s">
        <v>981</v>
      </c>
      <c r="D921" s="0" t="s">
        <v>52</v>
      </c>
      <c r="E921" s="0" t="s">
        <v>988</v>
      </c>
      <c r="F921" s="0" t="n">
        <v>5</v>
      </c>
      <c r="G921" s="0" t="n">
        <v>0</v>
      </c>
      <c r="H921" s="0" t="s">
        <v>122</v>
      </c>
      <c r="K921" s="0" t="s">
        <v>132</v>
      </c>
      <c r="L921" s="0" t="s">
        <v>1994</v>
      </c>
    </row>
    <row r="922" customFormat="false" ht="15" hidden="false" customHeight="false" outlineLevel="0" collapsed="false">
      <c r="A922" s="0" t="s">
        <v>1231</v>
      </c>
      <c r="C922" s="0" t="s">
        <v>981</v>
      </c>
      <c r="D922" s="0" t="s">
        <v>55</v>
      </c>
      <c r="E922" s="0" t="s">
        <v>1995</v>
      </c>
      <c r="F922" s="0" t="n">
        <v>5</v>
      </c>
      <c r="G922" s="0" t="n">
        <v>0</v>
      </c>
      <c r="H922" s="0" t="s">
        <v>122</v>
      </c>
      <c r="K922" s="0" t="s">
        <v>135</v>
      </c>
      <c r="L922" s="0" t="s">
        <v>1996</v>
      </c>
    </row>
    <row r="923" customFormat="false" ht="15" hidden="false" customHeight="false" outlineLevel="0" collapsed="false">
      <c r="A923" s="0" t="s">
        <v>1231</v>
      </c>
      <c r="C923" s="0" t="s">
        <v>981</v>
      </c>
      <c r="D923" s="0" t="s">
        <v>58</v>
      </c>
      <c r="E923" s="0" t="s">
        <v>992</v>
      </c>
      <c r="F923" s="0" t="n">
        <v>0</v>
      </c>
      <c r="G923" s="0" t="n">
        <v>0</v>
      </c>
      <c r="H923" s="0" t="s">
        <v>117</v>
      </c>
      <c r="K923" s="0" t="s">
        <v>138</v>
      </c>
      <c r="L923" s="0" t="s">
        <v>1997</v>
      </c>
    </row>
    <row r="924" customFormat="false" ht="15" hidden="false" customHeight="false" outlineLevel="0" collapsed="false">
      <c r="A924" s="0" t="s">
        <v>1231</v>
      </c>
      <c r="B924" s="0" t="s">
        <v>140</v>
      </c>
      <c r="C924" s="0" t="s">
        <v>981</v>
      </c>
      <c r="D924" s="0" t="s">
        <v>65</v>
      </c>
      <c r="E924" s="0" t="s">
        <v>1998</v>
      </c>
      <c r="F924" s="0" t="n">
        <v>4</v>
      </c>
      <c r="G924" s="0" t="n">
        <v>1</v>
      </c>
      <c r="H924" s="0" t="s">
        <v>122</v>
      </c>
      <c r="I924" s="0" t="s">
        <v>1287</v>
      </c>
      <c r="K924" s="0" t="s">
        <v>143</v>
      </c>
      <c r="L924" s="0" t="s">
        <v>1999</v>
      </c>
    </row>
    <row r="925" customFormat="false" ht="15" hidden="false" customHeight="false" outlineLevel="0" collapsed="false">
      <c r="A925" s="0" t="s">
        <v>1231</v>
      </c>
      <c r="B925" s="0" t="s">
        <v>154</v>
      </c>
      <c r="C925" s="0" t="s">
        <v>981</v>
      </c>
      <c r="D925" s="0" t="s">
        <v>69</v>
      </c>
      <c r="E925" s="0" t="s">
        <v>996</v>
      </c>
      <c r="F925" s="0" t="n">
        <v>1</v>
      </c>
      <c r="G925" s="0" t="n">
        <v>1</v>
      </c>
      <c r="H925" s="0" t="s">
        <v>117</v>
      </c>
      <c r="I925" s="0" t="s">
        <v>1417</v>
      </c>
      <c r="K925" s="0" t="s">
        <v>146</v>
      </c>
      <c r="L925" s="0" t="s">
        <v>2000</v>
      </c>
    </row>
    <row r="926" customFormat="false" ht="15" hidden="false" customHeight="false" outlineLevel="0" collapsed="false">
      <c r="A926" s="0" t="s">
        <v>1231</v>
      </c>
      <c r="B926" s="0" t="s">
        <v>154</v>
      </c>
      <c r="C926" s="0" t="s">
        <v>981</v>
      </c>
      <c r="D926" s="0" t="s">
        <v>72</v>
      </c>
      <c r="E926" s="0" t="s">
        <v>2001</v>
      </c>
      <c r="F926" s="0" t="n">
        <v>4</v>
      </c>
      <c r="G926" s="0" t="n">
        <v>4</v>
      </c>
      <c r="H926" s="0" t="s">
        <v>117</v>
      </c>
      <c r="I926" s="0" t="s">
        <v>1292</v>
      </c>
      <c r="K926" s="0" t="s">
        <v>149</v>
      </c>
      <c r="L926" s="0" t="s">
        <v>2002</v>
      </c>
    </row>
    <row r="927" customFormat="false" ht="15" hidden="false" customHeight="false" outlineLevel="0" collapsed="false">
      <c r="A927" s="0" t="s">
        <v>1231</v>
      </c>
      <c r="B927" s="0" t="s">
        <v>154</v>
      </c>
      <c r="C927" s="0" t="s">
        <v>981</v>
      </c>
      <c r="D927" s="0" t="s">
        <v>75</v>
      </c>
      <c r="E927" s="0" t="s">
        <v>1000</v>
      </c>
      <c r="F927" s="0" t="n">
        <v>4</v>
      </c>
      <c r="G927" s="0" t="n">
        <v>4</v>
      </c>
      <c r="H927" s="0" t="s">
        <v>117</v>
      </c>
      <c r="I927" s="0" t="s">
        <v>1287</v>
      </c>
      <c r="K927" s="0" t="s">
        <v>152</v>
      </c>
      <c r="L927" s="0" t="s">
        <v>2003</v>
      </c>
    </row>
    <row r="928" customFormat="false" ht="15" hidden="false" customHeight="false" outlineLevel="0" collapsed="false">
      <c r="A928" s="0" t="s">
        <v>1231</v>
      </c>
      <c r="B928" s="0" t="s">
        <v>140</v>
      </c>
      <c r="C928" s="0" t="s">
        <v>981</v>
      </c>
      <c r="D928" s="0" t="s">
        <v>78</v>
      </c>
      <c r="E928" s="0" t="s">
        <v>2004</v>
      </c>
      <c r="F928" s="0" t="n">
        <v>4</v>
      </c>
      <c r="G928" s="0" t="n">
        <v>3</v>
      </c>
      <c r="H928" s="0" t="s">
        <v>122</v>
      </c>
      <c r="I928" s="0" t="s">
        <v>1417</v>
      </c>
      <c r="K928" s="0" t="s">
        <v>156</v>
      </c>
      <c r="L928" s="0" t="s">
        <v>2005</v>
      </c>
    </row>
    <row r="929" customFormat="false" ht="15" hidden="false" customHeight="false" outlineLevel="0" collapsed="false">
      <c r="A929" s="0" t="s">
        <v>1231</v>
      </c>
      <c r="B929" s="0" t="s">
        <v>154</v>
      </c>
      <c r="C929" s="0" t="s">
        <v>981</v>
      </c>
      <c r="D929" s="0" t="s">
        <v>81</v>
      </c>
      <c r="E929" s="0" t="s">
        <v>2006</v>
      </c>
      <c r="F929" s="0" t="n">
        <v>5</v>
      </c>
      <c r="G929" s="0" t="n">
        <v>4</v>
      </c>
      <c r="H929" s="0" t="s">
        <v>122</v>
      </c>
      <c r="I929" s="0" t="s">
        <v>1680</v>
      </c>
      <c r="K929" s="0" t="s">
        <v>160</v>
      </c>
      <c r="L929" s="0" t="s">
        <v>2007</v>
      </c>
    </row>
    <row r="930" customFormat="false" ht="15" hidden="false" customHeight="false" outlineLevel="0" collapsed="false">
      <c r="A930" s="0" t="s">
        <v>1231</v>
      </c>
      <c r="C930" s="0" t="s">
        <v>1006</v>
      </c>
      <c r="D930" s="0" t="s">
        <v>528</v>
      </c>
      <c r="E930" s="0" t="s">
        <v>1007</v>
      </c>
      <c r="F930" s="0" t="n">
        <v>0</v>
      </c>
      <c r="G930" s="0" t="n">
        <v>0</v>
      </c>
      <c r="H930" s="0" t="s">
        <v>117</v>
      </c>
      <c r="K930" s="0" t="s">
        <v>118</v>
      </c>
      <c r="L930" s="0" t="s">
        <v>2008</v>
      </c>
    </row>
    <row r="931" customFormat="false" ht="15" hidden="false" customHeight="false" outlineLevel="0" collapsed="false">
      <c r="A931" s="0" t="s">
        <v>1231</v>
      </c>
      <c r="B931" s="0" t="s">
        <v>154</v>
      </c>
      <c r="C931" s="0" t="s">
        <v>1006</v>
      </c>
      <c r="D931" s="0" t="s">
        <v>531</v>
      </c>
      <c r="E931" s="0" t="s">
        <v>2009</v>
      </c>
      <c r="F931" s="0" t="n">
        <v>4</v>
      </c>
      <c r="G931" s="0" t="n">
        <v>4</v>
      </c>
      <c r="H931" s="0" t="s">
        <v>117</v>
      </c>
      <c r="I931" s="0" t="s">
        <v>1629</v>
      </c>
      <c r="K931" s="0" t="s">
        <v>123</v>
      </c>
      <c r="L931" s="0" t="s">
        <v>2010</v>
      </c>
    </row>
    <row r="932" customFormat="false" ht="15" hidden="false" customHeight="false" outlineLevel="0" collapsed="false">
      <c r="A932" s="0" t="s">
        <v>1231</v>
      </c>
      <c r="B932" s="0" t="s">
        <v>140</v>
      </c>
      <c r="C932" s="0" t="s">
        <v>1006</v>
      </c>
      <c r="D932" s="0" t="s">
        <v>534</v>
      </c>
      <c r="E932" s="0" t="s">
        <v>1011</v>
      </c>
      <c r="F932" s="0" t="n">
        <v>4</v>
      </c>
      <c r="G932" s="0" t="n">
        <v>4</v>
      </c>
      <c r="H932" s="0" t="s">
        <v>117</v>
      </c>
      <c r="I932" s="0" t="s">
        <v>1680</v>
      </c>
      <c r="J932" s="0" t="s">
        <v>1629</v>
      </c>
      <c r="K932" s="0" t="s">
        <v>127</v>
      </c>
      <c r="L932" s="0" t="s">
        <v>2011</v>
      </c>
    </row>
    <row r="933" customFormat="false" ht="15" hidden="false" customHeight="false" outlineLevel="0" collapsed="false">
      <c r="A933" s="0" t="s">
        <v>1231</v>
      </c>
      <c r="B933" s="0" t="s">
        <v>350</v>
      </c>
      <c r="C933" s="0" t="s">
        <v>1006</v>
      </c>
      <c r="D933" s="0" t="s">
        <v>52</v>
      </c>
      <c r="E933" s="0" t="s">
        <v>2012</v>
      </c>
      <c r="F933" s="0" t="n">
        <v>5</v>
      </c>
      <c r="G933" s="0" t="n">
        <v>3</v>
      </c>
      <c r="H933" s="0" t="s">
        <v>122</v>
      </c>
      <c r="I933" s="0" t="s">
        <v>1292</v>
      </c>
      <c r="K933" s="0" t="s">
        <v>132</v>
      </c>
      <c r="L933" s="0" t="s">
        <v>2013</v>
      </c>
    </row>
    <row r="934" customFormat="false" ht="15" hidden="false" customHeight="false" outlineLevel="0" collapsed="false">
      <c r="A934" s="0" t="s">
        <v>1231</v>
      </c>
      <c r="B934" s="0" t="s">
        <v>154</v>
      </c>
      <c r="C934" s="0" t="s">
        <v>1006</v>
      </c>
      <c r="D934" s="0" t="s">
        <v>55</v>
      </c>
      <c r="E934" s="0" t="s">
        <v>1015</v>
      </c>
      <c r="F934" s="0" t="n">
        <v>4</v>
      </c>
      <c r="G934" s="0" t="n">
        <v>4</v>
      </c>
      <c r="H934" s="0" t="s">
        <v>117</v>
      </c>
      <c r="I934" s="0" t="s">
        <v>1417</v>
      </c>
      <c r="K934" s="0" t="s">
        <v>135</v>
      </c>
      <c r="L934" s="0" t="s">
        <v>2014</v>
      </c>
    </row>
    <row r="935" customFormat="false" ht="15" hidden="false" customHeight="false" outlineLevel="0" collapsed="false">
      <c r="A935" s="0" t="s">
        <v>1231</v>
      </c>
      <c r="B935" s="0" t="s">
        <v>140</v>
      </c>
      <c r="C935" s="0" t="s">
        <v>1006</v>
      </c>
      <c r="D935" s="0" t="s">
        <v>58</v>
      </c>
      <c r="E935" s="0" t="s">
        <v>2015</v>
      </c>
      <c r="F935" s="0" t="n">
        <v>4</v>
      </c>
      <c r="G935" s="0" t="n">
        <v>2</v>
      </c>
      <c r="H935" s="0" t="s">
        <v>122</v>
      </c>
      <c r="I935" s="0" t="s">
        <v>1680</v>
      </c>
      <c r="K935" s="0" t="s">
        <v>138</v>
      </c>
      <c r="L935" s="0" t="s">
        <v>2016</v>
      </c>
    </row>
    <row r="936" customFormat="false" ht="15" hidden="false" customHeight="false" outlineLevel="0" collapsed="false">
      <c r="A936" s="0" t="s">
        <v>1231</v>
      </c>
      <c r="B936" s="0" t="s">
        <v>154</v>
      </c>
      <c r="C936" s="0" t="s">
        <v>1006</v>
      </c>
      <c r="D936" s="0" t="s">
        <v>65</v>
      </c>
      <c r="E936" s="0" t="s">
        <v>2017</v>
      </c>
      <c r="F936" s="0" t="n">
        <v>5</v>
      </c>
      <c r="G936" s="0" t="n">
        <v>4</v>
      </c>
      <c r="H936" s="0" t="s">
        <v>122</v>
      </c>
      <c r="I936" s="0" t="s">
        <v>1629</v>
      </c>
      <c r="K936" s="0" t="s">
        <v>143</v>
      </c>
      <c r="L936" s="0" t="s">
        <v>2018</v>
      </c>
    </row>
    <row r="937" customFormat="false" ht="15" hidden="false" customHeight="false" outlineLevel="0" collapsed="false">
      <c r="A937" s="0" t="s">
        <v>1231</v>
      </c>
      <c r="B937" s="0" t="s">
        <v>140</v>
      </c>
      <c r="C937" s="0" t="s">
        <v>1006</v>
      </c>
      <c r="D937" s="0" t="s">
        <v>69</v>
      </c>
      <c r="E937" s="0" t="s">
        <v>1021</v>
      </c>
      <c r="F937" s="0" t="n">
        <v>4</v>
      </c>
      <c r="G937" s="0" t="n">
        <v>3</v>
      </c>
      <c r="H937" s="0" t="s">
        <v>122</v>
      </c>
      <c r="I937" s="0" t="s">
        <v>1292</v>
      </c>
      <c r="K937" s="0" t="s">
        <v>146</v>
      </c>
      <c r="L937" s="0" t="s">
        <v>2019</v>
      </c>
    </row>
    <row r="938" customFormat="false" ht="15" hidden="false" customHeight="false" outlineLevel="0" collapsed="false">
      <c r="A938" s="0" t="s">
        <v>1231</v>
      </c>
      <c r="B938" s="0" t="s">
        <v>350</v>
      </c>
      <c r="C938" s="0" t="s">
        <v>1006</v>
      </c>
      <c r="D938" s="0" t="s">
        <v>72</v>
      </c>
      <c r="E938" s="0" t="s">
        <v>2020</v>
      </c>
      <c r="F938" s="0" t="n">
        <v>5</v>
      </c>
      <c r="G938" s="0" t="n">
        <v>3</v>
      </c>
      <c r="H938" s="0" t="s">
        <v>122</v>
      </c>
      <c r="I938" s="0" t="s">
        <v>1292</v>
      </c>
      <c r="K938" s="0" t="s">
        <v>149</v>
      </c>
      <c r="L938" s="0" t="s">
        <v>2021</v>
      </c>
    </row>
    <row r="939" customFormat="false" ht="15" hidden="false" customHeight="false" outlineLevel="0" collapsed="false">
      <c r="A939" s="0" t="s">
        <v>1231</v>
      </c>
      <c r="B939" s="0" t="s">
        <v>154</v>
      </c>
      <c r="C939" s="0" t="s">
        <v>1006</v>
      </c>
      <c r="D939" s="0" t="s">
        <v>75</v>
      </c>
      <c r="E939" s="0" t="s">
        <v>1025</v>
      </c>
      <c r="F939" s="0" t="n">
        <v>5</v>
      </c>
      <c r="G939" s="0" t="n">
        <v>4</v>
      </c>
      <c r="H939" s="0" t="s">
        <v>122</v>
      </c>
      <c r="I939" s="0" t="s">
        <v>1680</v>
      </c>
      <c r="K939" s="0" t="s">
        <v>152</v>
      </c>
      <c r="L939" s="0" t="s">
        <v>2022</v>
      </c>
    </row>
    <row r="940" customFormat="false" ht="15" hidden="false" customHeight="false" outlineLevel="0" collapsed="false">
      <c r="A940" s="0" t="s">
        <v>1231</v>
      </c>
      <c r="B940" s="0" t="s">
        <v>154</v>
      </c>
      <c r="C940" s="0" t="s">
        <v>1006</v>
      </c>
      <c r="D940" s="0" t="s">
        <v>78</v>
      </c>
      <c r="E940" s="0" t="s">
        <v>1027</v>
      </c>
      <c r="F940" s="0" t="n">
        <v>4</v>
      </c>
      <c r="G940" s="0" t="n">
        <v>4</v>
      </c>
      <c r="H940" s="0" t="s">
        <v>117</v>
      </c>
      <c r="I940" s="0" t="s">
        <v>1629</v>
      </c>
      <c r="K940" s="0" t="s">
        <v>156</v>
      </c>
      <c r="L940" s="0" t="s">
        <v>2023</v>
      </c>
    </row>
    <row r="941" customFormat="false" ht="15" hidden="false" customHeight="false" outlineLevel="0" collapsed="false">
      <c r="A941" s="0" t="s">
        <v>1231</v>
      </c>
      <c r="B941" s="0" t="s">
        <v>154</v>
      </c>
      <c r="C941" s="0" t="s">
        <v>1006</v>
      </c>
      <c r="D941" s="0" t="s">
        <v>81</v>
      </c>
      <c r="E941" s="0" t="s">
        <v>2024</v>
      </c>
      <c r="F941" s="0" t="n">
        <v>5</v>
      </c>
      <c r="G941" s="0" t="n">
        <v>3</v>
      </c>
      <c r="H941" s="0" t="s">
        <v>122</v>
      </c>
      <c r="I941" s="0" t="s">
        <v>1262</v>
      </c>
      <c r="K941" s="0" t="s">
        <v>160</v>
      </c>
      <c r="L941" s="0" t="s">
        <v>2025</v>
      </c>
    </row>
    <row r="942" customFormat="false" ht="15" hidden="false" customHeight="false" outlineLevel="0" collapsed="false">
      <c r="A942" s="0" t="s">
        <v>1231</v>
      </c>
      <c r="C942" s="0" t="s">
        <v>1031</v>
      </c>
      <c r="D942" s="0" t="s">
        <v>528</v>
      </c>
      <c r="E942" s="0" t="s">
        <v>1032</v>
      </c>
      <c r="F942" s="0" t="n">
        <v>0</v>
      </c>
      <c r="G942" s="0" t="n">
        <v>0</v>
      </c>
      <c r="H942" s="0" t="s">
        <v>117</v>
      </c>
      <c r="K942" s="0" t="s">
        <v>118</v>
      </c>
      <c r="L942" s="0" t="s">
        <v>2026</v>
      </c>
    </row>
    <row r="943" customFormat="false" ht="15" hidden="false" customHeight="false" outlineLevel="0" collapsed="false">
      <c r="A943" s="0" t="s">
        <v>1231</v>
      </c>
      <c r="B943" s="0" t="s">
        <v>154</v>
      </c>
      <c r="C943" s="0" t="s">
        <v>1031</v>
      </c>
      <c r="D943" s="0" t="s">
        <v>531</v>
      </c>
      <c r="E943" s="0" t="s">
        <v>2027</v>
      </c>
      <c r="F943" s="0" t="n">
        <v>3</v>
      </c>
      <c r="G943" s="0" t="n">
        <v>4</v>
      </c>
      <c r="H943" s="0" t="s">
        <v>117</v>
      </c>
      <c r="I943" s="0" t="s">
        <v>1680</v>
      </c>
      <c r="K943" s="0" t="s">
        <v>123</v>
      </c>
      <c r="L943" s="0" t="s">
        <v>2028</v>
      </c>
    </row>
    <row r="944" customFormat="false" ht="15" hidden="false" customHeight="false" outlineLevel="0" collapsed="false">
      <c r="A944" s="0" t="s">
        <v>1231</v>
      </c>
      <c r="B944" s="0" t="s">
        <v>140</v>
      </c>
      <c r="C944" s="0" t="s">
        <v>1031</v>
      </c>
      <c r="D944" s="0" t="s">
        <v>534</v>
      </c>
      <c r="E944" s="0" t="s">
        <v>1036</v>
      </c>
      <c r="F944" s="0" t="n">
        <v>4</v>
      </c>
      <c r="G944" s="0" t="n">
        <v>3</v>
      </c>
      <c r="H944" s="0" t="s">
        <v>122</v>
      </c>
      <c r="I944" s="0" t="s">
        <v>1417</v>
      </c>
      <c r="K944" s="0" t="s">
        <v>127</v>
      </c>
      <c r="L944" s="0" t="s">
        <v>2029</v>
      </c>
    </row>
    <row r="945" customFormat="false" ht="15" hidden="false" customHeight="false" outlineLevel="0" collapsed="false">
      <c r="A945" s="0" t="s">
        <v>1231</v>
      </c>
      <c r="B945" s="0" t="s">
        <v>154</v>
      </c>
      <c r="C945" s="0" t="s">
        <v>1031</v>
      </c>
      <c r="D945" s="0" t="s">
        <v>52</v>
      </c>
      <c r="E945" s="0" t="s">
        <v>1038</v>
      </c>
      <c r="F945" s="0" t="n">
        <v>4</v>
      </c>
      <c r="G945" s="0" t="n">
        <v>4</v>
      </c>
      <c r="H945" s="0" t="s">
        <v>117</v>
      </c>
      <c r="I945" s="0" t="s">
        <v>1292</v>
      </c>
      <c r="K945" s="0" t="s">
        <v>132</v>
      </c>
      <c r="L945" s="0" t="s">
        <v>2030</v>
      </c>
    </row>
    <row r="946" customFormat="false" ht="15" hidden="false" customHeight="false" outlineLevel="0" collapsed="false">
      <c r="A946" s="0" t="s">
        <v>1231</v>
      </c>
      <c r="B946" s="0" t="s">
        <v>154</v>
      </c>
      <c r="C946" s="0" t="s">
        <v>1031</v>
      </c>
      <c r="D946" s="0" t="s">
        <v>55</v>
      </c>
      <c r="E946" s="0" t="s">
        <v>2031</v>
      </c>
      <c r="F946" s="0" t="n">
        <v>5</v>
      </c>
      <c r="G946" s="0" t="n">
        <v>4</v>
      </c>
      <c r="H946" s="0" t="s">
        <v>122</v>
      </c>
      <c r="I946" s="0" t="s">
        <v>1292</v>
      </c>
      <c r="K946" s="0" t="s">
        <v>135</v>
      </c>
      <c r="L946" s="0" t="s">
        <v>2032</v>
      </c>
    </row>
    <row r="947" customFormat="false" ht="15" hidden="false" customHeight="false" outlineLevel="0" collapsed="false">
      <c r="A947" s="0" t="s">
        <v>1231</v>
      </c>
      <c r="B947" s="0" t="s">
        <v>140</v>
      </c>
      <c r="C947" s="0" t="s">
        <v>1031</v>
      </c>
      <c r="D947" s="0" t="s">
        <v>58</v>
      </c>
      <c r="E947" s="0" t="s">
        <v>2033</v>
      </c>
      <c r="F947" s="0" t="n">
        <v>5</v>
      </c>
      <c r="G947" s="0" t="n">
        <v>0</v>
      </c>
      <c r="H947" s="0" t="s">
        <v>122</v>
      </c>
      <c r="K947" s="0" t="s">
        <v>138</v>
      </c>
      <c r="L947" s="0" t="s">
        <v>2034</v>
      </c>
    </row>
    <row r="948" customFormat="false" ht="15" hidden="false" customHeight="false" outlineLevel="0" collapsed="false">
      <c r="A948" s="0" t="s">
        <v>1231</v>
      </c>
      <c r="B948" s="0" t="s">
        <v>154</v>
      </c>
      <c r="C948" s="0" t="s">
        <v>1031</v>
      </c>
      <c r="D948" s="0" t="s">
        <v>65</v>
      </c>
      <c r="E948" s="0" t="s">
        <v>1044</v>
      </c>
      <c r="F948" s="0" t="n">
        <v>4</v>
      </c>
      <c r="G948" s="0" t="n">
        <v>3</v>
      </c>
      <c r="H948" s="0" t="s">
        <v>122</v>
      </c>
      <c r="I948" s="0" t="s">
        <v>1354</v>
      </c>
      <c r="K948" s="0" t="s">
        <v>143</v>
      </c>
      <c r="L948" s="0" t="s">
        <v>2035</v>
      </c>
    </row>
    <row r="949" customFormat="false" ht="15" hidden="false" customHeight="false" outlineLevel="0" collapsed="false">
      <c r="A949" s="0" t="s">
        <v>1231</v>
      </c>
      <c r="B949" s="0" t="s">
        <v>154</v>
      </c>
      <c r="C949" s="0" t="s">
        <v>1031</v>
      </c>
      <c r="D949" s="0" t="s">
        <v>69</v>
      </c>
      <c r="E949" s="0" t="s">
        <v>1046</v>
      </c>
      <c r="F949" s="0" t="n">
        <v>5</v>
      </c>
      <c r="G949" s="0" t="n">
        <v>4</v>
      </c>
      <c r="H949" s="0" t="s">
        <v>122</v>
      </c>
      <c r="I949" s="0" t="s">
        <v>1629</v>
      </c>
      <c r="K949" s="0" t="s">
        <v>146</v>
      </c>
      <c r="L949" s="0" t="s">
        <v>2036</v>
      </c>
    </row>
    <row r="950" customFormat="false" ht="15" hidden="false" customHeight="false" outlineLevel="0" collapsed="false">
      <c r="A950" s="0" t="s">
        <v>1231</v>
      </c>
      <c r="B950" s="0" t="s">
        <v>140</v>
      </c>
      <c r="C950" s="0" t="s">
        <v>1031</v>
      </c>
      <c r="D950" s="0" t="s">
        <v>72</v>
      </c>
      <c r="E950" s="0" t="s">
        <v>1048</v>
      </c>
      <c r="F950" s="0" t="n">
        <v>4</v>
      </c>
      <c r="G950" s="0" t="n">
        <v>0</v>
      </c>
      <c r="H950" s="0" t="s">
        <v>122</v>
      </c>
      <c r="I950" s="0" t="s">
        <v>1629</v>
      </c>
      <c r="K950" s="0" t="s">
        <v>149</v>
      </c>
      <c r="L950" s="0" t="s">
        <v>2037</v>
      </c>
    </row>
    <row r="951" customFormat="false" ht="15" hidden="false" customHeight="false" outlineLevel="0" collapsed="false">
      <c r="A951" s="0" t="s">
        <v>1231</v>
      </c>
      <c r="B951" s="0" t="s">
        <v>154</v>
      </c>
      <c r="C951" s="0" t="s">
        <v>1031</v>
      </c>
      <c r="D951" s="0" t="s">
        <v>75</v>
      </c>
      <c r="E951" s="0" t="s">
        <v>1050</v>
      </c>
      <c r="F951" s="0" t="n">
        <v>5</v>
      </c>
      <c r="G951" s="0" t="n">
        <v>2</v>
      </c>
      <c r="H951" s="0" t="s">
        <v>122</v>
      </c>
      <c r="I951" s="0" t="s">
        <v>1292</v>
      </c>
      <c r="K951" s="0" t="s">
        <v>152</v>
      </c>
      <c r="L951" s="0" t="s">
        <v>2038</v>
      </c>
    </row>
    <row r="952" customFormat="false" ht="15" hidden="false" customHeight="false" outlineLevel="0" collapsed="false">
      <c r="A952" s="0" t="s">
        <v>1231</v>
      </c>
      <c r="B952" s="0" t="s">
        <v>154</v>
      </c>
      <c r="C952" s="0" t="s">
        <v>1031</v>
      </c>
      <c r="D952" s="0" t="s">
        <v>78</v>
      </c>
      <c r="E952" s="0" t="s">
        <v>1052</v>
      </c>
      <c r="F952" s="0" t="n">
        <v>5</v>
      </c>
      <c r="G952" s="0" t="n">
        <v>2</v>
      </c>
      <c r="H952" s="0" t="s">
        <v>122</v>
      </c>
      <c r="I952" s="0" t="s">
        <v>1417</v>
      </c>
      <c r="K952" s="0" t="s">
        <v>156</v>
      </c>
      <c r="L952" s="0" t="s">
        <v>2039</v>
      </c>
    </row>
    <row r="953" customFormat="false" ht="15" hidden="false" customHeight="false" outlineLevel="0" collapsed="false">
      <c r="A953" s="0" t="s">
        <v>1231</v>
      </c>
      <c r="B953" s="0" t="s">
        <v>140</v>
      </c>
      <c r="C953" s="0" t="s">
        <v>1031</v>
      </c>
      <c r="D953" s="0" t="s">
        <v>81</v>
      </c>
      <c r="E953" s="0" t="s">
        <v>2040</v>
      </c>
      <c r="F953" s="0" t="n">
        <v>5</v>
      </c>
      <c r="G953" s="0" t="n">
        <v>0</v>
      </c>
      <c r="H953" s="0" t="s">
        <v>122</v>
      </c>
      <c r="K953" s="0" t="s">
        <v>160</v>
      </c>
      <c r="L953" s="0" t="s">
        <v>2041</v>
      </c>
    </row>
    <row r="954" customFormat="false" ht="15" hidden="false" customHeight="false" outlineLevel="0" collapsed="false">
      <c r="A954" s="0" t="s">
        <v>1231</v>
      </c>
      <c r="C954" s="0" t="s">
        <v>1056</v>
      </c>
      <c r="D954" s="0" t="s">
        <v>528</v>
      </c>
      <c r="E954" s="0" t="s">
        <v>1057</v>
      </c>
      <c r="F954" s="0" t="n">
        <v>0</v>
      </c>
      <c r="G954" s="0" t="n">
        <v>0</v>
      </c>
      <c r="H954" s="0" t="s">
        <v>117</v>
      </c>
      <c r="K954" s="0" t="s">
        <v>118</v>
      </c>
      <c r="L954" s="0" t="s">
        <v>2042</v>
      </c>
    </row>
    <row r="955" customFormat="false" ht="15" hidden="false" customHeight="false" outlineLevel="0" collapsed="false">
      <c r="A955" s="0" t="s">
        <v>1231</v>
      </c>
      <c r="C955" s="0" t="s">
        <v>1056</v>
      </c>
      <c r="D955" s="0" t="s">
        <v>531</v>
      </c>
      <c r="E955" s="0" t="s">
        <v>1059</v>
      </c>
      <c r="F955" s="0" t="n">
        <v>0</v>
      </c>
      <c r="G955" s="0" t="n">
        <v>0</v>
      </c>
      <c r="H955" s="0" t="s">
        <v>117</v>
      </c>
      <c r="K955" s="0" t="s">
        <v>123</v>
      </c>
      <c r="L955" s="0" t="s">
        <v>2043</v>
      </c>
    </row>
    <row r="956" customFormat="false" ht="15" hidden="false" customHeight="false" outlineLevel="0" collapsed="false">
      <c r="A956" s="0" t="s">
        <v>1231</v>
      </c>
      <c r="C956" s="0" t="s">
        <v>1056</v>
      </c>
      <c r="D956" s="0" t="s">
        <v>534</v>
      </c>
      <c r="E956" s="0" t="s">
        <v>1061</v>
      </c>
      <c r="F956" s="0" t="n">
        <v>0</v>
      </c>
      <c r="G956" s="0" t="n">
        <v>0</v>
      </c>
      <c r="H956" s="0" t="s">
        <v>117</v>
      </c>
      <c r="K956" s="0" t="s">
        <v>127</v>
      </c>
      <c r="L956" s="0" t="s">
        <v>2044</v>
      </c>
    </row>
    <row r="957" customFormat="false" ht="15" hidden="false" customHeight="false" outlineLevel="0" collapsed="false">
      <c r="A957" s="0" t="s">
        <v>1231</v>
      </c>
      <c r="C957" s="0" t="s">
        <v>1056</v>
      </c>
      <c r="D957" s="0" t="s">
        <v>52</v>
      </c>
      <c r="E957" s="0" t="s">
        <v>1063</v>
      </c>
      <c r="F957" s="0" t="n">
        <v>0</v>
      </c>
      <c r="G957" s="0" t="n">
        <v>0</v>
      </c>
      <c r="H957" s="0" t="s">
        <v>117</v>
      </c>
      <c r="K957" s="0" t="s">
        <v>132</v>
      </c>
      <c r="L957" s="0" t="s">
        <v>2045</v>
      </c>
    </row>
    <row r="958" customFormat="false" ht="15" hidden="false" customHeight="false" outlineLevel="0" collapsed="false">
      <c r="A958" s="0" t="s">
        <v>1231</v>
      </c>
      <c r="C958" s="0" t="s">
        <v>1056</v>
      </c>
      <c r="D958" s="0" t="s">
        <v>55</v>
      </c>
      <c r="E958" s="0" t="s">
        <v>1065</v>
      </c>
      <c r="F958" s="0" t="n">
        <v>0</v>
      </c>
      <c r="G958" s="0" t="n">
        <v>0</v>
      </c>
      <c r="H958" s="0" t="s">
        <v>117</v>
      </c>
      <c r="K958" s="0" t="s">
        <v>135</v>
      </c>
      <c r="L958" s="0" t="s">
        <v>2046</v>
      </c>
    </row>
    <row r="959" customFormat="false" ht="15" hidden="false" customHeight="false" outlineLevel="0" collapsed="false">
      <c r="A959" s="0" t="s">
        <v>1231</v>
      </c>
      <c r="C959" s="0" t="s">
        <v>1056</v>
      </c>
      <c r="D959" s="0" t="s">
        <v>58</v>
      </c>
      <c r="E959" s="0" t="s">
        <v>1067</v>
      </c>
      <c r="F959" s="0" t="n">
        <v>0</v>
      </c>
      <c r="G959" s="0" t="n">
        <v>0</v>
      </c>
      <c r="H959" s="0" t="s">
        <v>117</v>
      </c>
      <c r="K959" s="0" t="s">
        <v>138</v>
      </c>
      <c r="L959" s="0" t="s">
        <v>2047</v>
      </c>
    </row>
    <row r="960" customFormat="false" ht="15" hidden="false" customHeight="false" outlineLevel="0" collapsed="false">
      <c r="A960" s="0" t="s">
        <v>1231</v>
      </c>
      <c r="C960" s="0" t="s">
        <v>1056</v>
      </c>
      <c r="D960" s="0" t="s">
        <v>65</v>
      </c>
      <c r="E960" s="0" t="s">
        <v>1069</v>
      </c>
      <c r="F960" s="0" t="n">
        <v>0</v>
      </c>
      <c r="G960" s="0" t="n">
        <v>0</v>
      </c>
      <c r="H960" s="0" t="s">
        <v>117</v>
      </c>
      <c r="K960" s="0" t="s">
        <v>143</v>
      </c>
      <c r="L960" s="0" t="s">
        <v>2048</v>
      </c>
    </row>
    <row r="961" customFormat="false" ht="15" hidden="false" customHeight="false" outlineLevel="0" collapsed="false">
      <c r="A961" s="0" t="s">
        <v>1231</v>
      </c>
      <c r="C961" s="0" t="s">
        <v>1056</v>
      </c>
      <c r="D961" s="0" t="s">
        <v>69</v>
      </c>
      <c r="E961" s="0" t="s">
        <v>1071</v>
      </c>
      <c r="F961" s="0" t="n">
        <v>0</v>
      </c>
      <c r="G961" s="0" t="n">
        <v>0</v>
      </c>
      <c r="H961" s="0" t="s">
        <v>117</v>
      </c>
      <c r="K961" s="0" t="s">
        <v>146</v>
      </c>
      <c r="L961" s="0" t="s">
        <v>2049</v>
      </c>
    </row>
    <row r="962" customFormat="false" ht="15" hidden="false" customHeight="false" outlineLevel="0" collapsed="false">
      <c r="A962" s="0" t="s">
        <v>1231</v>
      </c>
      <c r="C962" s="0" t="s">
        <v>1056</v>
      </c>
      <c r="D962" s="0" t="s">
        <v>72</v>
      </c>
      <c r="E962" s="0" t="s">
        <v>1073</v>
      </c>
      <c r="F962" s="0" t="n">
        <v>0</v>
      </c>
      <c r="G962" s="0" t="n">
        <v>0</v>
      </c>
      <c r="H962" s="0" t="s">
        <v>117</v>
      </c>
      <c r="K962" s="0" t="s">
        <v>149</v>
      </c>
      <c r="L962" s="0" t="s">
        <v>2050</v>
      </c>
    </row>
    <row r="963" customFormat="false" ht="15" hidden="false" customHeight="false" outlineLevel="0" collapsed="false">
      <c r="A963" s="0" t="s">
        <v>1231</v>
      </c>
      <c r="C963" s="0" t="s">
        <v>1056</v>
      </c>
      <c r="D963" s="0" t="s">
        <v>75</v>
      </c>
      <c r="E963" s="0" t="s">
        <v>2051</v>
      </c>
      <c r="F963" s="0" t="n">
        <v>0</v>
      </c>
      <c r="G963" s="0" t="n">
        <v>0</v>
      </c>
      <c r="H963" s="0" t="s">
        <v>117</v>
      </c>
      <c r="K963" s="0" t="s">
        <v>152</v>
      </c>
      <c r="L963" s="0" t="s">
        <v>2052</v>
      </c>
    </row>
    <row r="964" customFormat="false" ht="15" hidden="false" customHeight="false" outlineLevel="0" collapsed="false">
      <c r="A964" s="0" t="s">
        <v>1231</v>
      </c>
      <c r="C964" s="0" t="s">
        <v>1056</v>
      </c>
      <c r="D964" s="0" t="s">
        <v>78</v>
      </c>
      <c r="E964" s="0" t="s">
        <v>2053</v>
      </c>
      <c r="F964" s="0" t="n">
        <v>0</v>
      </c>
      <c r="G964" s="0" t="n">
        <v>0</v>
      </c>
      <c r="H964" s="0" t="s">
        <v>117</v>
      </c>
      <c r="K964" s="0" t="s">
        <v>156</v>
      </c>
      <c r="L964" s="0" t="s">
        <v>2054</v>
      </c>
    </row>
    <row r="965" customFormat="false" ht="15" hidden="false" customHeight="false" outlineLevel="0" collapsed="false">
      <c r="A965" s="0" t="s">
        <v>1231</v>
      </c>
      <c r="C965" s="0" t="s">
        <v>1056</v>
      </c>
      <c r="D965" s="0" t="s">
        <v>81</v>
      </c>
      <c r="E965" s="0" t="s">
        <v>2055</v>
      </c>
      <c r="F965" s="0" t="n">
        <v>0</v>
      </c>
      <c r="G965" s="0" t="n">
        <v>0</v>
      </c>
      <c r="H965" s="0" t="s">
        <v>117</v>
      </c>
      <c r="K965" s="0" t="s">
        <v>160</v>
      </c>
      <c r="L965" s="0" t="s">
        <v>2056</v>
      </c>
    </row>
    <row r="966" customFormat="false" ht="15" hidden="false" customHeight="false" outlineLevel="0" collapsed="false">
      <c r="A966" s="0" t="s">
        <v>1231</v>
      </c>
      <c r="C966" s="0" t="s">
        <v>1081</v>
      </c>
      <c r="D966" s="0" t="s">
        <v>528</v>
      </c>
      <c r="E966" s="0" t="s">
        <v>1082</v>
      </c>
      <c r="F966" s="0" t="n">
        <v>0</v>
      </c>
      <c r="G966" s="0" t="n">
        <v>0</v>
      </c>
      <c r="H966" s="0" t="s">
        <v>117</v>
      </c>
      <c r="K966" s="0" t="s">
        <v>118</v>
      </c>
      <c r="L966" s="0" t="s">
        <v>2057</v>
      </c>
    </row>
    <row r="967" customFormat="false" ht="15" hidden="false" customHeight="false" outlineLevel="0" collapsed="false">
      <c r="A967" s="0" t="s">
        <v>1231</v>
      </c>
      <c r="C967" s="0" t="s">
        <v>1081</v>
      </c>
      <c r="D967" s="0" t="s">
        <v>531</v>
      </c>
      <c r="E967" s="0" t="s">
        <v>1084</v>
      </c>
      <c r="F967" s="0" t="n">
        <v>0</v>
      </c>
      <c r="G967" s="0" t="n">
        <v>0</v>
      </c>
      <c r="H967" s="0" t="s">
        <v>117</v>
      </c>
      <c r="K967" s="0" t="s">
        <v>123</v>
      </c>
      <c r="L967" s="0" t="s">
        <v>2058</v>
      </c>
    </row>
    <row r="968" customFormat="false" ht="15" hidden="false" customHeight="false" outlineLevel="0" collapsed="false">
      <c r="A968" s="0" t="s">
        <v>1231</v>
      </c>
      <c r="C968" s="0" t="s">
        <v>1081</v>
      </c>
      <c r="D968" s="0" t="s">
        <v>534</v>
      </c>
      <c r="E968" s="0" t="s">
        <v>1086</v>
      </c>
      <c r="F968" s="0" t="n">
        <v>0</v>
      </c>
      <c r="G968" s="0" t="n">
        <v>0</v>
      </c>
      <c r="H968" s="0" t="s">
        <v>117</v>
      </c>
      <c r="K968" s="0" t="s">
        <v>127</v>
      </c>
      <c r="L968" s="0" t="s">
        <v>2059</v>
      </c>
    </row>
    <row r="969" customFormat="false" ht="15" hidden="false" customHeight="false" outlineLevel="0" collapsed="false">
      <c r="A969" s="0" t="s">
        <v>1231</v>
      </c>
      <c r="C969" s="0" t="s">
        <v>1081</v>
      </c>
      <c r="D969" s="0" t="s">
        <v>52</v>
      </c>
      <c r="E969" s="0" t="s">
        <v>1088</v>
      </c>
      <c r="F969" s="0" t="n">
        <v>0</v>
      </c>
      <c r="G969" s="0" t="n">
        <v>0</v>
      </c>
      <c r="H969" s="0" t="s">
        <v>117</v>
      </c>
      <c r="K969" s="0" t="s">
        <v>132</v>
      </c>
      <c r="L969" s="0" t="s">
        <v>2060</v>
      </c>
    </row>
    <row r="970" customFormat="false" ht="15" hidden="false" customHeight="false" outlineLevel="0" collapsed="false">
      <c r="A970" s="0" t="s">
        <v>1231</v>
      </c>
      <c r="C970" s="0" t="s">
        <v>1081</v>
      </c>
      <c r="D970" s="0" t="s">
        <v>55</v>
      </c>
      <c r="E970" s="0" t="s">
        <v>1090</v>
      </c>
      <c r="F970" s="0" t="n">
        <v>0</v>
      </c>
      <c r="G970" s="0" t="n">
        <v>0</v>
      </c>
      <c r="H970" s="0" t="s">
        <v>117</v>
      </c>
      <c r="K970" s="0" t="s">
        <v>135</v>
      </c>
      <c r="L970" s="0" t="s">
        <v>2061</v>
      </c>
    </row>
    <row r="971" customFormat="false" ht="15" hidden="false" customHeight="false" outlineLevel="0" collapsed="false">
      <c r="A971" s="0" t="s">
        <v>1231</v>
      </c>
      <c r="C971" s="0" t="s">
        <v>1081</v>
      </c>
      <c r="D971" s="0" t="s">
        <v>58</v>
      </c>
      <c r="E971" s="0" t="s">
        <v>1092</v>
      </c>
      <c r="F971" s="0" t="n">
        <v>0</v>
      </c>
      <c r="G971" s="0" t="n">
        <v>0</v>
      </c>
      <c r="H971" s="0" t="s">
        <v>117</v>
      </c>
      <c r="K971" s="0" t="s">
        <v>138</v>
      </c>
      <c r="L971" s="0" t="s">
        <v>2062</v>
      </c>
    </row>
    <row r="972" customFormat="false" ht="15" hidden="false" customHeight="false" outlineLevel="0" collapsed="false">
      <c r="A972" s="0" t="s">
        <v>1231</v>
      </c>
      <c r="C972" s="0" t="s">
        <v>1081</v>
      </c>
      <c r="D972" s="0" t="s">
        <v>65</v>
      </c>
      <c r="E972" s="0" t="s">
        <v>1094</v>
      </c>
      <c r="F972" s="0" t="n">
        <v>0</v>
      </c>
      <c r="G972" s="0" t="n">
        <v>0</v>
      </c>
      <c r="H972" s="0" t="s">
        <v>117</v>
      </c>
      <c r="K972" s="0" t="s">
        <v>143</v>
      </c>
      <c r="L972" s="0" t="s">
        <v>2063</v>
      </c>
    </row>
    <row r="973" customFormat="false" ht="15" hidden="false" customHeight="false" outlineLevel="0" collapsed="false">
      <c r="A973" s="0" t="s">
        <v>1231</v>
      </c>
      <c r="C973" s="0" t="s">
        <v>1081</v>
      </c>
      <c r="D973" s="0" t="s">
        <v>69</v>
      </c>
      <c r="E973" s="0" t="s">
        <v>1096</v>
      </c>
      <c r="F973" s="0" t="n">
        <v>0</v>
      </c>
      <c r="G973" s="0" t="n">
        <v>0</v>
      </c>
      <c r="H973" s="0" t="s">
        <v>117</v>
      </c>
      <c r="K973" s="0" t="s">
        <v>146</v>
      </c>
      <c r="L973" s="0" t="s">
        <v>2064</v>
      </c>
    </row>
    <row r="974" customFormat="false" ht="15" hidden="false" customHeight="false" outlineLevel="0" collapsed="false">
      <c r="A974" s="0" t="s">
        <v>1231</v>
      </c>
      <c r="C974" s="0" t="s">
        <v>1081</v>
      </c>
      <c r="D974" s="0" t="s">
        <v>72</v>
      </c>
      <c r="E974" s="0" t="s">
        <v>1098</v>
      </c>
      <c r="F974" s="0" t="n">
        <v>0</v>
      </c>
      <c r="G974" s="0" t="n">
        <v>0</v>
      </c>
      <c r="H974" s="0" t="s">
        <v>117</v>
      </c>
      <c r="K974" s="0" t="s">
        <v>149</v>
      </c>
      <c r="L974" s="0" t="s">
        <v>2065</v>
      </c>
    </row>
    <row r="975" customFormat="false" ht="15" hidden="false" customHeight="false" outlineLevel="0" collapsed="false">
      <c r="A975" s="0" t="s">
        <v>1231</v>
      </c>
      <c r="C975" s="0" t="s">
        <v>1081</v>
      </c>
      <c r="D975" s="0" t="s">
        <v>75</v>
      </c>
      <c r="E975" s="0" t="s">
        <v>1100</v>
      </c>
      <c r="F975" s="0" t="n">
        <v>0</v>
      </c>
      <c r="G975" s="0" t="n">
        <v>0</v>
      </c>
      <c r="H975" s="0" t="s">
        <v>117</v>
      </c>
      <c r="K975" s="0" t="s">
        <v>152</v>
      </c>
      <c r="L975" s="0" t="s">
        <v>2066</v>
      </c>
    </row>
    <row r="976" customFormat="false" ht="15" hidden="false" customHeight="false" outlineLevel="0" collapsed="false">
      <c r="A976" s="0" t="s">
        <v>1231</v>
      </c>
      <c r="C976" s="0" t="s">
        <v>1081</v>
      </c>
      <c r="D976" s="0" t="s">
        <v>78</v>
      </c>
      <c r="E976" s="0" t="s">
        <v>1102</v>
      </c>
      <c r="F976" s="0" t="n">
        <v>0</v>
      </c>
      <c r="G976" s="0" t="n">
        <v>0</v>
      </c>
      <c r="H976" s="0" t="s">
        <v>117</v>
      </c>
      <c r="K976" s="0" t="s">
        <v>156</v>
      </c>
      <c r="L976" s="0" t="s">
        <v>2067</v>
      </c>
    </row>
    <row r="977" customFormat="false" ht="15" hidden="false" customHeight="false" outlineLevel="0" collapsed="false">
      <c r="A977" s="0" t="s">
        <v>1231</v>
      </c>
      <c r="C977" s="0" t="s">
        <v>1081</v>
      </c>
      <c r="D977" s="0" t="s">
        <v>81</v>
      </c>
      <c r="E977" s="0" t="s">
        <v>1104</v>
      </c>
      <c r="F977" s="0" t="n">
        <v>0</v>
      </c>
      <c r="G977" s="0" t="n">
        <v>0</v>
      </c>
      <c r="H977" s="0" t="s">
        <v>117</v>
      </c>
      <c r="K977" s="0" t="s">
        <v>160</v>
      </c>
      <c r="L977" s="0" t="s">
        <v>2068</v>
      </c>
    </row>
    <row r="978" customFormat="false" ht="15" hidden="false" customHeight="false" outlineLevel="0" collapsed="false">
      <c r="A978" s="0" t="s">
        <v>1231</v>
      </c>
      <c r="C978" s="0" t="s">
        <v>1106</v>
      </c>
      <c r="D978" s="0" t="s">
        <v>528</v>
      </c>
      <c r="E978" s="0" t="s">
        <v>1107</v>
      </c>
      <c r="F978" s="0" t="n">
        <v>0</v>
      </c>
      <c r="G978" s="0" t="n">
        <v>0</v>
      </c>
      <c r="H978" s="0" t="s">
        <v>117</v>
      </c>
      <c r="K978" s="0" t="s">
        <v>118</v>
      </c>
      <c r="L978" s="0" t="s">
        <v>2069</v>
      </c>
    </row>
    <row r="979" customFormat="false" ht="15" hidden="false" customHeight="false" outlineLevel="0" collapsed="false">
      <c r="A979" s="0" t="s">
        <v>1231</v>
      </c>
      <c r="C979" s="0" t="s">
        <v>1106</v>
      </c>
      <c r="D979" s="0" t="s">
        <v>531</v>
      </c>
      <c r="E979" s="0" t="s">
        <v>1109</v>
      </c>
      <c r="F979" s="0" t="n">
        <v>0</v>
      </c>
      <c r="G979" s="0" t="n">
        <v>0</v>
      </c>
      <c r="H979" s="0" t="s">
        <v>117</v>
      </c>
      <c r="K979" s="0" t="s">
        <v>123</v>
      </c>
      <c r="L979" s="0" t="s">
        <v>2070</v>
      </c>
    </row>
    <row r="980" customFormat="false" ht="15" hidden="false" customHeight="false" outlineLevel="0" collapsed="false">
      <c r="A980" s="0" t="s">
        <v>1231</v>
      </c>
      <c r="C980" s="0" t="s">
        <v>1106</v>
      </c>
      <c r="D980" s="0" t="s">
        <v>534</v>
      </c>
      <c r="E980" s="0" t="s">
        <v>1111</v>
      </c>
      <c r="F980" s="0" t="n">
        <v>0</v>
      </c>
      <c r="G980" s="0" t="n">
        <v>0</v>
      </c>
      <c r="H980" s="0" t="s">
        <v>117</v>
      </c>
      <c r="K980" s="0" t="s">
        <v>127</v>
      </c>
      <c r="L980" s="0" t="s">
        <v>2071</v>
      </c>
    </row>
    <row r="981" customFormat="false" ht="15" hidden="false" customHeight="false" outlineLevel="0" collapsed="false">
      <c r="A981" s="0" t="s">
        <v>1231</v>
      </c>
      <c r="C981" s="0" t="s">
        <v>1106</v>
      </c>
      <c r="D981" s="0" t="s">
        <v>52</v>
      </c>
      <c r="E981" s="0" t="s">
        <v>1113</v>
      </c>
      <c r="F981" s="0" t="n">
        <v>0</v>
      </c>
      <c r="G981" s="0" t="n">
        <v>0</v>
      </c>
      <c r="H981" s="0" t="s">
        <v>117</v>
      </c>
      <c r="K981" s="0" t="s">
        <v>132</v>
      </c>
      <c r="L981" s="0" t="s">
        <v>2072</v>
      </c>
    </row>
    <row r="982" customFormat="false" ht="15" hidden="false" customHeight="false" outlineLevel="0" collapsed="false">
      <c r="A982" s="0" t="s">
        <v>1231</v>
      </c>
      <c r="C982" s="0" t="s">
        <v>1106</v>
      </c>
      <c r="D982" s="0" t="s">
        <v>55</v>
      </c>
      <c r="E982" s="0" t="s">
        <v>1115</v>
      </c>
      <c r="F982" s="0" t="n">
        <v>0</v>
      </c>
      <c r="G982" s="0" t="n">
        <v>0</v>
      </c>
      <c r="H982" s="0" t="s">
        <v>117</v>
      </c>
      <c r="K982" s="0" t="s">
        <v>135</v>
      </c>
      <c r="L982" s="0" t="s">
        <v>2073</v>
      </c>
    </row>
    <row r="983" customFormat="false" ht="15" hidden="false" customHeight="false" outlineLevel="0" collapsed="false">
      <c r="A983" s="0" t="s">
        <v>1231</v>
      </c>
      <c r="C983" s="0" t="s">
        <v>1106</v>
      </c>
      <c r="D983" s="0" t="s">
        <v>58</v>
      </c>
      <c r="E983" s="0" t="s">
        <v>1117</v>
      </c>
      <c r="F983" s="0" t="n">
        <v>0</v>
      </c>
      <c r="G983" s="0" t="n">
        <v>0</v>
      </c>
      <c r="H983" s="0" t="s">
        <v>117</v>
      </c>
      <c r="K983" s="0" t="s">
        <v>138</v>
      </c>
      <c r="L983" s="0" t="s">
        <v>2074</v>
      </c>
    </row>
    <row r="984" customFormat="false" ht="15" hidden="false" customHeight="false" outlineLevel="0" collapsed="false">
      <c r="A984" s="0" t="s">
        <v>1231</v>
      </c>
      <c r="C984" s="0" t="s">
        <v>1106</v>
      </c>
      <c r="D984" s="0" t="s">
        <v>65</v>
      </c>
      <c r="E984" s="0" t="s">
        <v>1119</v>
      </c>
      <c r="F984" s="0" t="n">
        <v>0</v>
      </c>
      <c r="G984" s="0" t="n">
        <v>0</v>
      </c>
      <c r="H984" s="0" t="s">
        <v>117</v>
      </c>
      <c r="K984" s="0" t="s">
        <v>143</v>
      </c>
      <c r="L984" s="0" t="s">
        <v>2075</v>
      </c>
    </row>
    <row r="985" customFormat="false" ht="15" hidden="false" customHeight="false" outlineLevel="0" collapsed="false">
      <c r="A985" s="0" t="s">
        <v>1231</v>
      </c>
      <c r="C985" s="0" t="s">
        <v>1106</v>
      </c>
      <c r="D985" s="0" t="s">
        <v>69</v>
      </c>
      <c r="E985" s="0" t="s">
        <v>1121</v>
      </c>
      <c r="F985" s="0" t="n">
        <v>0</v>
      </c>
      <c r="G985" s="0" t="n">
        <v>0</v>
      </c>
      <c r="H985" s="0" t="s">
        <v>117</v>
      </c>
      <c r="K985" s="0" t="s">
        <v>146</v>
      </c>
      <c r="L985" s="0" t="s">
        <v>2076</v>
      </c>
    </row>
    <row r="986" customFormat="false" ht="15" hidden="false" customHeight="false" outlineLevel="0" collapsed="false">
      <c r="A986" s="0" t="s">
        <v>1231</v>
      </c>
      <c r="C986" s="0" t="s">
        <v>1106</v>
      </c>
      <c r="D986" s="0" t="s">
        <v>72</v>
      </c>
      <c r="E986" s="0" t="s">
        <v>1123</v>
      </c>
      <c r="F986" s="0" t="n">
        <v>0</v>
      </c>
      <c r="G986" s="0" t="n">
        <v>0</v>
      </c>
      <c r="H986" s="0" t="s">
        <v>117</v>
      </c>
      <c r="K986" s="0" t="s">
        <v>149</v>
      </c>
      <c r="L986" s="0" t="s">
        <v>2077</v>
      </c>
    </row>
    <row r="987" customFormat="false" ht="15" hidden="false" customHeight="false" outlineLevel="0" collapsed="false">
      <c r="A987" s="0" t="s">
        <v>1231</v>
      </c>
      <c r="C987" s="0" t="s">
        <v>1106</v>
      </c>
      <c r="D987" s="0" t="s">
        <v>75</v>
      </c>
      <c r="E987" s="0" t="s">
        <v>1125</v>
      </c>
      <c r="F987" s="0" t="n">
        <v>0</v>
      </c>
      <c r="G987" s="0" t="n">
        <v>0</v>
      </c>
      <c r="H987" s="0" t="s">
        <v>117</v>
      </c>
      <c r="K987" s="0" t="s">
        <v>152</v>
      </c>
      <c r="L987" s="0" t="s">
        <v>2078</v>
      </c>
    </row>
    <row r="988" customFormat="false" ht="15" hidden="false" customHeight="false" outlineLevel="0" collapsed="false">
      <c r="A988" s="0" t="s">
        <v>1231</v>
      </c>
      <c r="C988" s="0" t="s">
        <v>1106</v>
      </c>
      <c r="D988" s="0" t="s">
        <v>78</v>
      </c>
      <c r="E988" s="0" t="s">
        <v>1127</v>
      </c>
      <c r="F988" s="0" t="n">
        <v>0</v>
      </c>
      <c r="G988" s="0" t="n">
        <v>0</v>
      </c>
      <c r="H988" s="0" t="s">
        <v>117</v>
      </c>
      <c r="K988" s="0" t="s">
        <v>156</v>
      </c>
      <c r="L988" s="0" t="s">
        <v>2079</v>
      </c>
    </row>
    <row r="989" customFormat="false" ht="15" hidden="false" customHeight="false" outlineLevel="0" collapsed="false">
      <c r="A989" s="0" t="s">
        <v>1231</v>
      </c>
      <c r="C989" s="0" t="s">
        <v>1106</v>
      </c>
      <c r="D989" s="0" t="s">
        <v>81</v>
      </c>
      <c r="E989" s="0" t="s">
        <v>1129</v>
      </c>
      <c r="F989" s="0" t="n">
        <v>0</v>
      </c>
      <c r="G989" s="0" t="n">
        <v>0</v>
      </c>
      <c r="H989" s="0" t="s">
        <v>117</v>
      </c>
      <c r="K989" s="0" t="s">
        <v>160</v>
      </c>
      <c r="L989" s="0" t="s">
        <v>2080</v>
      </c>
    </row>
    <row r="990" customFormat="false" ht="15" hidden="false" customHeight="false" outlineLevel="0" collapsed="false">
      <c r="A990" s="0" t="s">
        <v>1231</v>
      </c>
      <c r="C990" s="0" t="s">
        <v>1131</v>
      </c>
      <c r="D990" s="0" t="s">
        <v>528</v>
      </c>
      <c r="E990" s="0" t="s">
        <v>1132</v>
      </c>
      <c r="F990" s="0" t="n">
        <v>0</v>
      </c>
      <c r="G990" s="0" t="n">
        <v>0</v>
      </c>
      <c r="H990" s="0" t="s">
        <v>117</v>
      </c>
      <c r="K990" s="0" t="s">
        <v>118</v>
      </c>
      <c r="L990" s="0" t="s">
        <v>2081</v>
      </c>
    </row>
    <row r="991" customFormat="false" ht="15" hidden="false" customHeight="false" outlineLevel="0" collapsed="false">
      <c r="A991" s="0" t="s">
        <v>1231</v>
      </c>
      <c r="C991" s="0" t="s">
        <v>1131</v>
      </c>
      <c r="D991" s="0" t="s">
        <v>531</v>
      </c>
      <c r="E991" s="0" t="s">
        <v>1134</v>
      </c>
      <c r="F991" s="0" t="n">
        <v>0</v>
      </c>
      <c r="G991" s="0" t="n">
        <v>0</v>
      </c>
      <c r="H991" s="0" t="s">
        <v>117</v>
      </c>
      <c r="K991" s="0" t="s">
        <v>123</v>
      </c>
      <c r="L991" s="0" t="s">
        <v>2082</v>
      </c>
    </row>
    <row r="992" customFormat="false" ht="15" hidden="false" customHeight="false" outlineLevel="0" collapsed="false">
      <c r="A992" s="0" t="s">
        <v>1231</v>
      </c>
      <c r="C992" s="0" t="s">
        <v>1131</v>
      </c>
      <c r="D992" s="0" t="s">
        <v>534</v>
      </c>
      <c r="E992" s="0" t="s">
        <v>1136</v>
      </c>
      <c r="F992" s="0" t="n">
        <v>0</v>
      </c>
      <c r="G992" s="0" t="n">
        <v>0</v>
      </c>
      <c r="H992" s="0" t="s">
        <v>117</v>
      </c>
      <c r="K992" s="0" t="s">
        <v>127</v>
      </c>
      <c r="L992" s="0" t="s">
        <v>2083</v>
      </c>
    </row>
    <row r="993" customFormat="false" ht="15" hidden="false" customHeight="false" outlineLevel="0" collapsed="false">
      <c r="A993" s="0" t="s">
        <v>1231</v>
      </c>
      <c r="C993" s="0" t="s">
        <v>1131</v>
      </c>
      <c r="D993" s="0" t="s">
        <v>52</v>
      </c>
      <c r="E993" s="0" t="s">
        <v>1138</v>
      </c>
      <c r="F993" s="0" t="n">
        <v>0</v>
      </c>
      <c r="G993" s="0" t="n">
        <v>0</v>
      </c>
      <c r="H993" s="0" t="s">
        <v>117</v>
      </c>
      <c r="K993" s="0" t="s">
        <v>132</v>
      </c>
      <c r="L993" s="0" t="s">
        <v>2084</v>
      </c>
    </row>
    <row r="994" customFormat="false" ht="15" hidden="false" customHeight="false" outlineLevel="0" collapsed="false">
      <c r="A994" s="0" t="s">
        <v>1231</v>
      </c>
      <c r="C994" s="0" t="s">
        <v>1131</v>
      </c>
      <c r="D994" s="0" t="s">
        <v>55</v>
      </c>
      <c r="E994" s="0" t="s">
        <v>1140</v>
      </c>
      <c r="F994" s="0" t="n">
        <v>0</v>
      </c>
      <c r="G994" s="0" t="n">
        <v>0</v>
      </c>
      <c r="H994" s="0" t="s">
        <v>117</v>
      </c>
      <c r="K994" s="0" t="s">
        <v>135</v>
      </c>
      <c r="L994" s="0" t="s">
        <v>2085</v>
      </c>
    </row>
    <row r="995" customFormat="false" ht="15" hidden="false" customHeight="false" outlineLevel="0" collapsed="false">
      <c r="A995" s="0" t="s">
        <v>1231</v>
      </c>
      <c r="C995" s="0" t="s">
        <v>1131</v>
      </c>
      <c r="D995" s="0" t="s">
        <v>58</v>
      </c>
      <c r="E995" s="0" t="s">
        <v>1142</v>
      </c>
      <c r="F995" s="0" t="n">
        <v>0</v>
      </c>
      <c r="G995" s="0" t="n">
        <v>0</v>
      </c>
      <c r="H995" s="0" t="s">
        <v>117</v>
      </c>
      <c r="K995" s="0" t="s">
        <v>138</v>
      </c>
      <c r="L995" s="0" t="s">
        <v>2086</v>
      </c>
    </row>
    <row r="996" customFormat="false" ht="15" hidden="false" customHeight="false" outlineLevel="0" collapsed="false">
      <c r="A996" s="0" t="s">
        <v>1231</v>
      </c>
      <c r="C996" s="0" t="s">
        <v>1131</v>
      </c>
      <c r="D996" s="0" t="s">
        <v>65</v>
      </c>
      <c r="E996" s="0" t="s">
        <v>1144</v>
      </c>
      <c r="F996" s="0" t="n">
        <v>0</v>
      </c>
      <c r="G996" s="0" t="n">
        <v>0</v>
      </c>
      <c r="H996" s="0" t="s">
        <v>117</v>
      </c>
      <c r="K996" s="0" t="s">
        <v>143</v>
      </c>
      <c r="L996" s="0" t="s">
        <v>2087</v>
      </c>
    </row>
    <row r="997" customFormat="false" ht="15" hidden="false" customHeight="false" outlineLevel="0" collapsed="false">
      <c r="A997" s="0" t="s">
        <v>1231</v>
      </c>
      <c r="C997" s="0" t="s">
        <v>1131</v>
      </c>
      <c r="D997" s="0" t="s">
        <v>69</v>
      </c>
      <c r="E997" s="0" t="s">
        <v>1146</v>
      </c>
      <c r="F997" s="0" t="n">
        <v>0</v>
      </c>
      <c r="G997" s="0" t="n">
        <v>0</v>
      </c>
      <c r="H997" s="0" t="s">
        <v>117</v>
      </c>
      <c r="K997" s="0" t="s">
        <v>146</v>
      </c>
      <c r="L997" s="0" t="s">
        <v>2088</v>
      </c>
    </row>
    <row r="998" customFormat="false" ht="15" hidden="false" customHeight="false" outlineLevel="0" collapsed="false">
      <c r="A998" s="0" t="s">
        <v>1231</v>
      </c>
      <c r="C998" s="0" t="s">
        <v>1131</v>
      </c>
      <c r="D998" s="0" t="s">
        <v>72</v>
      </c>
      <c r="E998" s="0" t="s">
        <v>1148</v>
      </c>
      <c r="F998" s="0" t="n">
        <v>0</v>
      </c>
      <c r="G998" s="0" t="n">
        <v>0</v>
      </c>
      <c r="H998" s="0" t="s">
        <v>117</v>
      </c>
      <c r="K998" s="0" t="s">
        <v>149</v>
      </c>
      <c r="L998" s="0" t="s">
        <v>2089</v>
      </c>
    </row>
    <row r="999" customFormat="false" ht="15" hidden="false" customHeight="false" outlineLevel="0" collapsed="false">
      <c r="A999" s="0" t="s">
        <v>1231</v>
      </c>
      <c r="C999" s="0" t="s">
        <v>1131</v>
      </c>
      <c r="D999" s="0" t="s">
        <v>75</v>
      </c>
      <c r="E999" s="0" t="s">
        <v>1150</v>
      </c>
      <c r="F999" s="0" t="n">
        <v>0</v>
      </c>
      <c r="G999" s="0" t="n">
        <v>0</v>
      </c>
      <c r="H999" s="0" t="s">
        <v>117</v>
      </c>
      <c r="K999" s="0" t="s">
        <v>152</v>
      </c>
      <c r="L999" s="0" t="s">
        <v>2090</v>
      </c>
    </row>
    <row r="1000" customFormat="false" ht="15" hidden="false" customHeight="false" outlineLevel="0" collapsed="false">
      <c r="A1000" s="0" t="s">
        <v>1231</v>
      </c>
      <c r="C1000" s="0" t="s">
        <v>1131</v>
      </c>
      <c r="D1000" s="0" t="s">
        <v>78</v>
      </c>
      <c r="E1000" s="0" t="s">
        <v>1152</v>
      </c>
      <c r="F1000" s="0" t="n">
        <v>0</v>
      </c>
      <c r="G1000" s="0" t="n">
        <v>0</v>
      </c>
      <c r="H1000" s="0" t="s">
        <v>117</v>
      </c>
      <c r="K1000" s="0" t="s">
        <v>156</v>
      </c>
      <c r="L1000" s="0" t="s">
        <v>2091</v>
      </c>
    </row>
    <row r="1001" customFormat="false" ht="15" hidden="false" customHeight="false" outlineLevel="0" collapsed="false">
      <c r="A1001" s="0" t="s">
        <v>1231</v>
      </c>
      <c r="C1001" s="0" t="s">
        <v>1131</v>
      </c>
      <c r="D1001" s="0" t="s">
        <v>81</v>
      </c>
      <c r="E1001" s="0" t="s">
        <v>1154</v>
      </c>
      <c r="F1001" s="0" t="n">
        <v>0</v>
      </c>
      <c r="G1001" s="0" t="n">
        <v>0</v>
      </c>
      <c r="H1001" s="0" t="s">
        <v>117</v>
      </c>
      <c r="K1001" s="0" t="s">
        <v>160</v>
      </c>
      <c r="L1001" s="0" t="s">
        <v>2092</v>
      </c>
    </row>
    <row r="1002" customFormat="false" ht="15" hidden="false" customHeight="false" outlineLevel="0" collapsed="false">
      <c r="A1002" s="0" t="s">
        <v>1231</v>
      </c>
      <c r="C1002" s="0" t="s">
        <v>1156</v>
      </c>
      <c r="D1002" s="0" t="s">
        <v>528</v>
      </c>
      <c r="E1002" s="0" t="s">
        <v>1157</v>
      </c>
      <c r="F1002" s="0" t="n">
        <v>0</v>
      </c>
      <c r="G1002" s="0" t="n">
        <v>0</v>
      </c>
      <c r="H1002" s="0" t="s">
        <v>117</v>
      </c>
      <c r="K1002" s="0" t="s">
        <v>118</v>
      </c>
      <c r="L1002" s="0" t="s">
        <v>2093</v>
      </c>
    </row>
    <row r="1003" customFormat="false" ht="15" hidden="false" customHeight="false" outlineLevel="0" collapsed="false">
      <c r="A1003" s="0" t="s">
        <v>1231</v>
      </c>
      <c r="C1003" s="0" t="s">
        <v>1156</v>
      </c>
      <c r="D1003" s="0" t="s">
        <v>531</v>
      </c>
      <c r="E1003" s="0" t="s">
        <v>1159</v>
      </c>
      <c r="F1003" s="0" t="n">
        <v>0</v>
      </c>
      <c r="G1003" s="0" t="n">
        <v>0</v>
      </c>
      <c r="H1003" s="0" t="s">
        <v>117</v>
      </c>
      <c r="K1003" s="0" t="s">
        <v>123</v>
      </c>
      <c r="L1003" s="0" t="s">
        <v>2094</v>
      </c>
    </row>
    <row r="1004" customFormat="false" ht="15" hidden="false" customHeight="false" outlineLevel="0" collapsed="false">
      <c r="A1004" s="0" t="s">
        <v>1231</v>
      </c>
      <c r="C1004" s="0" t="s">
        <v>1156</v>
      </c>
      <c r="D1004" s="0" t="s">
        <v>534</v>
      </c>
      <c r="E1004" s="0" t="s">
        <v>1161</v>
      </c>
      <c r="F1004" s="0" t="n">
        <v>0</v>
      </c>
      <c r="G1004" s="0" t="n">
        <v>0</v>
      </c>
      <c r="H1004" s="0" t="s">
        <v>117</v>
      </c>
      <c r="K1004" s="0" t="s">
        <v>127</v>
      </c>
      <c r="L1004" s="0" t="s">
        <v>2095</v>
      </c>
    </row>
    <row r="1005" customFormat="false" ht="15" hidden="false" customHeight="false" outlineLevel="0" collapsed="false">
      <c r="A1005" s="0" t="s">
        <v>1231</v>
      </c>
      <c r="C1005" s="0" t="s">
        <v>1156</v>
      </c>
      <c r="D1005" s="0" t="s">
        <v>52</v>
      </c>
      <c r="E1005" s="0" t="s">
        <v>1163</v>
      </c>
      <c r="F1005" s="0" t="n">
        <v>0</v>
      </c>
      <c r="G1005" s="0" t="n">
        <v>0</v>
      </c>
      <c r="H1005" s="0" t="s">
        <v>117</v>
      </c>
      <c r="K1005" s="0" t="s">
        <v>132</v>
      </c>
      <c r="L1005" s="0" t="s">
        <v>2096</v>
      </c>
    </row>
    <row r="1006" customFormat="false" ht="15" hidden="false" customHeight="false" outlineLevel="0" collapsed="false">
      <c r="A1006" s="0" t="s">
        <v>1231</v>
      </c>
      <c r="C1006" s="0" t="s">
        <v>1156</v>
      </c>
      <c r="D1006" s="0" t="s">
        <v>55</v>
      </c>
      <c r="E1006" s="0" t="s">
        <v>1165</v>
      </c>
      <c r="F1006" s="0" t="n">
        <v>0</v>
      </c>
      <c r="G1006" s="0" t="n">
        <v>0</v>
      </c>
      <c r="H1006" s="0" t="s">
        <v>117</v>
      </c>
      <c r="K1006" s="0" t="s">
        <v>135</v>
      </c>
      <c r="L1006" s="0" t="s">
        <v>2097</v>
      </c>
    </row>
    <row r="1007" customFormat="false" ht="15" hidden="false" customHeight="false" outlineLevel="0" collapsed="false">
      <c r="A1007" s="0" t="s">
        <v>1231</v>
      </c>
      <c r="C1007" s="0" t="s">
        <v>1156</v>
      </c>
      <c r="D1007" s="0" t="s">
        <v>58</v>
      </c>
      <c r="E1007" s="0" t="s">
        <v>1167</v>
      </c>
      <c r="F1007" s="0" t="n">
        <v>0</v>
      </c>
      <c r="G1007" s="0" t="n">
        <v>0</v>
      </c>
      <c r="H1007" s="0" t="s">
        <v>117</v>
      </c>
      <c r="K1007" s="0" t="s">
        <v>138</v>
      </c>
      <c r="L1007" s="0" t="s">
        <v>2098</v>
      </c>
    </row>
    <row r="1008" customFormat="false" ht="15" hidden="false" customHeight="false" outlineLevel="0" collapsed="false">
      <c r="A1008" s="0" t="s">
        <v>1231</v>
      </c>
      <c r="C1008" s="0" t="s">
        <v>1156</v>
      </c>
      <c r="D1008" s="0" t="s">
        <v>65</v>
      </c>
      <c r="E1008" s="0" t="s">
        <v>1169</v>
      </c>
      <c r="F1008" s="0" t="n">
        <v>0</v>
      </c>
      <c r="G1008" s="0" t="n">
        <v>0</v>
      </c>
      <c r="H1008" s="0" t="s">
        <v>117</v>
      </c>
      <c r="K1008" s="0" t="s">
        <v>143</v>
      </c>
      <c r="L1008" s="0" t="s">
        <v>2099</v>
      </c>
    </row>
    <row r="1009" customFormat="false" ht="15" hidden="false" customHeight="false" outlineLevel="0" collapsed="false">
      <c r="A1009" s="0" t="s">
        <v>1231</v>
      </c>
      <c r="C1009" s="0" t="s">
        <v>1156</v>
      </c>
      <c r="D1009" s="0" t="s">
        <v>69</v>
      </c>
      <c r="E1009" s="0" t="s">
        <v>1171</v>
      </c>
      <c r="F1009" s="0" t="n">
        <v>0</v>
      </c>
      <c r="G1009" s="0" t="n">
        <v>0</v>
      </c>
      <c r="H1009" s="0" t="s">
        <v>117</v>
      </c>
      <c r="K1009" s="0" t="s">
        <v>146</v>
      </c>
      <c r="L1009" s="0" t="s">
        <v>2100</v>
      </c>
    </row>
    <row r="1010" customFormat="false" ht="15" hidden="false" customHeight="false" outlineLevel="0" collapsed="false">
      <c r="A1010" s="0" t="s">
        <v>1231</v>
      </c>
      <c r="C1010" s="0" t="s">
        <v>1156</v>
      </c>
      <c r="D1010" s="0" t="s">
        <v>72</v>
      </c>
      <c r="E1010" s="0" t="s">
        <v>1173</v>
      </c>
      <c r="F1010" s="0" t="n">
        <v>0</v>
      </c>
      <c r="G1010" s="0" t="n">
        <v>0</v>
      </c>
      <c r="H1010" s="0" t="s">
        <v>117</v>
      </c>
      <c r="K1010" s="0" t="s">
        <v>149</v>
      </c>
      <c r="L1010" s="0" t="s">
        <v>2101</v>
      </c>
    </row>
    <row r="1011" customFormat="false" ht="15" hidden="false" customHeight="false" outlineLevel="0" collapsed="false">
      <c r="A1011" s="0" t="s">
        <v>1231</v>
      </c>
      <c r="C1011" s="0" t="s">
        <v>1156</v>
      </c>
      <c r="D1011" s="0" t="s">
        <v>75</v>
      </c>
      <c r="E1011" s="0" t="s">
        <v>1175</v>
      </c>
      <c r="F1011" s="0" t="n">
        <v>0</v>
      </c>
      <c r="G1011" s="0" t="n">
        <v>0</v>
      </c>
      <c r="H1011" s="0" t="s">
        <v>117</v>
      </c>
      <c r="K1011" s="0" t="s">
        <v>152</v>
      </c>
      <c r="L1011" s="0" t="s">
        <v>2102</v>
      </c>
    </row>
    <row r="1012" customFormat="false" ht="15" hidden="false" customHeight="false" outlineLevel="0" collapsed="false">
      <c r="A1012" s="0" t="s">
        <v>1231</v>
      </c>
      <c r="C1012" s="0" t="s">
        <v>1156</v>
      </c>
      <c r="D1012" s="0" t="s">
        <v>78</v>
      </c>
      <c r="E1012" s="0" t="s">
        <v>1177</v>
      </c>
      <c r="F1012" s="0" t="n">
        <v>0</v>
      </c>
      <c r="G1012" s="0" t="n">
        <v>0</v>
      </c>
      <c r="H1012" s="0" t="s">
        <v>117</v>
      </c>
      <c r="K1012" s="0" t="s">
        <v>156</v>
      </c>
      <c r="L1012" s="0" t="s">
        <v>2103</v>
      </c>
    </row>
    <row r="1013" customFormat="false" ht="15" hidden="false" customHeight="false" outlineLevel="0" collapsed="false">
      <c r="A1013" s="0" t="s">
        <v>1231</v>
      </c>
      <c r="C1013" s="0" t="s">
        <v>1156</v>
      </c>
      <c r="D1013" s="0" t="s">
        <v>81</v>
      </c>
      <c r="E1013" s="0" t="s">
        <v>2104</v>
      </c>
      <c r="F1013" s="0" t="n">
        <v>0</v>
      </c>
      <c r="G1013" s="0" t="n">
        <v>0</v>
      </c>
      <c r="H1013" s="0" t="s">
        <v>117</v>
      </c>
      <c r="K1013" s="0" t="s">
        <v>160</v>
      </c>
      <c r="L1013" s="0" t="s">
        <v>2105</v>
      </c>
    </row>
    <row r="1014" customFormat="false" ht="15" hidden="false" customHeight="false" outlineLevel="0" collapsed="false">
      <c r="A1014" s="0" t="s">
        <v>1231</v>
      </c>
      <c r="C1014" s="0" t="s">
        <v>1181</v>
      </c>
      <c r="D1014" s="0" t="s">
        <v>528</v>
      </c>
      <c r="E1014" s="0" t="s">
        <v>1182</v>
      </c>
      <c r="F1014" s="0" t="n">
        <v>0</v>
      </c>
      <c r="G1014" s="0" t="n">
        <v>0</v>
      </c>
      <c r="H1014" s="0" t="s">
        <v>117</v>
      </c>
      <c r="K1014" s="0" t="s">
        <v>118</v>
      </c>
      <c r="L1014" s="0" t="s">
        <v>2106</v>
      </c>
    </row>
    <row r="1015" customFormat="false" ht="15" hidden="false" customHeight="false" outlineLevel="0" collapsed="false">
      <c r="A1015" s="0" t="s">
        <v>1231</v>
      </c>
      <c r="C1015" s="0" t="s">
        <v>1181</v>
      </c>
      <c r="D1015" s="0" t="s">
        <v>531</v>
      </c>
      <c r="E1015" s="0" t="s">
        <v>2107</v>
      </c>
      <c r="F1015" s="0" t="n">
        <v>0</v>
      </c>
      <c r="G1015" s="0" t="n">
        <v>0</v>
      </c>
      <c r="H1015" s="0" t="s">
        <v>117</v>
      </c>
      <c r="K1015" s="0" t="s">
        <v>123</v>
      </c>
      <c r="L1015" s="0" t="s">
        <v>2108</v>
      </c>
    </row>
    <row r="1016" customFormat="false" ht="15" hidden="false" customHeight="false" outlineLevel="0" collapsed="false">
      <c r="A1016" s="0" t="s">
        <v>1231</v>
      </c>
      <c r="C1016" s="0" t="s">
        <v>1181</v>
      </c>
      <c r="D1016" s="0" t="s">
        <v>534</v>
      </c>
      <c r="E1016" s="0" t="s">
        <v>2109</v>
      </c>
      <c r="F1016" s="0" t="n">
        <v>0</v>
      </c>
      <c r="G1016" s="0" t="n">
        <v>0</v>
      </c>
      <c r="H1016" s="0" t="s">
        <v>117</v>
      </c>
      <c r="K1016" s="0" t="s">
        <v>127</v>
      </c>
      <c r="L1016" s="0" t="s">
        <v>2110</v>
      </c>
    </row>
    <row r="1017" customFormat="false" ht="15" hidden="false" customHeight="false" outlineLevel="0" collapsed="false">
      <c r="A1017" s="0" t="s">
        <v>1231</v>
      </c>
      <c r="C1017" s="0" t="s">
        <v>1181</v>
      </c>
      <c r="D1017" s="0" t="s">
        <v>52</v>
      </c>
      <c r="E1017" s="0" t="s">
        <v>2111</v>
      </c>
      <c r="F1017" s="0" t="n">
        <v>0</v>
      </c>
      <c r="G1017" s="0" t="n">
        <v>0</v>
      </c>
      <c r="H1017" s="0" t="s">
        <v>117</v>
      </c>
      <c r="K1017" s="0" t="s">
        <v>132</v>
      </c>
      <c r="L1017" s="0" t="s">
        <v>2112</v>
      </c>
    </row>
    <row r="1018" customFormat="false" ht="15" hidden="false" customHeight="false" outlineLevel="0" collapsed="false">
      <c r="A1018" s="0" t="s">
        <v>1231</v>
      </c>
      <c r="C1018" s="0" t="s">
        <v>1181</v>
      </c>
      <c r="D1018" s="0" t="s">
        <v>55</v>
      </c>
      <c r="E1018" s="0" t="s">
        <v>1190</v>
      </c>
      <c r="F1018" s="0" t="n">
        <v>0</v>
      </c>
      <c r="G1018" s="0" t="n">
        <v>0</v>
      </c>
      <c r="H1018" s="0" t="s">
        <v>117</v>
      </c>
      <c r="K1018" s="0" t="s">
        <v>135</v>
      </c>
      <c r="L1018" s="0" t="s">
        <v>2113</v>
      </c>
    </row>
    <row r="1019" customFormat="false" ht="15" hidden="false" customHeight="false" outlineLevel="0" collapsed="false">
      <c r="A1019" s="0" t="s">
        <v>1231</v>
      </c>
      <c r="C1019" s="0" t="s">
        <v>1181</v>
      </c>
      <c r="D1019" s="0" t="s">
        <v>58</v>
      </c>
      <c r="E1019" s="0" t="s">
        <v>1192</v>
      </c>
      <c r="F1019" s="0" t="n">
        <v>0</v>
      </c>
      <c r="G1019" s="0" t="n">
        <v>0</v>
      </c>
      <c r="H1019" s="0" t="s">
        <v>117</v>
      </c>
      <c r="K1019" s="0" t="s">
        <v>138</v>
      </c>
      <c r="L1019" s="0" t="s">
        <v>2114</v>
      </c>
    </row>
    <row r="1020" customFormat="false" ht="15" hidden="false" customHeight="false" outlineLevel="0" collapsed="false">
      <c r="A1020" s="0" t="s">
        <v>1231</v>
      </c>
      <c r="C1020" s="0" t="s">
        <v>1181</v>
      </c>
      <c r="D1020" s="0" t="s">
        <v>65</v>
      </c>
      <c r="E1020" s="0" t="s">
        <v>1194</v>
      </c>
      <c r="F1020" s="0" t="n">
        <v>0</v>
      </c>
      <c r="G1020" s="0" t="n">
        <v>0</v>
      </c>
      <c r="H1020" s="0" t="s">
        <v>117</v>
      </c>
      <c r="K1020" s="0" t="s">
        <v>143</v>
      </c>
      <c r="L1020" s="0" t="s">
        <v>2115</v>
      </c>
    </row>
    <row r="1021" customFormat="false" ht="15" hidden="false" customHeight="false" outlineLevel="0" collapsed="false">
      <c r="A1021" s="0" t="s">
        <v>1231</v>
      </c>
      <c r="C1021" s="0" t="s">
        <v>1181</v>
      </c>
      <c r="D1021" s="0" t="s">
        <v>69</v>
      </c>
      <c r="E1021" s="0" t="s">
        <v>1196</v>
      </c>
      <c r="F1021" s="0" t="n">
        <v>0</v>
      </c>
      <c r="G1021" s="0" t="n">
        <v>0</v>
      </c>
      <c r="H1021" s="0" t="s">
        <v>117</v>
      </c>
      <c r="K1021" s="0" t="s">
        <v>146</v>
      </c>
      <c r="L1021" s="0" t="s">
        <v>2116</v>
      </c>
    </row>
    <row r="1022" customFormat="false" ht="15" hidden="false" customHeight="false" outlineLevel="0" collapsed="false">
      <c r="A1022" s="0" t="s">
        <v>1231</v>
      </c>
      <c r="C1022" s="0" t="s">
        <v>1181</v>
      </c>
      <c r="D1022" s="0" t="s">
        <v>72</v>
      </c>
      <c r="E1022" s="0" t="s">
        <v>1198</v>
      </c>
      <c r="F1022" s="0" t="n">
        <v>0</v>
      </c>
      <c r="G1022" s="0" t="n">
        <v>0</v>
      </c>
      <c r="H1022" s="0" t="s">
        <v>117</v>
      </c>
      <c r="K1022" s="0" t="s">
        <v>149</v>
      </c>
      <c r="L1022" s="0" t="s">
        <v>2117</v>
      </c>
    </row>
    <row r="1023" customFormat="false" ht="15" hidden="false" customHeight="false" outlineLevel="0" collapsed="false">
      <c r="A1023" s="0" t="s">
        <v>1231</v>
      </c>
      <c r="C1023" s="0" t="s">
        <v>1181</v>
      </c>
      <c r="D1023" s="0" t="s">
        <v>75</v>
      </c>
      <c r="E1023" s="0" t="s">
        <v>1200</v>
      </c>
      <c r="F1023" s="0" t="n">
        <v>0</v>
      </c>
      <c r="G1023" s="0" t="n">
        <v>0</v>
      </c>
      <c r="H1023" s="0" t="s">
        <v>117</v>
      </c>
      <c r="K1023" s="0" t="s">
        <v>152</v>
      </c>
      <c r="L1023" s="0" t="s">
        <v>2118</v>
      </c>
    </row>
    <row r="1024" customFormat="false" ht="15" hidden="false" customHeight="false" outlineLevel="0" collapsed="false">
      <c r="A1024" s="0" t="s">
        <v>1231</v>
      </c>
      <c r="C1024" s="0" t="s">
        <v>1181</v>
      </c>
      <c r="D1024" s="0" t="s">
        <v>78</v>
      </c>
      <c r="E1024" s="0" t="s">
        <v>1202</v>
      </c>
      <c r="F1024" s="0" t="n">
        <v>0</v>
      </c>
      <c r="G1024" s="0" t="n">
        <v>0</v>
      </c>
      <c r="H1024" s="0" t="s">
        <v>117</v>
      </c>
      <c r="K1024" s="0" t="s">
        <v>156</v>
      </c>
      <c r="L1024" s="0" t="s">
        <v>2119</v>
      </c>
    </row>
    <row r="1025" customFormat="false" ht="15" hidden="false" customHeight="false" outlineLevel="0" collapsed="false">
      <c r="A1025" s="0" t="s">
        <v>1231</v>
      </c>
      <c r="C1025" s="0" t="s">
        <v>1181</v>
      </c>
      <c r="D1025" s="0" t="s">
        <v>81</v>
      </c>
      <c r="E1025" s="0" t="s">
        <v>1204</v>
      </c>
      <c r="F1025" s="0" t="n">
        <v>0</v>
      </c>
      <c r="G1025" s="0" t="n">
        <v>0</v>
      </c>
      <c r="H1025" s="0" t="s">
        <v>117</v>
      </c>
      <c r="K1025" s="0" t="s">
        <v>160</v>
      </c>
      <c r="L1025" s="0" t="s">
        <v>2120</v>
      </c>
    </row>
    <row r="1026" customFormat="false" ht="15" hidden="false" customHeight="false" outlineLevel="0" collapsed="false">
      <c r="A1026" s="0" t="s">
        <v>1231</v>
      </c>
      <c r="C1026" s="0" t="s">
        <v>1206</v>
      </c>
      <c r="D1026" s="0" t="s">
        <v>528</v>
      </c>
      <c r="E1026" s="0" t="s">
        <v>1207</v>
      </c>
      <c r="F1026" s="0" t="n">
        <v>0</v>
      </c>
      <c r="G1026" s="0" t="n">
        <v>0</v>
      </c>
      <c r="H1026" s="0" t="s">
        <v>117</v>
      </c>
      <c r="K1026" s="0" t="s">
        <v>118</v>
      </c>
      <c r="L1026" s="0" t="s">
        <v>2121</v>
      </c>
    </row>
    <row r="1027" customFormat="false" ht="15" hidden="false" customHeight="false" outlineLevel="0" collapsed="false">
      <c r="A1027" s="0" t="s">
        <v>1231</v>
      </c>
      <c r="C1027" s="0" t="s">
        <v>1206</v>
      </c>
      <c r="D1027" s="0" t="s">
        <v>531</v>
      </c>
      <c r="E1027" s="0" t="s">
        <v>1209</v>
      </c>
      <c r="F1027" s="0" t="n">
        <v>0</v>
      </c>
      <c r="G1027" s="0" t="n">
        <v>0</v>
      </c>
      <c r="H1027" s="0" t="s">
        <v>117</v>
      </c>
      <c r="K1027" s="0" t="s">
        <v>123</v>
      </c>
      <c r="L1027" s="0" t="s">
        <v>2122</v>
      </c>
    </row>
    <row r="1028" customFormat="false" ht="15" hidden="false" customHeight="false" outlineLevel="0" collapsed="false">
      <c r="A1028" s="0" t="s">
        <v>1231</v>
      </c>
      <c r="C1028" s="0" t="s">
        <v>1206</v>
      </c>
      <c r="D1028" s="0" t="s">
        <v>534</v>
      </c>
      <c r="E1028" s="0" t="s">
        <v>1211</v>
      </c>
      <c r="F1028" s="0" t="n">
        <v>0</v>
      </c>
      <c r="G1028" s="0" t="n">
        <v>0</v>
      </c>
      <c r="H1028" s="0" t="s">
        <v>117</v>
      </c>
      <c r="K1028" s="0" t="s">
        <v>127</v>
      </c>
      <c r="L1028" s="0" t="s">
        <v>2123</v>
      </c>
    </row>
    <row r="1029" customFormat="false" ht="15" hidden="false" customHeight="false" outlineLevel="0" collapsed="false">
      <c r="A1029" s="0" t="s">
        <v>1231</v>
      </c>
      <c r="C1029" s="0" t="s">
        <v>1206</v>
      </c>
      <c r="D1029" s="0" t="s">
        <v>52</v>
      </c>
      <c r="E1029" s="0" t="s">
        <v>1213</v>
      </c>
      <c r="F1029" s="0" t="n">
        <v>0</v>
      </c>
      <c r="G1029" s="0" t="n">
        <v>0</v>
      </c>
      <c r="H1029" s="0" t="s">
        <v>117</v>
      </c>
      <c r="K1029" s="0" t="s">
        <v>132</v>
      </c>
      <c r="L1029" s="0" t="s">
        <v>2124</v>
      </c>
    </row>
    <row r="1030" customFormat="false" ht="15" hidden="false" customHeight="false" outlineLevel="0" collapsed="false">
      <c r="A1030" s="0" t="s">
        <v>1231</v>
      </c>
      <c r="C1030" s="0" t="s">
        <v>1206</v>
      </c>
      <c r="D1030" s="0" t="s">
        <v>55</v>
      </c>
      <c r="E1030" s="0" t="s">
        <v>1215</v>
      </c>
      <c r="F1030" s="0" t="n">
        <v>0</v>
      </c>
      <c r="G1030" s="0" t="n">
        <v>0</v>
      </c>
      <c r="H1030" s="0" t="s">
        <v>117</v>
      </c>
      <c r="K1030" s="0" t="s">
        <v>135</v>
      </c>
      <c r="L1030" s="0" t="s">
        <v>2125</v>
      </c>
    </row>
    <row r="1031" customFormat="false" ht="15" hidden="false" customHeight="false" outlineLevel="0" collapsed="false">
      <c r="A1031" s="0" t="s">
        <v>1231</v>
      </c>
      <c r="C1031" s="0" t="s">
        <v>1206</v>
      </c>
      <c r="D1031" s="0" t="s">
        <v>58</v>
      </c>
      <c r="E1031" s="0" t="s">
        <v>1217</v>
      </c>
      <c r="F1031" s="0" t="n">
        <v>0</v>
      </c>
      <c r="G1031" s="0" t="n">
        <v>0</v>
      </c>
      <c r="H1031" s="0" t="s">
        <v>117</v>
      </c>
      <c r="K1031" s="0" t="s">
        <v>138</v>
      </c>
      <c r="L1031" s="0" t="s">
        <v>2126</v>
      </c>
    </row>
    <row r="1032" customFormat="false" ht="15" hidden="false" customHeight="false" outlineLevel="0" collapsed="false">
      <c r="A1032" s="0" t="s">
        <v>1231</v>
      </c>
      <c r="C1032" s="0" t="s">
        <v>1206</v>
      </c>
      <c r="D1032" s="0" t="s">
        <v>65</v>
      </c>
      <c r="E1032" s="0" t="s">
        <v>1219</v>
      </c>
      <c r="F1032" s="0" t="n">
        <v>0</v>
      </c>
      <c r="G1032" s="0" t="n">
        <v>0</v>
      </c>
      <c r="H1032" s="0" t="s">
        <v>117</v>
      </c>
      <c r="K1032" s="0" t="s">
        <v>143</v>
      </c>
      <c r="L1032" s="0" t="s">
        <v>2127</v>
      </c>
    </row>
    <row r="1033" customFormat="false" ht="15" hidden="false" customHeight="false" outlineLevel="0" collapsed="false">
      <c r="A1033" s="0" t="s">
        <v>1231</v>
      </c>
      <c r="C1033" s="0" t="s">
        <v>1206</v>
      </c>
      <c r="D1033" s="0" t="s">
        <v>69</v>
      </c>
      <c r="E1033" s="0" t="s">
        <v>1221</v>
      </c>
      <c r="F1033" s="0" t="n">
        <v>0</v>
      </c>
      <c r="G1033" s="0" t="n">
        <v>0</v>
      </c>
      <c r="H1033" s="0" t="s">
        <v>117</v>
      </c>
      <c r="K1033" s="0" t="s">
        <v>146</v>
      </c>
      <c r="L1033" s="0" t="s">
        <v>2128</v>
      </c>
    </row>
    <row r="1034" customFormat="false" ht="15" hidden="false" customHeight="false" outlineLevel="0" collapsed="false">
      <c r="A1034" s="0" t="s">
        <v>1231</v>
      </c>
      <c r="C1034" s="0" t="s">
        <v>1206</v>
      </c>
      <c r="D1034" s="0" t="s">
        <v>72</v>
      </c>
      <c r="E1034" s="0" t="s">
        <v>1223</v>
      </c>
      <c r="F1034" s="0" t="n">
        <v>0</v>
      </c>
      <c r="G1034" s="0" t="n">
        <v>0</v>
      </c>
      <c r="H1034" s="0" t="s">
        <v>117</v>
      </c>
      <c r="K1034" s="0" t="s">
        <v>149</v>
      </c>
      <c r="L1034" s="0" t="s">
        <v>2129</v>
      </c>
    </row>
    <row r="1035" customFormat="false" ht="15" hidden="false" customHeight="false" outlineLevel="0" collapsed="false">
      <c r="A1035" s="0" t="s">
        <v>1231</v>
      </c>
      <c r="C1035" s="0" t="s">
        <v>1206</v>
      </c>
      <c r="D1035" s="0" t="s">
        <v>75</v>
      </c>
      <c r="E1035" s="0" t="s">
        <v>1225</v>
      </c>
      <c r="F1035" s="0" t="n">
        <v>0</v>
      </c>
      <c r="G1035" s="0" t="n">
        <v>0</v>
      </c>
      <c r="H1035" s="0" t="s">
        <v>117</v>
      </c>
      <c r="K1035" s="0" t="s">
        <v>152</v>
      </c>
      <c r="L1035" s="0" t="s">
        <v>2130</v>
      </c>
    </row>
    <row r="1036" customFormat="false" ht="15" hidden="false" customHeight="false" outlineLevel="0" collapsed="false">
      <c r="A1036" s="0" t="s">
        <v>1231</v>
      </c>
      <c r="C1036" s="0" t="s">
        <v>1206</v>
      </c>
      <c r="D1036" s="0" t="s">
        <v>78</v>
      </c>
      <c r="E1036" s="0" t="s">
        <v>2131</v>
      </c>
      <c r="F1036" s="0" t="n">
        <v>0</v>
      </c>
      <c r="G1036" s="0" t="n">
        <v>0</v>
      </c>
      <c r="H1036" s="0" t="s">
        <v>117</v>
      </c>
      <c r="K1036" s="0" t="s">
        <v>156</v>
      </c>
      <c r="L1036" s="0" t="s">
        <v>2132</v>
      </c>
    </row>
    <row r="1037" customFormat="false" ht="15" hidden="false" customHeight="false" outlineLevel="0" collapsed="false">
      <c r="A1037" s="0" t="s">
        <v>1231</v>
      </c>
      <c r="C1037" s="0" t="s">
        <v>1206</v>
      </c>
      <c r="D1037" s="0" t="s">
        <v>81</v>
      </c>
      <c r="E1037" s="0" t="s">
        <v>1229</v>
      </c>
      <c r="F1037" s="0" t="n">
        <v>0</v>
      </c>
      <c r="G1037" s="0" t="n">
        <v>0</v>
      </c>
      <c r="H1037" s="0" t="s">
        <v>117</v>
      </c>
      <c r="K1037" s="0" t="s">
        <v>160</v>
      </c>
      <c r="L1037" s="0" t="s">
        <v>2133</v>
      </c>
    </row>
    <row r="1038" customFormat="false" ht="15" hidden="false" customHeight="false" outlineLevel="0" collapsed="false">
      <c r="A1038" s="0" t="s">
        <v>2134</v>
      </c>
      <c r="B1038" s="0" t="s">
        <v>129</v>
      </c>
      <c r="C1038" s="0" t="s">
        <v>114</v>
      </c>
      <c r="D1038" s="0" t="s">
        <v>115</v>
      </c>
      <c r="E1038" s="0" t="s">
        <v>2135</v>
      </c>
      <c r="F1038" s="0" t="n">
        <v>0</v>
      </c>
      <c r="G1038" s="0" t="n">
        <v>0</v>
      </c>
      <c r="H1038" s="0" t="s">
        <v>117</v>
      </c>
      <c r="K1038" s="0" t="s">
        <v>118</v>
      </c>
      <c r="L1038" s="0" t="s">
        <v>2136</v>
      </c>
    </row>
    <row r="1039" customFormat="false" ht="15" hidden="false" customHeight="false" outlineLevel="0" collapsed="false">
      <c r="A1039" s="0" t="s">
        <v>2134</v>
      </c>
      <c r="B1039" s="0" t="s">
        <v>129</v>
      </c>
      <c r="C1039" s="0" t="s">
        <v>114</v>
      </c>
      <c r="D1039" s="0" t="s">
        <v>120</v>
      </c>
      <c r="E1039" s="0" t="s">
        <v>2137</v>
      </c>
      <c r="F1039" s="0" t="n">
        <v>5</v>
      </c>
      <c r="G1039" s="0" t="n">
        <v>2</v>
      </c>
      <c r="H1039" s="0" t="s">
        <v>122</v>
      </c>
      <c r="I1039" s="0" t="s">
        <v>2138</v>
      </c>
      <c r="K1039" s="0" t="s">
        <v>123</v>
      </c>
      <c r="L1039" s="0" t="s">
        <v>2139</v>
      </c>
    </row>
    <row r="1040" customFormat="false" ht="15" hidden="false" customHeight="false" outlineLevel="0" collapsed="false">
      <c r="A1040" s="0" t="s">
        <v>2134</v>
      </c>
      <c r="B1040" s="0" t="s">
        <v>129</v>
      </c>
      <c r="C1040" s="0" t="s">
        <v>114</v>
      </c>
      <c r="D1040" s="0" t="s">
        <v>125</v>
      </c>
      <c r="E1040" s="0" t="s">
        <v>2140</v>
      </c>
      <c r="F1040" s="0" t="n">
        <v>5</v>
      </c>
      <c r="G1040" s="0" t="n">
        <v>3</v>
      </c>
      <c r="H1040" s="0" t="s">
        <v>122</v>
      </c>
      <c r="I1040" s="0" t="s">
        <v>2138</v>
      </c>
      <c r="K1040" s="0" t="s">
        <v>127</v>
      </c>
      <c r="L1040" s="0" t="s">
        <v>2141</v>
      </c>
    </row>
    <row r="1041" customFormat="false" ht="15" hidden="false" customHeight="false" outlineLevel="0" collapsed="false">
      <c r="A1041" s="0" t="s">
        <v>2134</v>
      </c>
      <c r="B1041" s="0" t="s">
        <v>129</v>
      </c>
      <c r="C1041" s="0" t="s">
        <v>114</v>
      </c>
      <c r="D1041" s="0" t="s">
        <v>53</v>
      </c>
      <c r="E1041" s="0" t="s">
        <v>130</v>
      </c>
      <c r="F1041" s="0" t="n">
        <v>5</v>
      </c>
      <c r="G1041" s="0" t="n">
        <v>2</v>
      </c>
      <c r="H1041" s="0" t="s">
        <v>122</v>
      </c>
      <c r="I1041" s="0" t="s">
        <v>2138</v>
      </c>
      <c r="K1041" s="0" t="s">
        <v>132</v>
      </c>
      <c r="L1041" s="0" t="s">
        <v>2142</v>
      </c>
    </row>
    <row r="1042" customFormat="false" ht="15" hidden="false" customHeight="false" outlineLevel="0" collapsed="false">
      <c r="A1042" s="0" t="s">
        <v>2134</v>
      </c>
      <c r="B1042" s="0" t="s">
        <v>129</v>
      </c>
      <c r="C1042" s="0" t="s">
        <v>114</v>
      </c>
      <c r="D1042" s="0" t="s">
        <v>56</v>
      </c>
      <c r="E1042" s="0" t="s">
        <v>2143</v>
      </c>
      <c r="F1042" s="0" t="n">
        <v>5</v>
      </c>
      <c r="G1042" s="0" t="n">
        <v>0</v>
      </c>
      <c r="H1042" s="0" t="s">
        <v>122</v>
      </c>
      <c r="K1042" s="0" t="s">
        <v>135</v>
      </c>
      <c r="L1042" s="0" t="s">
        <v>2144</v>
      </c>
    </row>
    <row r="1043" customFormat="false" ht="15" hidden="false" customHeight="false" outlineLevel="0" collapsed="false">
      <c r="A1043" s="0" t="s">
        <v>2134</v>
      </c>
      <c r="B1043" s="0" t="s">
        <v>129</v>
      </c>
      <c r="C1043" s="0" t="s">
        <v>114</v>
      </c>
      <c r="D1043" s="0" t="s">
        <v>59</v>
      </c>
      <c r="E1043" s="0" t="s">
        <v>137</v>
      </c>
      <c r="F1043" s="0" t="n">
        <v>0</v>
      </c>
      <c r="G1043" s="0" t="n">
        <v>0</v>
      </c>
      <c r="H1043" s="0" t="s">
        <v>117</v>
      </c>
      <c r="K1043" s="0" t="s">
        <v>138</v>
      </c>
      <c r="L1043" s="0" t="s">
        <v>2145</v>
      </c>
    </row>
    <row r="1044" customFormat="false" ht="15" hidden="false" customHeight="false" outlineLevel="0" collapsed="false">
      <c r="A1044" s="0" t="s">
        <v>2134</v>
      </c>
      <c r="B1044" s="0" t="s">
        <v>129</v>
      </c>
      <c r="C1044" s="0" t="s">
        <v>114</v>
      </c>
      <c r="D1044" s="0" t="s">
        <v>67</v>
      </c>
      <c r="E1044" s="0" t="s">
        <v>2146</v>
      </c>
      <c r="F1044" s="0" t="n">
        <v>5</v>
      </c>
      <c r="G1044" s="0" t="n">
        <v>0</v>
      </c>
      <c r="H1044" s="0" t="s">
        <v>122</v>
      </c>
      <c r="K1044" s="0" t="s">
        <v>143</v>
      </c>
      <c r="L1044" s="0" t="s">
        <v>2147</v>
      </c>
    </row>
    <row r="1045" customFormat="false" ht="15" hidden="false" customHeight="false" outlineLevel="0" collapsed="false">
      <c r="A1045" s="0" t="s">
        <v>2134</v>
      </c>
      <c r="B1045" s="0" t="s">
        <v>129</v>
      </c>
      <c r="C1045" s="0" t="s">
        <v>114</v>
      </c>
      <c r="D1045" s="0" t="s">
        <v>70</v>
      </c>
      <c r="E1045" s="0" t="s">
        <v>2148</v>
      </c>
      <c r="F1045" s="0" t="n">
        <v>5</v>
      </c>
      <c r="G1045" s="0" t="n">
        <v>0</v>
      </c>
      <c r="H1045" s="0" t="s">
        <v>122</v>
      </c>
      <c r="K1045" s="0" t="s">
        <v>146</v>
      </c>
      <c r="L1045" s="0" t="s">
        <v>2149</v>
      </c>
    </row>
    <row r="1046" customFormat="false" ht="15" hidden="false" customHeight="false" outlineLevel="0" collapsed="false">
      <c r="A1046" s="0" t="s">
        <v>2134</v>
      </c>
      <c r="C1046" s="0" t="s">
        <v>114</v>
      </c>
      <c r="D1046" s="0" t="s">
        <v>73</v>
      </c>
      <c r="E1046" s="0" t="s">
        <v>2150</v>
      </c>
      <c r="F1046" s="0" t="n">
        <v>5</v>
      </c>
      <c r="G1046" s="0" t="n">
        <v>0</v>
      </c>
      <c r="H1046" s="0" t="s">
        <v>122</v>
      </c>
      <c r="K1046" s="0" t="s">
        <v>149</v>
      </c>
      <c r="L1046" s="0" t="s">
        <v>2151</v>
      </c>
    </row>
    <row r="1047" customFormat="false" ht="15" hidden="false" customHeight="false" outlineLevel="0" collapsed="false">
      <c r="A1047" s="0" t="s">
        <v>2134</v>
      </c>
      <c r="C1047" s="0" t="s">
        <v>114</v>
      </c>
      <c r="D1047" s="0" t="s">
        <v>76</v>
      </c>
      <c r="E1047" s="0" t="s">
        <v>151</v>
      </c>
      <c r="F1047" s="0" t="n">
        <v>5</v>
      </c>
      <c r="G1047" s="0" t="n">
        <v>0</v>
      </c>
      <c r="H1047" s="0" t="s">
        <v>122</v>
      </c>
      <c r="K1047" s="0" t="s">
        <v>152</v>
      </c>
      <c r="L1047" s="0" t="s">
        <v>2152</v>
      </c>
    </row>
    <row r="1048" customFormat="false" ht="15" hidden="false" customHeight="false" outlineLevel="0" collapsed="false">
      <c r="A1048" s="0" t="s">
        <v>2134</v>
      </c>
      <c r="C1048" s="0" t="s">
        <v>114</v>
      </c>
      <c r="D1048" s="0" t="s">
        <v>79</v>
      </c>
      <c r="E1048" s="0" t="s">
        <v>2153</v>
      </c>
      <c r="F1048" s="0" t="n">
        <v>5</v>
      </c>
      <c r="G1048" s="0" t="n">
        <v>0</v>
      </c>
      <c r="H1048" s="0" t="s">
        <v>122</v>
      </c>
      <c r="K1048" s="0" t="s">
        <v>156</v>
      </c>
      <c r="L1048" s="0" t="s">
        <v>2154</v>
      </c>
    </row>
    <row r="1049" customFormat="false" ht="15" hidden="false" customHeight="false" outlineLevel="0" collapsed="false">
      <c r="A1049" s="0" t="s">
        <v>2134</v>
      </c>
      <c r="B1049" s="0" t="s">
        <v>129</v>
      </c>
      <c r="C1049" s="0" t="s">
        <v>114</v>
      </c>
      <c r="D1049" s="0" t="s">
        <v>82</v>
      </c>
      <c r="E1049" s="0" t="s">
        <v>158</v>
      </c>
      <c r="F1049" s="0" t="n">
        <v>5</v>
      </c>
      <c r="G1049" s="0" t="n">
        <v>0</v>
      </c>
      <c r="H1049" s="0" t="s">
        <v>122</v>
      </c>
      <c r="K1049" s="0" t="s">
        <v>160</v>
      </c>
      <c r="L1049" s="0" t="s">
        <v>2155</v>
      </c>
    </row>
    <row r="1050" customFormat="false" ht="15" hidden="false" customHeight="false" outlineLevel="0" collapsed="false">
      <c r="A1050" s="0" t="s">
        <v>2134</v>
      </c>
      <c r="B1050" s="0" t="s">
        <v>129</v>
      </c>
      <c r="C1050" s="0" t="s">
        <v>162</v>
      </c>
      <c r="D1050" s="0" t="s">
        <v>115</v>
      </c>
      <c r="E1050" s="0" t="s">
        <v>2156</v>
      </c>
      <c r="F1050" s="0" t="n">
        <v>0</v>
      </c>
      <c r="G1050" s="0" t="n">
        <v>0</v>
      </c>
      <c r="H1050" s="0" t="s">
        <v>117</v>
      </c>
      <c r="K1050" s="0" t="s">
        <v>118</v>
      </c>
      <c r="L1050" s="0" t="s">
        <v>2157</v>
      </c>
    </row>
    <row r="1051" customFormat="false" ht="15" hidden="false" customHeight="false" outlineLevel="0" collapsed="false">
      <c r="A1051" s="0" t="s">
        <v>2134</v>
      </c>
      <c r="B1051" s="0" t="s">
        <v>129</v>
      </c>
      <c r="C1051" s="0" t="s">
        <v>162</v>
      </c>
      <c r="D1051" s="0" t="s">
        <v>120</v>
      </c>
      <c r="E1051" s="0" t="s">
        <v>2158</v>
      </c>
      <c r="F1051" s="0" t="n">
        <v>5</v>
      </c>
      <c r="G1051" s="0" t="n">
        <v>0</v>
      </c>
      <c r="H1051" s="0" t="s">
        <v>122</v>
      </c>
      <c r="K1051" s="0" t="s">
        <v>123</v>
      </c>
      <c r="L1051" s="0" t="s">
        <v>2159</v>
      </c>
    </row>
    <row r="1052" customFormat="false" ht="15" hidden="false" customHeight="false" outlineLevel="0" collapsed="false">
      <c r="A1052" s="0" t="s">
        <v>2134</v>
      </c>
      <c r="B1052" s="0" t="s">
        <v>129</v>
      </c>
      <c r="C1052" s="0" t="s">
        <v>162</v>
      </c>
      <c r="D1052" s="0" t="s">
        <v>125</v>
      </c>
      <c r="E1052" s="0" t="s">
        <v>2160</v>
      </c>
      <c r="F1052" s="0" t="n">
        <v>5</v>
      </c>
      <c r="G1052" s="0" t="n">
        <v>0</v>
      </c>
      <c r="H1052" s="0" t="s">
        <v>122</v>
      </c>
      <c r="K1052" s="0" t="s">
        <v>127</v>
      </c>
      <c r="L1052" s="0" t="s">
        <v>2161</v>
      </c>
    </row>
    <row r="1053" customFormat="false" ht="15" hidden="false" customHeight="false" outlineLevel="0" collapsed="false">
      <c r="A1053" s="0" t="s">
        <v>2134</v>
      </c>
      <c r="B1053" s="0" t="s">
        <v>129</v>
      </c>
      <c r="C1053" s="0" t="s">
        <v>162</v>
      </c>
      <c r="D1053" s="0" t="s">
        <v>53</v>
      </c>
      <c r="E1053" s="0" t="s">
        <v>169</v>
      </c>
      <c r="F1053" s="0" t="n">
        <v>5</v>
      </c>
      <c r="G1053" s="0" t="n">
        <v>0</v>
      </c>
      <c r="H1053" s="0" t="s">
        <v>122</v>
      </c>
      <c r="K1053" s="0" t="s">
        <v>132</v>
      </c>
      <c r="L1053" s="0" t="s">
        <v>2162</v>
      </c>
    </row>
    <row r="1054" customFormat="false" ht="15" hidden="false" customHeight="false" outlineLevel="0" collapsed="false">
      <c r="A1054" s="0" t="s">
        <v>2134</v>
      </c>
      <c r="B1054" s="0" t="s">
        <v>129</v>
      </c>
      <c r="C1054" s="0" t="s">
        <v>162</v>
      </c>
      <c r="D1054" s="0" t="s">
        <v>56</v>
      </c>
      <c r="E1054" s="0" t="s">
        <v>172</v>
      </c>
      <c r="F1054" s="0" t="n">
        <v>5</v>
      </c>
      <c r="G1054" s="0" t="n">
        <v>0</v>
      </c>
      <c r="H1054" s="0" t="s">
        <v>122</v>
      </c>
      <c r="K1054" s="0" t="s">
        <v>135</v>
      </c>
      <c r="L1054" s="0" t="s">
        <v>2163</v>
      </c>
    </row>
    <row r="1055" customFormat="false" ht="15" hidden="false" customHeight="false" outlineLevel="0" collapsed="false">
      <c r="A1055" s="0" t="s">
        <v>2134</v>
      </c>
      <c r="B1055" s="0" t="s">
        <v>129</v>
      </c>
      <c r="C1055" s="0" t="s">
        <v>162</v>
      </c>
      <c r="D1055" s="0" t="s">
        <v>59</v>
      </c>
      <c r="E1055" s="0" t="s">
        <v>2164</v>
      </c>
      <c r="F1055" s="0" t="n">
        <v>0</v>
      </c>
      <c r="G1055" s="0" t="n">
        <v>0</v>
      </c>
      <c r="H1055" s="0" t="s">
        <v>117</v>
      </c>
      <c r="K1055" s="0" t="s">
        <v>138</v>
      </c>
      <c r="L1055" s="0" t="s">
        <v>2165</v>
      </c>
    </row>
    <row r="1056" customFormat="false" ht="15" hidden="false" customHeight="false" outlineLevel="0" collapsed="false">
      <c r="A1056" s="0" t="s">
        <v>2134</v>
      </c>
      <c r="B1056" s="0" t="s">
        <v>129</v>
      </c>
      <c r="C1056" s="0" t="s">
        <v>162</v>
      </c>
      <c r="D1056" s="0" t="s">
        <v>67</v>
      </c>
      <c r="E1056" s="0" t="s">
        <v>2166</v>
      </c>
      <c r="F1056" s="0" t="n">
        <v>5</v>
      </c>
      <c r="G1056" s="0" t="n">
        <v>0</v>
      </c>
      <c r="H1056" s="0" t="s">
        <v>122</v>
      </c>
      <c r="K1056" s="0" t="s">
        <v>143</v>
      </c>
      <c r="L1056" s="0" t="s">
        <v>2167</v>
      </c>
    </row>
    <row r="1057" customFormat="false" ht="15" hidden="false" customHeight="false" outlineLevel="0" collapsed="false">
      <c r="A1057" s="0" t="s">
        <v>2134</v>
      </c>
      <c r="B1057" s="0" t="s">
        <v>129</v>
      </c>
      <c r="C1057" s="0" t="s">
        <v>162</v>
      </c>
      <c r="D1057" s="0" t="s">
        <v>70</v>
      </c>
      <c r="E1057" s="0" t="s">
        <v>2168</v>
      </c>
      <c r="F1057" s="0" t="n">
        <v>5</v>
      </c>
      <c r="G1057" s="0" t="n">
        <v>0</v>
      </c>
      <c r="H1057" s="0" t="s">
        <v>122</v>
      </c>
      <c r="K1057" s="0" t="s">
        <v>146</v>
      </c>
      <c r="L1057" s="0" t="s">
        <v>2169</v>
      </c>
    </row>
    <row r="1058" customFormat="false" ht="15" hidden="false" customHeight="false" outlineLevel="0" collapsed="false">
      <c r="A1058" s="0" t="s">
        <v>2134</v>
      </c>
      <c r="C1058" s="0" t="s">
        <v>162</v>
      </c>
      <c r="D1058" s="0" t="s">
        <v>73</v>
      </c>
      <c r="E1058" s="0" t="s">
        <v>2170</v>
      </c>
      <c r="F1058" s="0" t="n">
        <v>0</v>
      </c>
      <c r="G1058" s="0" t="n">
        <v>0</v>
      </c>
      <c r="H1058" s="0" t="s">
        <v>117</v>
      </c>
      <c r="K1058" s="0" t="s">
        <v>149</v>
      </c>
      <c r="L1058" s="0" t="s">
        <v>2171</v>
      </c>
    </row>
    <row r="1059" customFormat="false" ht="15" hidden="false" customHeight="false" outlineLevel="0" collapsed="false">
      <c r="A1059" s="0" t="s">
        <v>2134</v>
      </c>
      <c r="C1059" s="0" t="s">
        <v>162</v>
      </c>
      <c r="D1059" s="0" t="s">
        <v>76</v>
      </c>
      <c r="E1059" s="0" t="s">
        <v>183</v>
      </c>
      <c r="F1059" s="0" t="n">
        <v>0</v>
      </c>
      <c r="G1059" s="0" t="n">
        <v>0</v>
      </c>
      <c r="H1059" s="0" t="s">
        <v>117</v>
      </c>
      <c r="K1059" s="0" t="s">
        <v>152</v>
      </c>
      <c r="L1059" s="0" t="s">
        <v>2172</v>
      </c>
    </row>
    <row r="1060" customFormat="false" ht="15" hidden="false" customHeight="false" outlineLevel="0" collapsed="false">
      <c r="A1060" s="0" t="s">
        <v>2134</v>
      </c>
      <c r="C1060" s="0" t="s">
        <v>162</v>
      </c>
      <c r="D1060" s="0" t="s">
        <v>79</v>
      </c>
      <c r="E1060" s="0" t="s">
        <v>185</v>
      </c>
      <c r="F1060" s="0" t="n">
        <v>5</v>
      </c>
      <c r="G1060" s="0" t="n">
        <v>0</v>
      </c>
      <c r="H1060" s="0" t="s">
        <v>122</v>
      </c>
      <c r="K1060" s="0" t="s">
        <v>156</v>
      </c>
      <c r="L1060" s="0" t="s">
        <v>2173</v>
      </c>
    </row>
    <row r="1061" customFormat="false" ht="15" hidden="false" customHeight="false" outlineLevel="0" collapsed="false">
      <c r="A1061" s="0" t="s">
        <v>2134</v>
      </c>
      <c r="C1061" s="0" t="s">
        <v>162</v>
      </c>
      <c r="D1061" s="0" t="s">
        <v>82</v>
      </c>
      <c r="E1061" s="0" t="s">
        <v>2174</v>
      </c>
      <c r="F1061" s="0" t="n">
        <v>5</v>
      </c>
      <c r="G1061" s="0" t="n">
        <v>0</v>
      </c>
      <c r="H1061" s="0" t="s">
        <v>122</v>
      </c>
      <c r="K1061" s="0" t="s">
        <v>160</v>
      </c>
      <c r="L1061" s="0" t="s">
        <v>2175</v>
      </c>
    </row>
    <row r="1062" customFormat="false" ht="15" hidden="false" customHeight="false" outlineLevel="0" collapsed="false">
      <c r="A1062" s="0" t="s">
        <v>2134</v>
      </c>
      <c r="B1062" s="0" t="s">
        <v>129</v>
      </c>
      <c r="C1062" s="0" t="s">
        <v>189</v>
      </c>
      <c r="D1062" s="0" t="s">
        <v>115</v>
      </c>
      <c r="E1062" s="0" t="s">
        <v>2176</v>
      </c>
      <c r="F1062" s="0" t="n">
        <v>0</v>
      </c>
      <c r="G1062" s="0" t="n">
        <v>0</v>
      </c>
      <c r="H1062" s="0" t="s">
        <v>117</v>
      </c>
      <c r="K1062" s="0" t="s">
        <v>118</v>
      </c>
      <c r="L1062" s="0" t="s">
        <v>2177</v>
      </c>
    </row>
    <row r="1063" customFormat="false" ht="15" hidden="false" customHeight="false" outlineLevel="0" collapsed="false">
      <c r="A1063" s="0" t="s">
        <v>2134</v>
      </c>
      <c r="B1063" s="0" t="s">
        <v>129</v>
      </c>
      <c r="C1063" s="0" t="s">
        <v>189</v>
      </c>
      <c r="D1063" s="0" t="s">
        <v>120</v>
      </c>
      <c r="E1063" s="0" t="s">
        <v>192</v>
      </c>
      <c r="F1063" s="0" t="n">
        <v>5</v>
      </c>
      <c r="G1063" s="0" t="n">
        <v>0</v>
      </c>
      <c r="H1063" s="0" t="s">
        <v>122</v>
      </c>
      <c r="K1063" s="0" t="s">
        <v>123</v>
      </c>
      <c r="L1063" s="0" t="s">
        <v>2178</v>
      </c>
    </row>
    <row r="1064" customFormat="false" ht="15" hidden="false" customHeight="false" outlineLevel="0" collapsed="false">
      <c r="A1064" s="0" t="s">
        <v>2134</v>
      </c>
      <c r="B1064" s="0" t="s">
        <v>129</v>
      </c>
      <c r="C1064" s="0" t="s">
        <v>189</v>
      </c>
      <c r="D1064" s="0" t="s">
        <v>125</v>
      </c>
      <c r="E1064" s="0" t="s">
        <v>2179</v>
      </c>
      <c r="F1064" s="0" t="n">
        <v>5</v>
      </c>
      <c r="G1064" s="0" t="n">
        <v>2</v>
      </c>
      <c r="H1064" s="0" t="s">
        <v>122</v>
      </c>
      <c r="I1064" s="0" t="s">
        <v>2180</v>
      </c>
      <c r="K1064" s="0" t="s">
        <v>127</v>
      </c>
      <c r="L1064" s="0" t="s">
        <v>2181</v>
      </c>
    </row>
    <row r="1065" customFormat="false" ht="15" hidden="false" customHeight="false" outlineLevel="0" collapsed="false">
      <c r="A1065" s="0" t="s">
        <v>2134</v>
      </c>
      <c r="B1065" s="0" t="s">
        <v>129</v>
      </c>
      <c r="C1065" s="0" t="s">
        <v>189</v>
      </c>
      <c r="D1065" s="0" t="s">
        <v>53</v>
      </c>
      <c r="E1065" s="0" t="s">
        <v>2182</v>
      </c>
      <c r="F1065" s="0" t="n">
        <v>5</v>
      </c>
      <c r="G1065" s="0" t="n">
        <v>0</v>
      </c>
      <c r="H1065" s="0" t="s">
        <v>122</v>
      </c>
      <c r="K1065" s="0" t="s">
        <v>132</v>
      </c>
      <c r="L1065" s="0" t="s">
        <v>2183</v>
      </c>
    </row>
    <row r="1066" customFormat="false" ht="15" hidden="false" customHeight="false" outlineLevel="0" collapsed="false">
      <c r="A1066" s="0" t="s">
        <v>2134</v>
      </c>
      <c r="B1066" s="0" t="s">
        <v>129</v>
      </c>
      <c r="C1066" s="0" t="s">
        <v>189</v>
      </c>
      <c r="D1066" s="0" t="s">
        <v>56</v>
      </c>
      <c r="E1066" s="0" t="s">
        <v>199</v>
      </c>
      <c r="F1066" s="0" t="n">
        <v>5</v>
      </c>
      <c r="G1066" s="0" t="n">
        <v>0</v>
      </c>
      <c r="H1066" s="0" t="s">
        <v>122</v>
      </c>
      <c r="K1066" s="0" t="s">
        <v>135</v>
      </c>
      <c r="L1066" s="0" t="s">
        <v>2184</v>
      </c>
    </row>
    <row r="1067" customFormat="false" ht="15" hidden="false" customHeight="false" outlineLevel="0" collapsed="false">
      <c r="A1067" s="0" t="s">
        <v>2134</v>
      </c>
      <c r="B1067" s="0" t="s">
        <v>129</v>
      </c>
      <c r="C1067" s="0" t="s">
        <v>189</v>
      </c>
      <c r="D1067" s="0" t="s">
        <v>59</v>
      </c>
      <c r="E1067" s="0" t="s">
        <v>2185</v>
      </c>
      <c r="F1067" s="0" t="n">
        <v>0</v>
      </c>
      <c r="G1067" s="0" t="n">
        <v>0</v>
      </c>
      <c r="H1067" s="0" t="s">
        <v>117</v>
      </c>
      <c r="K1067" s="0" t="s">
        <v>138</v>
      </c>
      <c r="L1067" s="0" t="s">
        <v>2186</v>
      </c>
    </row>
    <row r="1068" customFormat="false" ht="15" hidden="false" customHeight="false" outlineLevel="0" collapsed="false">
      <c r="A1068" s="0" t="s">
        <v>2134</v>
      </c>
      <c r="B1068" s="0" t="s">
        <v>140</v>
      </c>
      <c r="C1068" s="0" t="s">
        <v>189</v>
      </c>
      <c r="D1068" s="0" t="s">
        <v>67</v>
      </c>
      <c r="E1068" s="0" t="s">
        <v>2187</v>
      </c>
      <c r="F1068" s="0" t="n">
        <v>4</v>
      </c>
      <c r="G1068" s="0" t="n">
        <v>2</v>
      </c>
      <c r="H1068" s="0" t="s">
        <v>122</v>
      </c>
      <c r="I1068" s="0" t="s">
        <v>2180</v>
      </c>
      <c r="K1068" s="0" t="s">
        <v>143</v>
      </c>
      <c r="L1068" s="0" t="s">
        <v>2188</v>
      </c>
    </row>
    <row r="1069" customFormat="false" ht="15" hidden="false" customHeight="false" outlineLevel="0" collapsed="false">
      <c r="A1069" s="0" t="s">
        <v>2134</v>
      </c>
      <c r="B1069" s="0" t="s">
        <v>129</v>
      </c>
      <c r="C1069" s="0" t="s">
        <v>189</v>
      </c>
      <c r="D1069" s="0" t="s">
        <v>70</v>
      </c>
      <c r="E1069" s="0" t="s">
        <v>2189</v>
      </c>
      <c r="F1069" s="0" t="n">
        <v>5</v>
      </c>
      <c r="G1069" s="0" t="n">
        <v>0</v>
      </c>
      <c r="H1069" s="0" t="s">
        <v>122</v>
      </c>
      <c r="K1069" s="0" t="s">
        <v>146</v>
      </c>
      <c r="L1069" s="0" t="s">
        <v>2190</v>
      </c>
    </row>
    <row r="1070" customFormat="false" ht="15" hidden="false" customHeight="false" outlineLevel="0" collapsed="false">
      <c r="A1070" s="0" t="s">
        <v>2134</v>
      </c>
      <c r="C1070" s="0" t="s">
        <v>189</v>
      </c>
      <c r="D1070" s="0" t="s">
        <v>73</v>
      </c>
      <c r="E1070" s="0" t="s">
        <v>2191</v>
      </c>
      <c r="F1070" s="0" t="n">
        <v>5</v>
      </c>
      <c r="G1070" s="0" t="n">
        <v>0</v>
      </c>
      <c r="H1070" s="0" t="s">
        <v>122</v>
      </c>
      <c r="K1070" s="0" t="s">
        <v>149</v>
      </c>
      <c r="L1070" s="0" t="s">
        <v>2192</v>
      </c>
    </row>
    <row r="1071" customFormat="false" ht="15" hidden="false" customHeight="false" outlineLevel="0" collapsed="false">
      <c r="A1071" s="0" t="s">
        <v>2134</v>
      </c>
      <c r="C1071" s="0" t="s">
        <v>189</v>
      </c>
      <c r="D1071" s="0" t="s">
        <v>76</v>
      </c>
      <c r="E1071" s="0" t="s">
        <v>2193</v>
      </c>
      <c r="F1071" s="0" t="n">
        <v>5</v>
      </c>
      <c r="G1071" s="0" t="n">
        <v>0</v>
      </c>
      <c r="H1071" s="0" t="s">
        <v>122</v>
      </c>
      <c r="K1071" s="0" t="s">
        <v>152</v>
      </c>
      <c r="L1071" s="0" t="s">
        <v>2194</v>
      </c>
    </row>
    <row r="1072" customFormat="false" ht="15" hidden="false" customHeight="false" outlineLevel="0" collapsed="false">
      <c r="A1072" s="0" t="s">
        <v>2134</v>
      </c>
      <c r="B1072" s="0" t="s">
        <v>129</v>
      </c>
      <c r="C1072" s="0" t="s">
        <v>189</v>
      </c>
      <c r="D1072" s="0" t="s">
        <v>79</v>
      </c>
      <c r="E1072" s="0" t="s">
        <v>2195</v>
      </c>
      <c r="F1072" s="0" t="n">
        <v>5</v>
      </c>
      <c r="G1072" s="0" t="n">
        <v>0</v>
      </c>
      <c r="H1072" s="0" t="s">
        <v>122</v>
      </c>
      <c r="K1072" s="0" t="s">
        <v>156</v>
      </c>
      <c r="L1072" s="0" t="s">
        <v>2196</v>
      </c>
    </row>
    <row r="1073" customFormat="false" ht="15" hidden="false" customHeight="false" outlineLevel="0" collapsed="false">
      <c r="A1073" s="0" t="s">
        <v>2134</v>
      </c>
      <c r="C1073" s="0" t="s">
        <v>189</v>
      </c>
      <c r="D1073" s="0" t="s">
        <v>82</v>
      </c>
      <c r="E1073" s="0" t="s">
        <v>213</v>
      </c>
      <c r="F1073" s="0" t="n">
        <v>5</v>
      </c>
      <c r="G1073" s="0" t="n">
        <v>0</v>
      </c>
      <c r="H1073" s="0" t="s">
        <v>122</v>
      </c>
      <c r="K1073" s="0" t="s">
        <v>160</v>
      </c>
      <c r="L1073" s="0" t="s">
        <v>2197</v>
      </c>
    </row>
    <row r="1074" customFormat="false" ht="15" hidden="false" customHeight="false" outlineLevel="0" collapsed="false">
      <c r="A1074" s="0" t="s">
        <v>2134</v>
      </c>
      <c r="B1074" s="0" t="s">
        <v>129</v>
      </c>
      <c r="C1074" s="0" t="s">
        <v>215</v>
      </c>
      <c r="D1074" s="0" t="s">
        <v>115</v>
      </c>
      <c r="E1074" s="0" t="s">
        <v>2198</v>
      </c>
      <c r="F1074" s="0" t="n">
        <v>0</v>
      </c>
      <c r="G1074" s="0" t="n">
        <v>0</v>
      </c>
      <c r="H1074" s="0" t="s">
        <v>117</v>
      </c>
      <c r="K1074" s="0" t="s">
        <v>118</v>
      </c>
      <c r="L1074" s="0" t="s">
        <v>2199</v>
      </c>
    </row>
    <row r="1075" customFormat="false" ht="15" hidden="false" customHeight="false" outlineLevel="0" collapsed="false">
      <c r="A1075" s="0" t="s">
        <v>2134</v>
      </c>
      <c r="B1075" s="0" t="s">
        <v>129</v>
      </c>
      <c r="C1075" s="0" t="s">
        <v>215</v>
      </c>
      <c r="D1075" s="0" t="s">
        <v>120</v>
      </c>
      <c r="E1075" s="0" t="s">
        <v>2200</v>
      </c>
      <c r="F1075" s="0" t="n">
        <v>5</v>
      </c>
      <c r="G1075" s="0" t="n">
        <v>0</v>
      </c>
      <c r="H1075" s="0" t="s">
        <v>122</v>
      </c>
      <c r="K1075" s="0" t="s">
        <v>123</v>
      </c>
      <c r="L1075" s="0" t="s">
        <v>2201</v>
      </c>
    </row>
    <row r="1076" customFormat="false" ht="15" hidden="false" customHeight="false" outlineLevel="0" collapsed="false">
      <c r="A1076" s="0" t="s">
        <v>2134</v>
      </c>
      <c r="B1076" s="0" t="s">
        <v>129</v>
      </c>
      <c r="C1076" s="0" t="s">
        <v>215</v>
      </c>
      <c r="D1076" s="0" t="s">
        <v>125</v>
      </c>
      <c r="E1076" s="0" t="s">
        <v>2202</v>
      </c>
      <c r="F1076" s="0" t="n">
        <v>5</v>
      </c>
      <c r="G1076" s="0" t="n">
        <v>0</v>
      </c>
      <c r="H1076" s="0" t="s">
        <v>122</v>
      </c>
      <c r="K1076" s="0" t="s">
        <v>127</v>
      </c>
      <c r="L1076" s="0" t="s">
        <v>2203</v>
      </c>
    </row>
    <row r="1077" customFormat="false" ht="15" hidden="false" customHeight="false" outlineLevel="0" collapsed="false">
      <c r="A1077" s="0" t="s">
        <v>2134</v>
      </c>
      <c r="B1077" s="0" t="s">
        <v>129</v>
      </c>
      <c r="C1077" s="0" t="s">
        <v>215</v>
      </c>
      <c r="D1077" s="0" t="s">
        <v>53</v>
      </c>
      <c r="E1077" s="0" t="s">
        <v>2204</v>
      </c>
      <c r="F1077" s="0" t="n">
        <v>5</v>
      </c>
      <c r="G1077" s="0" t="n">
        <v>0</v>
      </c>
      <c r="H1077" s="0" t="s">
        <v>122</v>
      </c>
      <c r="K1077" s="0" t="s">
        <v>132</v>
      </c>
      <c r="L1077" s="0" t="s">
        <v>2205</v>
      </c>
    </row>
    <row r="1078" customFormat="false" ht="15" hidden="false" customHeight="false" outlineLevel="0" collapsed="false">
      <c r="A1078" s="0" t="s">
        <v>2134</v>
      </c>
      <c r="B1078" s="0" t="s">
        <v>129</v>
      </c>
      <c r="C1078" s="0" t="s">
        <v>215</v>
      </c>
      <c r="D1078" s="0" t="s">
        <v>56</v>
      </c>
      <c r="E1078" s="0" t="s">
        <v>2206</v>
      </c>
      <c r="F1078" s="0" t="n">
        <v>5</v>
      </c>
      <c r="G1078" s="0" t="n">
        <v>0</v>
      </c>
      <c r="H1078" s="0" t="s">
        <v>122</v>
      </c>
      <c r="K1078" s="0" t="s">
        <v>135</v>
      </c>
      <c r="L1078" s="0" t="s">
        <v>2207</v>
      </c>
    </row>
    <row r="1079" customFormat="false" ht="15" hidden="false" customHeight="false" outlineLevel="0" collapsed="false">
      <c r="A1079" s="0" t="s">
        <v>2134</v>
      </c>
      <c r="B1079" s="0" t="s">
        <v>129</v>
      </c>
      <c r="C1079" s="0" t="s">
        <v>215</v>
      </c>
      <c r="D1079" s="0" t="s">
        <v>59</v>
      </c>
      <c r="E1079" s="0" t="s">
        <v>2208</v>
      </c>
      <c r="F1079" s="0" t="n">
        <v>0</v>
      </c>
      <c r="G1079" s="0" t="n">
        <v>0</v>
      </c>
      <c r="H1079" s="0" t="s">
        <v>117</v>
      </c>
      <c r="K1079" s="0" t="s">
        <v>138</v>
      </c>
      <c r="L1079" s="0" t="s">
        <v>2209</v>
      </c>
    </row>
    <row r="1080" customFormat="false" ht="15" hidden="false" customHeight="false" outlineLevel="0" collapsed="false">
      <c r="A1080" s="0" t="s">
        <v>2134</v>
      </c>
      <c r="B1080" s="0" t="s">
        <v>129</v>
      </c>
      <c r="C1080" s="0" t="s">
        <v>215</v>
      </c>
      <c r="D1080" s="0" t="s">
        <v>67</v>
      </c>
      <c r="E1080" s="0" t="s">
        <v>2210</v>
      </c>
      <c r="F1080" s="0" t="n">
        <v>5</v>
      </c>
      <c r="G1080" s="0" t="n">
        <v>0</v>
      </c>
      <c r="H1080" s="0" t="s">
        <v>122</v>
      </c>
      <c r="K1080" s="0" t="s">
        <v>143</v>
      </c>
      <c r="L1080" s="0" t="s">
        <v>2211</v>
      </c>
    </row>
    <row r="1081" customFormat="false" ht="15" hidden="false" customHeight="false" outlineLevel="0" collapsed="false">
      <c r="A1081" s="0" t="s">
        <v>2134</v>
      </c>
      <c r="B1081" s="0" t="s">
        <v>129</v>
      </c>
      <c r="C1081" s="0" t="s">
        <v>215</v>
      </c>
      <c r="D1081" s="0" t="s">
        <v>70</v>
      </c>
      <c r="E1081" s="0" t="s">
        <v>2212</v>
      </c>
      <c r="F1081" s="0" t="n">
        <v>5</v>
      </c>
      <c r="G1081" s="0" t="n">
        <v>0</v>
      </c>
      <c r="H1081" s="0" t="s">
        <v>122</v>
      </c>
      <c r="K1081" s="0" t="s">
        <v>146</v>
      </c>
      <c r="L1081" s="0" t="s">
        <v>2213</v>
      </c>
    </row>
    <row r="1082" customFormat="false" ht="15" hidden="false" customHeight="false" outlineLevel="0" collapsed="false">
      <c r="A1082" s="0" t="s">
        <v>2134</v>
      </c>
      <c r="B1082" s="0" t="s">
        <v>129</v>
      </c>
      <c r="C1082" s="0" t="s">
        <v>215</v>
      </c>
      <c r="D1082" s="0" t="s">
        <v>73</v>
      </c>
      <c r="E1082" s="0" t="s">
        <v>232</v>
      </c>
      <c r="F1082" s="0" t="n">
        <v>5</v>
      </c>
      <c r="G1082" s="0" t="n">
        <v>0</v>
      </c>
      <c r="H1082" s="0" t="s">
        <v>122</v>
      </c>
      <c r="I1082" s="0" t="s">
        <v>2180</v>
      </c>
      <c r="K1082" s="0" t="s">
        <v>149</v>
      </c>
      <c r="L1082" s="0" t="s">
        <v>2214</v>
      </c>
    </row>
    <row r="1083" customFormat="false" ht="15" hidden="false" customHeight="false" outlineLevel="0" collapsed="false">
      <c r="A1083" s="0" t="s">
        <v>2134</v>
      </c>
      <c r="C1083" s="0" t="s">
        <v>215</v>
      </c>
      <c r="D1083" s="0" t="s">
        <v>76</v>
      </c>
      <c r="E1083" s="0" t="s">
        <v>2215</v>
      </c>
      <c r="F1083" s="0" t="n">
        <v>5</v>
      </c>
      <c r="G1083" s="0" t="n">
        <v>0</v>
      </c>
      <c r="H1083" s="0" t="s">
        <v>122</v>
      </c>
      <c r="K1083" s="0" t="s">
        <v>152</v>
      </c>
      <c r="L1083" s="0" t="s">
        <v>2216</v>
      </c>
    </row>
    <row r="1084" customFormat="false" ht="15" hidden="false" customHeight="false" outlineLevel="0" collapsed="false">
      <c r="A1084" s="0" t="s">
        <v>2134</v>
      </c>
      <c r="B1084" s="0" t="s">
        <v>487</v>
      </c>
      <c r="C1084" s="0" t="s">
        <v>215</v>
      </c>
      <c r="D1084" s="0" t="s">
        <v>79</v>
      </c>
      <c r="E1084" s="0" t="s">
        <v>2217</v>
      </c>
      <c r="F1084" s="0" t="n">
        <v>5</v>
      </c>
      <c r="G1084" s="0" t="n">
        <v>3</v>
      </c>
      <c r="H1084" s="0" t="s">
        <v>122</v>
      </c>
      <c r="I1084" s="0" t="s">
        <v>2218</v>
      </c>
      <c r="K1084" s="0" t="s">
        <v>156</v>
      </c>
      <c r="L1084" s="0" t="s">
        <v>2219</v>
      </c>
    </row>
    <row r="1085" customFormat="false" ht="15" hidden="false" customHeight="false" outlineLevel="0" collapsed="false">
      <c r="A1085" s="0" t="s">
        <v>2134</v>
      </c>
      <c r="C1085" s="0" t="s">
        <v>215</v>
      </c>
      <c r="D1085" s="0" t="s">
        <v>82</v>
      </c>
      <c r="E1085" s="0" t="s">
        <v>239</v>
      </c>
      <c r="F1085" s="0" t="n">
        <v>5</v>
      </c>
      <c r="G1085" s="0" t="n">
        <v>0</v>
      </c>
      <c r="H1085" s="0" t="s">
        <v>122</v>
      </c>
      <c r="K1085" s="0" t="s">
        <v>160</v>
      </c>
      <c r="L1085" s="0" t="s">
        <v>2220</v>
      </c>
    </row>
    <row r="1086" customFormat="false" ht="15" hidden="false" customHeight="false" outlineLevel="0" collapsed="false">
      <c r="A1086" s="0" t="s">
        <v>2134</v>
      </c>
      <c r="B1086" s="0" t="s">
        <v>129</v>
      </c>
      <c r="C1086" s="0" t="s">
        <v>241</v>
      </c>
      <c r="D1086" s="0" t="s">
        <v>115</v>
      </c>
      <c r="E1086" s="0" t="s">
        <v>2221</v>
      </c>
      <c r="F1086" s="0" t="n">
        <v>0</v>
      </c>
      <c r="G1086" s="0" t="n">
        <v>0</v>
      </c>
      <c r="H1086" s="0" t="s">
        <v>117</v>
      </c>
      <c r="K1086" s="0" t="s">
        <v>118</v>
      </c>
      <c r="L1086" s="0" t="s">
        <v>2222</v>
      </c>
    </row>
    <row r="1087" customFormat="false" ht="15" hidden="false" customHeight="false" outlineLevel="0" collapsed="false">
      <c r="A1087" s="0" t="s">
        <v>2134</v>
      </c>
      <c r="B1087" s="0" t="s">
        <v>129</v>
      </c>
      <c r="C1087" s="0" t="s">
        <v>241</v>
      </c>
      <c r="D1087" s="0" t="s">
        <v>120</v>
      </c>
      <c r="E1087" s="0" t="s">
        <v>244</v>
      </c>
      <c r="F1087" s="0" t="n">
        <v>5</v>
      </c>
      <c r="G1087" s="0" t="n">
        <v>5</v>
      </c>
      <c r="H1087" s="0" t="s">
        <v>117</v>
      </c>
      <c r="I1087" s="0" t="s">
        <v>2223</v>
      </c>
      <c r="K1087" s="0" t="s">
        <v>123</v>
      </c>
      <c r="L1087" s="0" t="s">
        <v>2224</v>
      </c>
    </row>
    <row r="1088" customFormat="false" ht="15" hidden="false" customHeight="false" outlineLevel="0" collapsed="false">
      <c r="A1088" s="0" t="s">
        <v>2134</v>
      </c>
      <c r="B1088" s="0" t="s">
        <v>129</v>
      </c>
      <c r="C1088" s="0" t="s">
        <v>241</v>
      </c>
      <c r="D1088" s="0" t="s">
        <v>125</v>
      </c>
      <c r="E1088" s="0" t="s">
        <v>2225</v>
      </c>
      <c r="F1088" s="0" t="n">
        <v>5</v>
      </c>
      <c r="G1088" s="0" t="n">
        <v>0</v>
      </c>
      <c r="H1088" s="0" t="s">
        <v>122</v>
      </c>
      <c r="K1088" s="0" t="s">
        <v>127</v>
      </c>
      <c r="L1088" s="0" t="s">
        <v>2226</v>
      </c>
    </row>
    <row r="1089" customFormat="false" ht="15" hidden="false" customHeight="false" outlineLevel="0" collapsed="false">
      <c r="A1089" s="0" t="s">
        <v>2134</v>
      </c>
      <c r="B1089" s="0" t="s">
        <v>129</v>
      </c>
      <c r="C1089" s="0" t="s">
        <v>241</v>
      </c>
      <c r="D1089" s="0" t="s">
        <v>53</v>
      </c>
      <c r="E1089" s="0" t="s">
        <v>2227</v>
      </c>
      <c r="F1089" s="0" t="n">
        <v>5</v>
      </c>
      <c r="G1089" s="0" t="n">
        <v>4</v>
      </c>
      <c r="H1089" s="0" t="s">
        <v>122</v>
      </c>
      <c r="I1089" s="0" t="s">
        <v>2180</v>
      </c>
      <c r="K1089" s="0" t="s">
        <v>132</v>
      </c>
      <c r="L1089" s="0" t="s">
        <v>2228</v>
      </c>
    </row>
    <row r="1090" customFormat="false" ht="15" hidden="false" customHeight="false" outlineLevel="0" collapsed="false">
      <c r="A1090" s="0" t="s">
        <v>2134</v>
      </c>
      <c r="B1090" s="0" t="s">
        <v>129</v>
      </c>
      <c r="C1090" s="0" t="s">
        <v>241</v>
      </c>
      <c r="D1090" s="0" t="s">
        <v>56</v>
      </c>
      <c r="E1090" s="0" t="s">
        <v>2229</v>
      </c>
      <c r="F1090" s="0" t="n">
        <v>0</v>
      </c>
      <c r="G1090" s="0" t="n">
        <v>0</v>
      </c>
      <c r="H1090" s="0" t="s">
        <v>117</v>
      </c>
      <c r="K1090" s="0" t="s">
        <v>135</v>
      </c>
      <c r="L1090" s="0" t="s">
        <v>2230</v>
      </c>
    </row>
    <row r="1091" customFormat="false" ht="15" hidden="false" customHeight="false" outlineLevel="0" collapsed="false">
      <c r="A1091" s="0" t="s">
        <v>2134</v>
      </c>
      <c r="B1091" s="0" t="s">
        <v>129</v>
      </c>
      <c r="C1091" s="0" t="s">
        <v>241</v>
      </c>
      <c r="D1091" s="0" t="s">
        <v>59</v>
      </c>
      <c r="E1091" s="0" t="s">
        <v>2231</v>
      </c>
      <c r="F1091" s="0" t="n">
        <v>0</v>
      </c>
      <c r="G1091" s="0" t="n">
        <v>0</v>
      </c>
      <c r="H1091" s="0" t="s">
        <v>117</v>
      </c>
      <c r="K1091" s="0" t="s">
        <v>138</v>
      </c>
      <c r="L1091" s="0" t="s">
        <v>2232</v>
      </c>
    </row>
    <row r="1092" customFormat="false" ht="15" hidden="false" customHeight="false" outlineLevel="0" collapsed="false">
      <c r="A1092" s="0" t="s">
        <v>2134</v>
      </c>
      <c r="B1092" s="0" t="s">
        <v>487</v>
      </c>
      <c r="C1092" s="0" t="s">
        <v>241</v>
      </c>
      <c r="D1092" s="0" t="s">
        <v>67</v>
      </c>
      <c r="E1092" s="0" t="s">
        <v>2233</v>
      </c>
      <c r="F1092" s="0" t="n">
        <v>5</v>
      </c>
      <c r="G1092" s="0" t="n">
        <v>4</v>
      </c>
      <c r="H1092" s="0" t="s">
        <v>122</v>
      </c>
      <c r="I1092" s="0" t="s">
        <v>2223</v>
      </c>
      <c r="K1092" s="0" t="s">
        <v>143</v>
      </c>
      <c r="L1092" s="0" t="s">
        <v>2234</v>
      </c>
    </row>
    <row r="1093" customFormat="false" ht="15" hidden="false" customHeight="false" outlineLevel="0" collapsed="false">
      <c r="A1093" s="0" t="s">
        <v>2134</v>
      </c>
      <c r="B1093" s="0" t="s">
        <v>129</v>
      </c>
      <c r="C1093" s="0" t="s">
        <v>241</v>
      </c>
      <c r="D1093" s="0" t="s">
        <v>70</v>
      </c>
      <c r="E1093" s="0" t="s">
        <v>2235</v>
      </c>
      <c r="F1093" s="0" t="n">
        <v>5</v>
      </c>
      <c r="G1093" s="0" t="n">
        <v>0</v>
      </c>
      <c r="H1093" s="0" t="s">
        <v>122</v>
      </c>
      <c r="K1093" s="0" t="s">
        <v>146</v>
      </c>
      <c r="L1093" s="0" t="s">
        <v>2236</v>
      </c>
    </row>
    <row r="1094" customFormat="false" ht="15" hidden="false" customHeight="false" outlineLevel="0" collapsed="false">
      <c r="A1094" s="0" t="s">
        <v>2134</v>
      </c>
      <c r="C1094" s="0" t="s">
        <v>241</v>
      </c>
      <c r="D1094" s="0" t="s">
        <v>73</v>
      </c>
      <c r="E1094" s="0" t="s">
        <v>2237</v>
      </c>
      <c r="F1094" s="0" t="n">
        <v>5</v>
      </c>
      <c r="G1094" s="0" t="n">
        <v>0</v>
      </c>
      <c r="H1094" s="0" t="s">
        <v>122</v>
      </c>
      <c r="K1094" s="0" t="s">
        <v>149</v>
      </c>
      <c r="L1094" s="0" t="s">
        <v>2238</v>
      </c>
    </row>
    <row r="1095" customFormat="false" ht="15" hidden="false" customHeight="false" outlineLevel="0" collapsed="false">
      <c r="A1095" s="0" t="s">
        <v>2134</v>
      </c>
      <c r="B1095" s="0" t="s">
        <v>487</v>
      </c>
      <c r="C1095" s="0" t="s">
        <v>241</v>
      </c>
      <c r="D1095" s="0" t="s">
        <v>76</v>
      </c>
      <c r="E1095" s="0" t="s">
        <v>2239</v>
      </c>
      <c r="F1095" s="0" t="n">
        <v>5</v>
      </c>
      <c r="G1095" s="0" t="n">
        <v>3</v>
      </c>
      <c r="H1095" s="0" t="s">
        <v>122</v>
      </c>
      <c r="I1095" s="0" t="s">
        <v>2218</v>
      </c>
      <c r="K1095" s="0" t="s">
        <v>152</v>
      </c>
      <c r="L1095" s="0" t="s">
        <v>2240</v>
      </c>
    </row>
    <row r="1096" customFormat="false" ht="15" hidden="false" customHeight="false" outlineLevel="0" collapsed="false">
      <c r="A1096" s="0" t="s">
        <v>2134</v>
      </c>
      <c r="B1096" s="0" t="s">
        <v>129</v>
      </c>
      <c r="C1096" s="0" t="s">
        <v>241</v>
      </c>
      <c r="D1096" s="0" t="s">
        <v>79</v>
      </c>
      <c r="E1096" s="0" t="s">
        <v>2241</v>
      </c>
      <c r="F1096" s="0" t="n">
        <v>5</v>
      </c>
      <c r="G1096" s="0" t="n">
        <v>2</v>
      </c>
      <c r="H1096" s="0" t="s">
        <v>122</v>
      </c>
      <c r="I1096" s="0" t="s">
        <v>2223</v>
      </c>
      <c r="K1096" s="0" t="s">
        <v>156</v>
      </c>
      <c r="L1096" s="0" t="s">
        <v>2242</v>
      </c>
    </row>
    <row r="1097" customFormat="false" ht="15" hidden="false" customHeight="false" outlineLevel="0" collapsed="false">
      <c r="A1097" s="0" t="s">
        <v>2134</v>
      </c>
      <c r="B1097" s="0" t="s">
        <v>129</v>
      </c>
      <c r="C1097" s="0" t="s">
        <v>241</v>
      </c>
      <c r="D1097" s="0" t="s">
        <v>82</v>
      </c>
      <c r="E1097" s="0" t="s">
        <v>266</v>
      </c>
      <c r="F1097" s="0" t="n">
        <v>5</v>
      </c>
      <c r="G1097" s="0" t="n">
        <v>0</v>
      </c>
      <c r="H1097" s="0" t="s">
        <v>122</v>
      </c>
      <c r="K1097" s="0" t="s">
        <v>160</v>
      </c>
      <c r="L1097" s="0" t="s">
        <v>2243</v>
      </c>
    </row>
    <row r="1098" customFormat="false" ht="15" hidden="false" customHeight="false" outlineLevel="0" collapsed="false">
      <c r="A1098" s="0" t="s">
        <v>2134</v>
      </c>
      <c r="B1098" s="0" t="s">
        <v>2244</v>
      </c>
      <c r="C1098" s="0" t="s">
        <v>268</v>
      </c>
      <c r="D1098" s="0" t="s">
        <v>115</v>
      </c>
      <c r="E1098" s="0" t="s">
        <v>2245</v>
      </c>
      <c r="F1098" s="0" t="n">
        <v>0</v>
      </c>
      <c r="G1098" s="0" t="n">
        <v>0</v>
      </c>
      <c r="H1098" s="0" t="s">
        <v>117</v>
      </c>
      <c r="K1098" s="0" t="s">
        <v>118</v>
      </c>
      <c r="L1098" s="0" t="s">
        <v>2246</v>
      </c>
    </row>
    <row r="1099" customFormat="false" ht="15" hidden="false" customHeight="false" outlineLevel="0" collapsed="false">
      <c r="A1099" s="0" t="s">
        <v>2134</v>
      </c>
      <c r="B1099" s="0" t="s">
        <v>129</v>
      </c>
      <c r="C1099" s="0" t="s">
        <v>268</v>
      </c>
      <c r="D1099" s="0" t="s">
        <v>120</v>
      </c>
      <c r="E1099" s="0" t="s">
        <v>271</v>
      </c>
      <c r="F1099" s="0" t="n">
        <v>5</v>
      </c>
      <c r="G1099" s="0" t="n">
        <v>4</v>
      </c>
      <c r="H1099" s="0" t="s">
        <v>122</v>
      </c>
      <c r="I1099" s="0" t="s">
        <v>2218</v>
      </c>
      <c r="K1099" s="0" t="s">
        <v>123</v>
      </c>
      <c r="L1099" s="0" t="s">
        <v>2247</v>
      </c>
    </row>
    <row r="1100" customFormat="false" ht="15" hidden="false" customHeight="false" outlineLevel="0" collapsed="false">
      <c r="A1100" s="0" t="s">
        <v>2134</v>
      </c>
      <c r="B1100" s="0" t="s">
        <v>129</v>
      </c>
      <c r="C1100" s="0" t="s">
        <v>268</v>
      </c>
      <c r="D1100" s="0" t="s">
        <v>125</v>
      </c>
      <c r="E1100" s="0" t="s">
        <v>274</v>
      </c>
      <c r="F1100" s="0" t="n">
        <v>5</v>
      </c>
      <c r="G1100" s="0" t="n">
        <v>5</v>
      </c>
      <c r="H1100" s="0" t="s">
        <v>117</v>
      </c>
      <c r="I1100" s="0" t="s">
        <v>2138</v>
      </c>
      <c r="K1100" s="0" t="s">
        <v>127</v>
      </c>
      <c r="L1100" s="0" t="s">
        <v>2248</v>
      </c>
    </row>
    <row r="1101" customFormat="false" ht="15" hidden="false" customHeight="false" outlineLevel="0" collapsed="false">
      <c r="A1101" s="0" t="s">
        <v>2134</v>
      </c>
      <c r="B1101" s="0" t="s">
        <v>129</v>
      </c>
      <c r="C1101" s="0" t="s">
        <v>268</v>
      </c>
      <c r="D1101" s="0" t="s">
        <v>53</v>
      </c>
      <c r="E1101" s="0" t="s">
        <v>276</v>
      </c>
      <c r="F1101" s="0" t="n">
        <v>5</v>
      </c>
      <c r="G1101" s="0" t="n">
        <v>0</v>
      </c>
      <c r="H1101" s="0" t="s">
        <v>122</v>
      </c>
      <c r="K1101" s="0" t="s">
        <v>132</v>
      </c>
      <c r="L1101" s="0" t="s">
        <v>2249</v>
      </c>
    </row>
    <row r="1102" customFormat="false" ht="15" hidden="false" customHeight="false" outlineLevel="0" collapsed="false">
      <c r="A1102" s="0" t="s">
        <v>2134</v>
      </c>
      <c r="B1102" s="0" t="s">
        <v>129</v>
      </c>
      <c r="C1102" s="0" t="s">
        <v>268</v>
      </c>
      <c r="D1102" s="0" t="s">
        <v>56</v>
      </c>
      <c r="E1102" s="0" t="s">
        <v>2250</v>
      </c>
      <c r="F1102" s="0" t="n">
        <v>5</v>
      </c>
      <c r="G1102" s="0" t="n">
        <v>5</v>
      </c>
      <c r="H1102" s="0" t="s">
        <v>117</v>
      </c>
      <c r="I1102" s="0" t="s">
        <v>2223</v>
      </c>
      <c r="K1102" s="0" t="s">
        <v>135</v>
      </c>
      <c r="L1102" s="0" t="s">
        <v>2251</v>
      </c>
    </row>
    <row r="1103" customFormat="false" ht="15" hidden="false" customHeight="false" outlineLevel="0" collapsed="false">
      <c r="A1103" s="0" t="s">
        <v>2134</v>
      </c>
      <c r="B1103" s="0" t="s">
        <v>129</v>
      </c>
      <c r="C1103" s="0" t="s">
        <v>268</v>
      </c>
      <c r="D1103" s="0" t="s">
        <v>59</v>
      </c>
      <c r="E1103" s="0" t="s">
        <v>2252</v>
      </c>
      <c r="F1103" s="0" t="n">
        <v>5</v>
      </c>
      <c r="G1103" s="0" t="n">
        <v>0</v>
      </c>
      <c r="H1103" s="0" t="s">
        <v>122</v>
      </c>
      <c r="K1103" s="0" t="s">
        <v>138</v>
      </c>
      <c r="L1103" s="0" t="s">
        <v>2253</v>
      </c>
    </row>
    <row r="1104" customFormat="false" ht="15" hidden="false" customHeight="false" outlineLevel="0" collapsed="false">
      <c r="A1104" s="0" t="s">
        <v>2134</v>
      </c>
      <c r="B1104" s="0" t="s">
        <v>129</v>
      </c>
      <c r="C1104" s="0" t="s">
        <v>268</v>
      </c>
      <c r="D1104" s="0" t="s">
        <v>67</v>
      </c>
      <c r="E1104" s="0" t="s">
        <v>282</v>
      </c>
      <c r="F1104" s="0" t="n">
        <v>5</v>
      </c>
      <c r="G1104" s="0" t="n">
        <v>0</v>
      </c>
      <c r="H1104" s="0" t="s">
        <v>122</v>
      </c>
      <c r="K1104" s="0" t="s">
        <v>143</v>
      </c>
      <c r="L1104" s="0" t="s">
        <v>2254</v>
      </c>
    </row>
    <row r="1105" customFormat="false" ht="15" hidden="false" customHeight="false" outlineLevel="0" collapsed="false">
      <c r="A1105" s="0" t="s">
        <v>2134</v>
      </c>
      <c r="B1105" s="0" t="s">
        <v>129</v>
      </c>
      <c r="C1105" s="0" t="s">
        <v>268</v>
      </c>
      <c r="D1105" s="0" t="s">
        <v>70</v>
      </c>
      <c r="E1105" s="0" t="s">
        <v>2255</v>
      </c>
      <c r="F1105" s="0" t="n">
        <v>5</v>
      </c>
      <c r="G1105" s="0" t="n">
        <v>0</v>
      </c>
      <c r="H1105" s="0" t="s">
        <v>122</v>
      </c>
      <c r="K1105" s="0" t="s">
        <v>146</v>
      </c>
      <c r="L1105" s="0" t="s">
        <v>2256</v>
      </c>
    </row>
    <row r="1106" customFormat="false" ht="15" hidden="false" customHeight="false" outlineLevel="0" collapsed="false">
      <c r="A1106" s="0" t="s">
        <v>2134</v>
      </c>
      <c r="B1106" s="0" t="s">
        <v>129</v>
      </c>
      <c r="C1106" s="0" t="s">
        <v>268</v>
      </c>
      <c r="D1106" s="0" t="s">
        <v>73</v>
      </c>
      <c r="E1106" s="0" t="s">
        <v>286</v>
      </c>
      <c r="F1106" s="0" t="n">
        <v>5</v>
      </c>
      <c r="G1106" s="0" t="n">
        <v>0</v>
      </c>
      <c r="H1106" s="0" t="s">
        <v>122</v>
      </c>
      <c r="K1106" s="0" t="s">
        <v>149</v>
      </c>
      <c r="L1106" s="0" t="s">
        <v>2257</v>
      </c>
    </row>
    <row r="1107" customFormat="false" ht="15" hidden="false" customHeight="false" outlineLevel="0" collapsed="false">
      <c r="A1107" s="0" t="s">
        <v>2134</v>
      </c>
      <c r="B1107" s="0" t="s">
        <v>129</v>
      </c>
      <c r="C1107" s="0" t="s">
        <v>268</v>
      </c>
      <c r="D1107" s="0" t="s">
        <v>76</v>
      </c>
      <c r="E1107" s="0" t="s">
        <v>2258</v>
      </c>
      <c r="F1107" s="0" t="n">
        <v>5</v>
      </c>
      <c r="G1107" s="0" t="n">
        <v>0</v>
      </c>
      <c r="H1107" s="0" t="s">
        <v>122</v>
      </c>
      <c r="K1107" s="0" t="s">
        <v>152</v>
      </c>
      <c r="L1107" s="0" t="s">
        <v>2259</v>
      </c>
    </row>
    <row r="1108" customFormat="false" ht="15" hidden="false" customHeight="false" outlineLevel="0" collapsed="false">
      <c r="A1108" s="0" t="s">
        <v>2134</v>
      </c>
      <c r="B1108" s="0" t="s">
        <v>129</v>
      </c>
      <c r="C1108" s="0" t="s">
        <v>268</v>
      </c>
      <c r="D1108" s="0" t="s">
        <v>79</v>
      </c>
      <c r="E1108" s="0" t="s">
        <v>290</v>
      </c>
      <c r="F1108" s="0" t="n">
        <v>5</v>
      </c>
      <c r="G1108" s="0" t="n">
        <v>4</v>
      </c>
      <c r="H1108" s="0" t="s">
        <v>122</v>
      </c>
      <c r="I1108" s="0" t="s">
        <v>2260</v>
      </c>
      <c r="K1108" s="0" t="s">
        <v>156</v>
      </c>
      <c r="L1108" s="0" t="s">
        <v>2261</v>
      </c>
    </row>
    <row r="1109" customFormat="false" ht="15" hidden="false" customHeight="false" outlineLevel="0" collapsed="false">
      <c r="A1109" s="0" t="s">
        <v>2134</v>
      </c>
      <c r="B1109" s="0" t="s">
        <v>129</v>
      </c>
      <c r="C1109" s="0" t="s">
        <v>268</v>
      </c>
      <c r="D1109" s="0" t="s">
        <v>82</v>
      </c>
      <c r="E1109" s="0" t="s">
        <v>2262</v>
      </c>
      <c r="F1109" s="0" t="n">
        <v>5</v>
      </c>
      <c r="G1109" s="0" t="n">
        <v>0</v>
      </c>
      <c r="H1109" s="0" t="s">
        <v>122</v>
      </c>
      <c r="K1109" s="0" t="s">
        <v>160</v>
      </c>
      <c r="L1109" s="0" t="s">
        <v>2263</v>
      </c>
    </row>
    <row r="1110" customFormat="false" ht="15" hidden="false" customHeight="false" outlineLevel="0" collapsed="false">
      <c r="A1110" s="0" t="s">
        <v>2134</v>
      </c>
      <c r="B1110" s="0" t="s">
        <v>129</v>
      </c>
      <c r="C1110" s="0" t="s">
        <v>294</v>
      </c>
      <c r="D1110" s="0" t="s">
        <v>115</v>
      </c>
      <c r="E1110" s="0" t="s">
        <v>2264</v>
      </c>
      <c r="F1110" s="0" t="n">
        <v>0</v>
      </c>
      <c r="G1110" s="0" t="n">
        <v>0</v>
      </c>
      <c r="H1110" s="0" t="s">
        <v>117</v>
      </c>
      <c r="K1110" s="0" t="s">
        <v>118</v>
      </c>
      <c r="L1110" s="0" t="s">
        <v>2265</v>
      </c>
    </row>
    <row r="1111" customFormat="false" ht="15" hidden="false" customHeight="false" outlineLevel="0" collapsed="false">
      <c r="A1111" s="0" t="s">
        <v>2134</v>
      </c>
      <c r="B1111" s="0" t="s">
        <v>129</v>
      </c>
      <c r="C1111" s="0" t="s">
        <v>294</v>
      </c>
      <c r="D1111" s="0" t="s">
        <v>120</v>
      </c>
      <c r="E1111" s="0" t="s">
        <v>297</v>
      </c>
      <c r="F1111" s="0" t="n">
        <v>5</v>
      </c>
      <c r="G1111" s="0" t="n">
        <v>3</v>
      </c>
      <c r="H1111" s="0" t="s">
        <v>122</v>
      </c>
      <c r="I1111" s="0" t="s">
        <v>2180</v>
      </c>
      <c r="K1111" s="0" t="s">
        <v>123</v>
      </c>
      <c r="L1111" s="0" t="s">
        <v>2266</v>
      </c>
    </row>
    <row r="1112" customFormat="false" ht="15" hidden="false" customHeight="false" outlineLevel="0" collapsed="false">
      <c r="A1112" s="0" t="s">
        <v>2134</v>
      </c>
      <c r="B1112" s="0" t="s">
        <v>129</v>
      </c>
      <c r="C1112" s="0" t="s">
        <v>294</v>
      </c>
      <c r="D1112" s="0" t="s">
        <v>125</v>
      </c>
      <c r="E1112" s="0" t="s">
        <v>299</v>
      </c>
      <c r="F1112" s="0" t="n">
        <v>5</v>
      </c>
      <c r="G1112" s="0" t="n">
        <v>2</v>
      </c>
      <c r="H1112" s="0" t="s">
        <v>122</v>
      </c>
      <c r="I1112" s="0" t="s">
        <v>2218</v>
      </c>
      <c r="K1112" s="0" t="s">
        <v>127</v>
      </c>
      <c r="L1112" s="0" t="s">
        <v>2267</v>
      </c>
    </row>
    <row r="1113" customFormat="false" ht="15" hidden="false" customHeight="false" outlineLevel="0" collapsed="false">
      <c r="A1113" s="0" t="s">
        <v>2134</v>
      </c>
      <c r="B1113" s="0" t="s">
        <v>129</v>
      </c>
      <c r="C1113" s="0" t="s">
        <v>294</v>
      </c>
      <c r="D1113" s="0" t="s">
        <v>53</v>
      </c>
      <c r="E1113" s="0" t="s">
        <v>301</v>
      </c>
      <c r="F1113" s="0" t="n">
        <v>5</v>
      </c>
      <c r="G1113" s="0" t="n">
        <v>5</v>
      </c>
      <c r="H1113" s="0" t="s">
        <v>117</v>
      </c>
      <c r="I1113" s="0" t="s">
        <v>2138</v>
      </c>
      <c r="K1113" s="0" t="s">
        <v>132</v>
      </c>
      <c r="L1113" s="0" t="s">
        <v>2268</v>
      </c>
    </row>
    <row r="1114" customFormat="false" ht="15" hidden="false" customHeight="false" outlineLevel="0" collapsed="false">
      <c r="A1114" s="0" t="s">
        <v>2134</v>
      </c>
      <c r="B1114" s="0" t="s">
        <v>129</v>
      </c>
      <c r="C1114" s="0" t="s">
        <v>294</v>
      </c>
      <c r="D1114" s="0" t="s">
        <v>56</v>
      </c>
      <c r="E1114" s="0" t="s">
        <v>2269</v>
      </c>
      <c r="F1114" s="0" t="n">
        <v>5</v>
      </c>
      <c r="G1114" s="0" t="n">
        <v>0</v>
      </c>
      <c r="H1114" s="0" t="s">
        <v>122</v>
      </c>
      <c r="K1114" s="0" t="s">
        <v>135</v>
      </c>
      <c r="L1114" s="0" t="s">
        <v>2270</v>
      </c>
    </row>
    <row r="1115" customFormat="false" ht="15" hidden="false" customHeight="false" outlineLevel="0" collapsed="false">
      <c r="A1115" s="0" t="s">
        <v>2134</v>
      </c>
      <c r="B1115" s="0" t="s">
        <v>129</v>
      </c>
      <c r="C1115" s="0" t="s">
        <v>294</v>
      </c>
      <c r="D1115" s="0" t="s">
        <v>59</v>
      </c>
      <c r="E1115" s="0" t="s">
        <v>2271</v>
      </c>
      <c r="F1115" s="0" t="n">
        <v>5</v>
      </c>
      <c r="G1115" s="0" t="n">
        <v>0</v>
      </c>
      <c r="H1115" s="0" t="s">
        <v>122</v>
      </c>
      <c r="K1115" s="0" t="s">
        <v>138</v>
      </c>
      <c r="L1115" s="0" t="s">
        <v>2272</v>
      </c>
    </row>
    <row r="1116" customFormat="false" ht="15" hidden="false" customHeight="false" outlineLevel="0" collapsed="false">
      <c r="A1116" s="0" t="s">
        <v>2134</v>
      </c>
      <c r="B1116" s="0" t="s">
        <v>129</v>
      </c>
      <c r="C1116" s="0" t="s">
        <v>294</v>
      </c>
      <c r="D1116" s="0" t="s">
        <v>67</v>
      </c>
      <c r="E1116" s="0" t="s">
        <v>307</v>
      </c>
      <c r="F1116" s="0" t="n">
        <v>5</v>
      </c>
      <c r="G1116" s="0" t="n">
        <v>1</v>
      </c>
      <c r="H1116" s="0" t="s">
        <v>122</v>
      </c>
      <c r="I1116" s="0" t="s">
        <v>2223</v>
      </c>
      <c r="K1116" s="0" t="s">
        <v>143</v>
      </c>
      <c r="L1116" s="0" t="s">
        <v>2273</v>
      </c>
    </row>
    <row r="1117" customFormat="false" ht="15" hidden="false" customHeight="false" outlineLevel="0" collapsed="false">
      <c r="A1117" s="0" t="s">
        <v>2134</v>
      </c>
      <c r="B1117" s="0" t="s">
        <v>129</v>
      </c>
      <c r="C1117" s="0" t="s">
        <v>294</v>
      </c>
      <c r="D1117" s="0" t="s">
        <v>70</v>
      </c>
      <c r="E1117" s="0" t="s">
        <v>2274</v>
      </c>
      <c r="F1117" s="0" t="n">
        <v>5</v>
      </c>
      <c r="G1117" s="0" t="n">
        <v>0</v>
      </c>
      <c r="H1117" s="0" t="s">
        <v>122</v>
      </c>
      <c r="K1117" s="0" t="s">
        <v>146</v>
      </c>
      <c r="L1117" s="0" t="s">
        <v>2275</v>
      </c>
    </row>
    <row r="1118" customFormat="false" ht="15" hidden="false" customHeight="false" outlineLevel="0" collapsed="false">
      <c r="A1118" s="0" t="s">
        <v>2134</v>
      </c>
      <c r="B1118" s="0" t="s">
        <v>129</v>
      </c>
      <c r="C1118" s="0" t="s">
        <v>294</v>
      </c>
      <c r="D1118" s="0" t="s">
        <v>73</v>
      </c>
      <c r="E1118" s="0" t="s">
        <v>311</v>
      </c>
      <c r="F1118" s="0" t="n">
        <v>5</v>
      </c>
      <c r="G1118" s="0" t="n">
        <v>0</v>
      </c>
      <c r="H1118" s="0" t="s">
        <v>122</v>
      </c>
      <c r="K1118" s="0" t="s">
        <v>149</v>
      </c>
      <c r="L1118" s="0" t="s">
        <v>2276</v>
      </c>
    </row>
    <row r="1119" customFormat="false" ht="15" hidden="false" customHeight="false" outlineLevel="0" collapsed="false">
      <c r="A1119" s="0" t="s">
        <v>2134</v>
      </c>
      <c r="B1119" s="0" t="s">
        <v>487</v>
      </c>
      <c r="C1119" s="0" t="s">
        <v>294</v>
      </c>
      <c r="D1119" s="0" t="s">
        <v>76</v>
      </c>
      <c r="E1119" s="0" t="s">
        <v>2277</v>
      </c>
      <c r="F1119" s="0" t="n">
        <v>5</v>
      </c>
      <c r="G1119" s="0" t="n">
        <v>4</v>
      </c>
      <c r="H1119" s="0" t="s">
        <v>122</v>
      </c>
      <c r="I1119" s="0" t="s">
        <v>2223</v>
      </c>
      <c r="K1119" s="0" t="s">
        <v>152</v>
      </c>
      <c r="L1119" s="0" t="s">
        <v>2278</v>
      </c>
    </row>
    <row r="1120" customFormat="false" ht="15" hidden="false" customHeight="false" outlineLevel="0" collapsed="false">
      <c r="A1120" s="0" t="s">
        <v>2134</v>
      </c>
      <c r="B1120" s="0" t="s">
        <v>129</v>
      </c>
      <c r="C1120" s="0" t="s">
        <v>294</v>
      </c>
      <c r="D1120" s="0" t="s">
        <v>79</v>
      </c>
      <c r="E1120" s="0" t="s">
        <v>2279</v>
      </c>
      <c r="F1120" s="0" t="n">
        <v>5</v>
      </c>
      <c r="G1120" s="0" t="n">
        <v>0</v>
      </c>
      <c r="H1120" s="0" t="s">
        <v>122</v>
      </c>
      <c r="K1120" s="0" t="s">
        <v>156</v>
      </c>
      <c r="L1120" s="0" t="s">
        <v>2280</v>
      </c>
    </row>
    <row r="1121" customFormat="false" ht="15" hidden="false" customHeight="false" outlineLevel="0" collapsed="false">
      <c r="A1121" s="0" t="s">
        <v>2134</v>
      </c>
      <c r="B1121" s="0" t="s">
        <v>129</v>
      </c>
      <c r="C1121" s="0" t="s">
        <v>294</v>
      </c>
      <c r="D1121" s="0" t="s">
        <v>82</v>
      </c>
      <c r="E1121" s="0" t="s">
        <v>2281</v>
      </c>
      <c r="F1121" s="0" t="n">
        <v>5</v>
      </c>
      <c r="G1121" s="0" t="n">
        <v>0</v>
      </c>
      <c r="H1121" s="0" t="s">
        <v>122</v>
      </c>
      <c r="K1121" s="0" t="s">
        <v>160</v>
      </c>
      <c r="L1121" s="0" t="s">
        <v>2282</v>
      </c>
    </row>
    <row r="1122" customFormat="false" ht="15" hidden="false" customHeight="false" outlineLevel="0" collapsed="false">
      <c r="A1122" s="0" t="s">
        <v>2134</v>
      </c>
      <c r="B1122" s="0" t="s">
        <v>319</v>
      </c>
      <c r="C1122" s="0" t="s">
        <v>114</v>
      </c>
      <c r="D1122" s="0" t="s">
        <v>320</v>
      </c>
      <c r="E1122" s="0" t="s">
        <v>321</v>
      </c>
      <c r="F1122" s="0" t="n">
        <v>8</v>
      </c>
      <c r="G1122" s="0" t="n">
        <v>0</v>
      </c>
      <c r="H1122" s="0" t="s">
        <v>122</v>
      </c>
      <c r="K1122" s="0" t="s">
        <v>322</v>
      </c>
      <c r="L1122" s="0" t="s">
        <v>2283</v>
      </c>
    </row>
    <row r="1123" customFormat="false" ht="15" hidden="false" customHeight="false" outlineLevel="0" collapsed="false">
      <c r="A1123" s="0" t="s">
        <v>2134</v>
      </c>
      <c r="B1123" s="0" t="s">
        <v>319</v>
      </c>
      <c r="C1123" s="0" t="s">
        <v>162</v>
      </c>
      <c r="D1123" s="0" t="s">
        <v>320</v>
      </c>
      <c r="E1123" s="0" t="s">
        <v>324</v>
      </c>
      <c r="F1123" s="0" t="n">
        <v>8</v>
      </c>
      <c r="G1123" s="0" t="n">
        <v>0</v>
      </c>
      <c r="H1123" s="0" t="s">
        <v>122</v>
      </c>
      <c r="K1123" s="0" t="s">
        <v>322</v>
      </c>
      <c r="L1123" s="0" t="s">
        <v>2284</v>
      </c>
    </row>
    <row r="1124" customFormat="false" ht="15" hidden="false" customHeight="false" outlineLevel="0" collapsed="false">
      <c r="A1124" s="0" t="s">
        <v>2134</v>
      </c>
      <c r="B1124" s="0" t="s">
        <v>319</v>
      </c>
      <c r="C1124" s="0" t="s">
        <v>189</v>
      </c>
      <c r="D1124" s="0" t="s">
        <v>320</v>
      </c>
      <c r="E1124" s="0" t="s">
        <v>326</v>
      </c>
      <c r="F1124" s="0" t="n">
        <v>8</v>
      </c>
      <c r="G1124" s="0" t="n">
        <v>0</v>
      </c>
      <c r="H1124" s="0" t="s">
        <v>122</v>
      </c>
      <c r="K1124" s="0" t="s">
        <v>322</v>
      </c>
      <c r="L1124" s="0" t="s">
        <v>2285</v>
      </c>
    </row>
    <row r="1125" customFormat="false" ht="15" hidden="false" customHeight="false" outlineLevel="0" collapsed="false">
      <c r="A1125" s="0" t="s">
        <v>2134</v>
      </c>
      <c r="B1125" s="0" t="s">
        <v>319</v>
      </c>
      <c r="C1125" s="0" t="s">
        <v>215</v>
      </c>
      <c r="D1125" s="0" t="s">
        <v>320</v>
      </c>
      <c r="E1125" s="0" t="s">
        <v>328</v>
      </c>
      <c r="F1125" s="0" t="n">
        <v>8</v>
      </c>
      <c r="G1125" s="0" t="n">
        <v>0</v>
      </c>
      <c r="H1125" s="0" t="s">
        <v>122</v>
      </c>
      <c r="K1125" s="0" t="s">
        <v>322</v>
      </c>
      <c r="L1125" s="0" t="s">
        <v>2286</v>
      </c>
    </row>
    <row r="1126" customFormat="false" ht="15" hidden="false" customHeight="false" outlineLevel="0" collapsed="false">
      <c r="A1126" s="0" t="s">
        <v>2134</v>
      </c>
      <c r="B1126" s="0" t="s">
        <v>319</v>
      </c>
      <c r="C1126" s="0" t="s">
        <v>241</v>
      </c>
      <c r="D1126" s="0" t="s">
        <v>320</v>
      </c>
      <c r="E1126" s="0" t="s">
        <v>330</v>
      </c>
      <c r="F1126" s="0" t="n">
        <v>8</v>
      </c>
      <c r="G1126" s="0" t="n">
        <v>0</v>
      </c>
      <c r="H1126" s="0" t="s">
        <v>122</v>
      </c>
      <c r="K1126" s="0" t="s">
        <v>322</v>
      </c>
      <c r="L1126" s="0" t="s">
        <v>2287</v>
      </c>
    </row>
    <row r="1127" customFormat="false" ht="15" hidden="false" customHeight="false" outlineLevel="0" collapsed="false">
      <c r="A1127" s="0" t="s">
        <v>2134</v>
      </c>
      <c r="B1127" s="0" t="s">
        <v>319</v>
      </c>
      <c r="C1127" s="0" t="s">
        <v>268</v>
      </c>
      <c r="D1127" s="0" t="s">
        <v>320</v>
      </c>
      <c r="E1127" s="0" t="s">
        <v>332</v>
      </c>
      <c r="F1127" s="0" t="n">
        <v>8</v>
      </c>
      <c r="G1127" s="0" t="n">
        <v>0</v>
      </c>
      <c r="H1127" s="0" t="s">
        <v>122</v>
      </c>
      <c r="K1127" s="0" t="s">
        <v>322</v>
      </c>
      <c r="L1127" s="0" t="s">
        <v>2288</v>
      </c>
    </row>
    <row r="1128" customFormat="false" ht="15" hidden="false" customHeight="false" outlineLevel="0" collapsed="false">
      <c r="A1128" s="0" t="s">
        <v>2134</v>
      </c>
      <c r="B1128" s="0" t="s">
        <v>319</v>
      </c>
      <c r="C1128" s="0" t="s">
        <v>294</v>
      </c>
      <c r="D1128" s="0" t="s">
        <v>320</v>
      </c>
      <c r="E1128" s="0" t="s">
        <v>334</v>
      </c>
      <c r="F1128" s="0" t="n">
        <v>8</v>
      </c>
      <c r="G1128" s="0" t="n">
        <v>0</v>
      </c>
      <c r="H1128" s="0" t="s">
        <v>122</v>
      </c>
      <c r="K1128" s="0" t="s">
        <v>322</v>
      </c>
      <c r="L1128" s="0" t="s">
        <v>2289</v>
      </c>
    </row>
    <row r="1129" customFormat="false" ht="15" hidden="false" customHeight="false" outlineLevel="0" collapsed="false">
      <c r="A1129" s="0" t="s">
        <v>2134</v>
      </c>
      <c r="B1129" s="0" t="s">
        <v>319</v>
      </c>
      <c r="C1129" s="0" t="s">
        <v>114</v>
      </c>
      <c r="D1129" s="0" t="s">
        <v>86</v>
      </c>
      <c r="E1129" s="0" t="s">
        <v>336</v>
      </c>
      <c r="F1129" s="0" t="n">
        <v>8</v>
      </c>
      <c r="G1129" s="0" t="n">
        <v>0</v>
      </c>
      <c r="H1129" s="0" t="s">
        <v>122</v>
      </c>
      <c r="K1129" s="0" t="s">
        <v>322</v>
      </c>
      <c r="L1129" s="0" t="s">
        <v>2290</v>
      </c>
    </row>
    <row r="1130" customFormat="false" ht="15" hidden="false" customHeight="false" outlineLevel="0" collapsed="false">
      <c r="A1130" s="0" t="s">
        <v>2134</v>
      </c>
      <c r="B1130" s="0" t="s">
        <v>319</v>
      </c>
      <c r="C1130" s="0" t="s">
        <v>162</v>
      </c>
      <c r="D1130" s="0" t="s">
        <v>86</v>
      </c>
      <c r="E1130" s="0" t="s">
        <v>338</v>
      </c>
      <c r="F1130" s="0" t="n">
        <v>8</v>
      </c>
      <c r="G1130" s="0" t="n">
        <v>0</v>
      </c>
      <c r="H1130" s="0" t="s">
        <v>122</v>
      </c>
      <c r="K1130" s="0" t="s">
        <v>322</v>
      </c>
      <c r="L1130" s="0" t="s">
        <v>2291</v>
      </c>
    </row>
    <row r="1131" customFormat="false" ht="15" hidden="false" customHeight="false" outlineLevel="0" collapsed="false">
      <c r="A1131" s="0" t="s">
        <v>2134</v>
      </c>
      <c r="B1131" s="0" t="s">
        <v>319</v>
      </c>
      <c r="C1131" s="0" t="s">
        <v>189</v>
      </c>
      <c r="D1131" s="0" t="s">
        <v>86</v>
      </c>
      <c r="E1131" s="0" t="s">
        <v>340</v>
      </c>
      <c r="F1131" s="0" t="n">
        <v>8</v>
      </c>
      <c r="G1131" s="0" t="n">
        <v>0</v>
      </c>
      <c r="H1131" s="0" t="s">
        <v>122</v>
      </c>
      <c r="K1131" s="0" t="s">
        <v>322</v>
      </c>
      <c r="L1131" s="0" t="s">
        <v>2292</v>
      </c>
    </row>
    <row r="1132" customFormat="false" ht="15" hidden="false" customHeight="false" outlineLevel="0" collapsed="false">
      <c r="A1132" s="0" t="s">
        <v>2134</v>
      </c>
      <c r="B1132" s="0" t="s">
        <v>319</v>
      </c>
      <c r="C1132" s="0" t="s">
        <v>215</v>
      </c>
      <c r="D1132" s="0" t="s">
        <v>86</v>
      </c>
      <c r="E1132" s="0" t="s">
        <v>342</v>
      </c>
      <c r="F1132" s="0" t="n">
        <v>8</v>
      </c>
      <c r="G1132" s="0" t="n">
        <v>3</v>
      </c>
      <c r="H1132" s="0" t="s">
        <v>122</v>
      </c>
      <c r="I1132" s="0" t="s">
        <v>2138</v>
      </c>
      <c r="K1132" s="0" t="s">
        <v>322</v>
      </c>
      <c r="L1132" s="0" t="s">
        <v>2293</v>
      </c>
    </row>
    <row r="1133" customFormat="false" ht="15" hidden="false" customHeight="false" outlineLevel="0" collapsed="false">
      <c r="A1133" s="0" t="s">
        <v>2134</v>
      </c>
      <c r="B1133" s="0" t="s">
        <v>319</v>
      </c>
      <c r="C1133" s="0" t="s">
        <v>241</v>
      </c>
      <c r="D1133" s="0" t="s">
        <v>86</v>
      </c>
      <c r="E1133" s="0" t="s">
        <v>344</v>
      </c>
      <c r="F1133" s="0" t="n">
        <v>8</v>
      </c>
      <c r="G1133" s="0" t="n">
        <v>0</v>
      </c>
      <c r="H1133" s="0" t="s">
        <v>122</v>
      </c>
      <c r="K1133" s="0" t="s">
        <v>322</v>
      </c>
      <c r="L1133" s="0" t="s">
        <v>2294</v>
      </c>
    </row>
    <row r="1134" customFormat="false" ht="15" hidden="false" customHeight="false" outlineLevel="0" collapsed="false">
      <c r="A1134" s="0" t="s">
        <v>2134</v>
      </c>
      <c r="B1134" s="0" t="s">
        <v>319</v>
      </c>
      <c r="C1134" s="0" t="s">
        <v>268</v>
      </c>
      <c r="D1134" s="0" t="s">
        <v>86</v>
      </c>
      <c r="E1134" s="0" t="s">
        <v>346</v>
      </c>
      <c r="F1134" s="0" t="n">
        <v>8</v>
      </c>
      <c r="G1134" s="0" t="n">
        <v>0</v>
      </c>
      <c r="H1134" s="0" t="s">
        <v>122</v>
      </c>
      <c r="K1134" s="0" t="s">
        <v>322</v>
      </c>
      <c r="L1134" s="0" t="s">
        <v>2295</v>
      </c>
    </row>
    <row r="1135" customFormat="false" ht="15" hidden="false" customHeight="false" outlineLevel="0" collapsed="false">
      <c r="A1135" s="0" t="s">
        <v>2134</v>
      </c>
      <c r="B1135" s="0" t="s">
        <v>319</v>
      </c>
      <c r="C1135" s="0" t="s">
        <v>294</v>
      </c>
      <c r="D1135" s="0" t="s">
        <v>86</v>
      </c>
      <c r="E1135" s="0" t="s">
        <v>348</v>
      </c>
      <c r="F1135" s="0" t="n">
        <v>8</v>
      </c>
      <c r="G1135" s="0" t="n">
        <v>0</v>
      </c>
      <c r="H1135" s="0" t="s">
        <v>122</v>
      </c>
      <c r="K1135" s="0" t="s">
        <v>322</v>
      </c>
      <c r="L1135" s="0" t="s">
        <v>2296</v>
      </c>
    </row>
    <row r="1136" customFormat="false" ht="15" hidden="false" customHeight="false" outlineLevel="0" collapsed="false">
      <c r="A1136" s="0" t="s">
        <v>2134</v>
      </c>
      <c r="B1136" s="0" t="s">
        <v>350</v>
      </c>
      <c r="C1136" s="0" t="s">
        <v>351</v>
      </c>
      <c r="D1136" s="0" t="s">
        <v>115</v>
      </c>
      <c r="E1136" s="0" t="s">
        <v>352</v>
      </c>
      <c r="F1136" s="0" t="n">
        <v>0</v>
      </c>
      <c r="G1136" s="0" t="n">
        <v>0</v>
      </c>
      <c r="H1136" s="0" t="s">
        <v>117</v>
      </c>
      <c r="K1136" s="0" t="s">
        <v>118</v>
      </c>
      <c r="L1136" s="0" t="s">
        <v>2297</v>
      </c>
    </row>
    <row r="1137" customFormat="false" ht="15" hidden="false" customHeight="false" outlineLevel="0" collapsed="false">
      <c r="A1137" s="0" t="s">
        <v>2134</v>
      </c>
      <c r="B1137" s="0" t="s">
        <v>350</v>
      </c>
      <c r="C1137" s="0" t="s">
        <v>351</v>
      </c>
      <c r="D1137" s="0" t="s">
        <v>120</v>
      </c>
      <c r="E1137" s="0" t="s">
        <v>354</v>
      </c>
      <c r="F1137" s="0" t="n">
        <v>5</v>
      </c>
      <c r="G1137" s="0" t="n">
        <v>0</v>
      </c>
      <c r="H1137" s="0" t="s">
        <v>122</v>
      </c>
      <c r="K1137" s="0" t="s">
        <v>123</v>
      </c>
      <c r="L1137" s="0" t="s">
        <v>2298</v>
      </c>
    </row>
    <row r="1138" customFormat="false" ht="15" hidden="false" customHeight="false" outlineLevel="0" collapsed="false">
      <c r="A1138" s="0" t="s">
        <v>2134</v>
      </c>
      <c r="B1138" s="0" t="s">
        <v>350</v>
      </c>
      <c r="C1138" s="0" t="s">
        <v>351</v>
      </c>
      <c r="D1138" s="0" t="s">
        <v>125</v>
      </c>
      <c r="E1138" s="0" t="s">
        <v>356</v>
      </c>
      <c r="F1138" s="0" t="n">
        <v>5</v>
      </c>
      <c r="G1138" s="0" t="n">
        <v>3</v>
      </c>
      <c r="H1138" s="0" t="s">
        <v>122</v>
      </c>
      <c r="I1138" s="0" t="s">
        <v>2223</v>
      </c>
      <c r="K1138" s="0" t="s">
        <v>127</v>
      </c>
      <c r="L1138" s="0" t="s">
        <v>2299</v>
      </c>
    </row>
    <row r="1139" customFormat="false" ht="15" hidden="false" customHeight="false" outlineLevel="0" collapsed="false">
      <c r="A1139" s="0" t="s">
        <v>2134</v>
      </c>
      <c r="B1139" s="0" t="s">
        <v>350</v>
      </c>
      <c r="C1139" s="0" t="s">
        <v>351</v>
      </c>
      <c r="D1139" s="0" t="s">
        <v>53</v>
      </c>
      <c r="E1139" s="0" t="s">
        <v>358</v>
      </c>
      <c r="F1139" s="0" t="n">
        <v>5</v>
      </c>
      <c r="G1139" s="0" t="n">
        <v>0</v>
      </c>
      <c r="H1139" s="0" t="s">
        <v>122</v>
      </c>
      <c r="K1139" s="0" t="s">
        <v>132</v>
      </c>
      <c r="L1139" s="0" t="s">
        <v>2300</v>
      </c>
    </row>
    <row r="1140" customFormat="false" ht="15" hidden="false" customHeight="false" outlineLevel="0" collapsed="false">
      <c r="A1140" s="0" t="s">
        <v>2134</v>
      </c>
      <c r="B1140" s="0" t="s">
        <v>350</v>
      </c>
      <c r="C1140" s="0" t="s">
        <v>351</v>
      </c>
      <c r="D1140" s="0" t="s">
        <v>56</v>
      </c>
      <c r="E1140" s="0" t="s">
        <v>360</v>
      </c>
      <c r="F1140" s="0" t="n">
        <v>5</v>
      </c>
      <c r="G1140" s="0" t="n">
        <v>0</v>
      </c>
      <c r="H1140" s="0" t="s">
        <v>122</v>
      </c>
      <c r="K1140" s="0" t="s">
        <v>135</v>
      </c>
      <c r="L1140" s="0" t="s">
        <v>2301</v>
      </c>
    </row>
    <row r="1141" customFormat="false" ht="15" hidden="false" customHeight="false" outlineLevel="0" collapsed="false">
      <c r="A1141" s="0" t="s">
        <v>2134</v>
      </c>
      <c r="B1141" s="0" t="s">
        <v>350</v>
      </c>
      <c r="C1141" s="0" t="s">
        <v>351</v>
      </c>
      <c r="D1141" s="0" t="s">
        <v>59</v>
      </c>
      <c r="E1141" s="0" t="s">
        <v>362</v>
      </c>
      <c r="F1141" s="0" t="n">
        <v>0</v>
      </c>
      <c r="G1141" s="0" t="n">
        <v>0</v>
      </c>
      <c r="H1141" s="0" t="s">
        <v>117</v>
      </c>
      <c r="K1141" s="0" t="s">
        <v>138</v>
      </c>
      <c r="L1141" s="0" t="s">
        <v>2302</v>
      </c>
    </row>
    <row r="1142" customFormat="false" ht="15" hidden="false" customHeight="false" outlineLevel="0" collapsed="false">
      <c r="A1142" s="0" t="s">
        <v>2134</v>
      </c>
      <c r="B1142" s="0" t="s">
        <v>350</v>
      </c>
      <c r="C1142" s="0" t="s">
        <v>351</v>
      </c>
      <c r="D1142" s="0" t="s">
        <v>67</v>
      </c>
      <c r="E1142" s="0" t="s">
        <v>364</v>
      </c>
      <c r="F1142" s="0" t="n">
        <v>5</v>
      </c>
      <c r="G1142" s="0" t="n">
        <v>0</v>
      </c>
      <c r="H1142" s="0" t="s">
        <v>122</v>
      </c>
      <c r="K1142" s="0" t="s">
        <v>143</v>
      </c>
      <c r="L1142" s="0" t="s">
        <v>2303</v>
      </c>
    </row>
    <row r="1143" customFormat="false" ht="15" hidden="false" customHeight="false" outlineLevel="0" collapsed="false">
      <c r="A1143" s="0" t="s">
        <v>2134</v>
      </c>
      <c r="B1143" s="0" t="s">
        <v>350</v>
      </c>
      <c r="C1143" s="0" t="s">
        <v>351</v>
      </c>
      <c r="D1143" s="0" t="s">
        <v>70</v>
      </c>
      <c r="E1143" s="0" t="s">
        <v>366</v>
      </c>
      <c r="F1143" s="0" t="n">
        <v>5</v>
      </c>
      <c r="G1143" s="0" t="n">
        <v>0</v>
      </c>
      <c r="H1143" s="0" t="s">
        <v>122</v>
      </c>
      <c r="K1143" s="0" t="s">
        <v>146</v>
      </c>
      <c r="L1143" s="0" t="s">
        <v>2304</v>
      </c>
    </row>
    <row r="1144" customFormat="false" ht="15" hidden="false" customHeight="false" outlineLevel="0" collapsed="false">
      <c r="A1144" s="0" t="s">
        <v>2134</v>
      </c>
      <c r="C1144" s="0" t="s">
        <v>351</v>
      </c>
      <c r="D1144" s="0" t="s">
        <v>73</v>
      </c>
      <c r="E1144" s="0" t="s">
        <v>2305</v>
      </c>
      <c r="F1144" s="0" t="n">
        <v>0</v>
      </c>
      <c r="G1144" s="0" t="n">
        <v>0</v>
      </c>
      <c r="H1144" s="0" t="s">
        <v>117</v>
      </c>
      <c r="K1144" s="0" t="s">
        <v>149</v>
      </c>
      <c r="L1144" s="0" t="s">
        <v>2306</v>
      </c>
    </row>
    <row r="1145" customFormat="false" ht="15" hidden="false" customHeight="false" outlineLevel="0" collapsed="false">
      <c r="A1145" s="0" t="s">
        <v>2134</v>
      </c>
      <c r="C1145" s="0" t="s">
        <v>351</v>
      </c>
      <c r="D1145" s="0" t="s">
        <v>76</v>
      </c>
      <c r="E1145" s="0" t="s">
        <v>2307</v>
      </c>
      <c r="F1145" s="0" t="n">
        <v>0</v>
      </c>
      <c r="G1145" s="0" t="n">
        <v>0</v>
      </c>
      <c r="H1145" s="0" t="s">
        <v>117</v>
      </c>
      <c r="K1145" s="0" t="s">
        <v>152</v>
      </c>
      <c r="L1145" s="0" t="s">
        <v>2308</v>
      </c>
    </row>
    <row r="1146" customFormat="false" ht="15" hidden="false" customHeight="false" outlineLevel="0" collapsed="false">
      <c r="A1146" s="0" t="s">
        <v>2134</v>
      </c>
      <c r="C1146" s="0" t="s">
        <v>351</v>
      </c>
      <c r="D1146" s="0" t="s">
        <v>79</v>
      </c>
      <c r="E1146" s="0" t="s">
        <v>2309</v>
      </c>
      <c r="F1146" s="0" t="n">
        <v>5</v>
      </c>
      <c r="G1146" s="0" t="n">
        <v>0</v>
      </c>
      <c r="H1146" s="0" t="s">
        <v>122</v>
      </c>
      <c r="K1146" s="0" t="s">
        <v>156</v>
      </c>
      <c r="L1146" s="0" t="s">
        <v>2310</v>
      </c>
    </row>
    <row r="1147" customFormat="false" ht="15" hidden="false" customHeight="false" outlineLevel="0" collapsed="false">
      <c r="A1147" s="0" t="s">
        <v>2134</v>
      </c>
      <c r="C1147" s="0" t="s">
        <v>351</v>
      </c>
      <c r="D1147" s="0" t="s">
        <v>82</v>
      </c>
      <c r="E1147" s="0" t="s">
        <v>2311</v>
      </c>
      <c r="F1147" s="0" t="n">
        <v>5</v>
      </c>
      <c r="G1147" s="0" t="n">
        <v>0</v>
      </c>
      <c r="H1147" s="0" t="s">
        <v>122</v>
      </c>
      <c r="K1147" s="0" t="s">
        <v>160</v>
      </c>
      <c r="L1147" s="0" t="s">
        <v>2312</v>
      </c>
    </row>
    <row r="1148" customFormat="false" ht="15" hidden="false" customHeight="false" outlineLevel="0" collapsed="false">
      <c r="A1148" s="0" t="s">
        <v>2134</v>
      </c>
      <c r="B1148" s="0" t="s">
        <v>350</v>
      </c>
      <c r="C1148" s="0" t="s">
        <v>376</v>
      </c>
      <c r="D1148" s="0" t="s">
        <v>115</v>
      </c>
      <c r="E1148" s="0" t="s">
        <v>377</v>
      </c>
      <c r="F1148" s="0" t="n">
        <v>0</v>
      </c>
      <c r="G1148" s="0" t="n">
        <v>0</v>
      </c>
      <c r="H1148" s="0" t="s">
        <v>117</v>
      </c>
      <c r="K1148" s="0" t="s">
        <v>118</v>
      </c>
      <c r="L1148" s="0" t="s">
        <v>2313</v>
      </c>
    </row>
    <row r="1149" customFormat="false" ht="15" hidden="false" customHeight="false" outlineLevel="0" collapsed="false">
      <c r="A1149" s="0" t="s">
        <v>2134</v>
      </c>
      <c r="B1149" s="0" t="s">
        <v>350</v>
      </c>
      <c r="C1149" s="0" t="s">
        <v>376</v>
      </c>
      <c r="D1149" s="0" t="s">
        <v>120</v>
      </c>
      <c r="E1149" s="0" t="s">
        <v>379</v>
      </c>
      <c r="F1149" s="0" t="n">
        <v>5</v>
      </c>
      <c r="G1149" s="0" t="n">
        <v>3</v>
      </c>
      <c r="H1149" s="0" t="s">
        <v>122</v>
      </c>
      <c r="I1149" s="0" t="s">
        <v>2218</v>
      </c>
      <c r="K1149" s="0" t="s">
        <v>123</v>
      </c>
      <c r="L1149" s="0" t="s">
        <v>2314</v>
      </c>
    </row>
    <row r="1150" customFormat="false" ht="15" hidden="false" customHeight="false" outlineLevel="0" collapsed="false">
      <c r="A1150" s="0" t="s">
        <v>2134</v>
      </c>
      <c r="B1150" s="0" t="s">
        <v>350</v>
      </c>
      <c r="C1150" s="0" t="s">
        <v>376</v>
      </c>
      <c r="D1150" s="0" t="s">
        <v>125</v>
      </c>
      <c r="E1150" s="0" t="s">
        <v>381</v>
      </c>
      <c r="F1150" s="0" t="n">
        <v>5</v>
      </c>
      <c r="G1150" s="0" t="n">
        <v>1</v>
      </c>
      <c r="H1150" s="0" t="s">
        <v>122</v>
      </c>
      <c r="I1150" s="0" t="s">
        <v>2218</v>
      </c>
      <c r="K1150" s="0" t="s">
        <v>127</v>
      </c>
      <c r="L1150" s="0" t="s">
        <v>2315</v>
      </c>
    </row>
    <row r="1151" customFormat="false" ht="15" hidden="false" customHeight="false" outlineLevel="0" collapsed="false">
      <c r="A1151" s="0" t="s">
        <v>2134</v>
      </c>
      <c r="B1151" s="0" t="s">
        <v>350</v>
      </c>
      <c r="C1151" s="0" t="s">
        <v>376</v>
      </c>
      <c r="D1151" s="0" t="s">
        <v>53</v>
      </c>
      <c r="E1151" s="0" t="s">
        <v>383</v>
      </c>
      <c r="F1151" s="0" t="n">
        <v>5</v>
      </c>
      <c r="G1151" s="0" t="n">
        <v>0</v>
      </c>
      <c r="H1151" s="0" t="s">
        <v>122</v>
      </c>
      <c r="K1151" s="0" t="s">
        <v>132</v>
      </c>
      <c r="L1151" s="0" t="s">
        <v>2316</v>
      </c>
    </row>
    <row r="1152" customFormat="false" ht="15" hidden="false" customHeight="false" outlineLevel="0" collapsed="false">
      <c r="A1152" s="0" t="s">
        <v>2134</v>
      </c>
      <c r="B1152" s="0" t="s">
        <v>350</v>
      </c>
      <c r="C1152" s="0" t="s">
        <v>376</v>
      </c>
      <c r="D1152" s="0" t="s">
        <v>56</v>
      </c>
      <c r="E1152" s="0" t="s">
        <v>385</v>
      </c>
      <c r="F1152" s="0" t="n">
        <v>5</v>
      </c>
      <c r="G1152" s="0" t="n">
        <v>3</v>
      </c>
      <c r="H1152" s="0" t="s">
        <v>122</v>
      </c>
      <c r="I1152" s="0" t="s">
        <v>2218</v>
      </c>
      <c r="K1152" s="0" t="s">
        <v>135</v>
      </c>
      <c r="L1152" s="0" t="s">
        <v>2317</v>
      </c>
    </row>
    <row r="1153" customFormat="false" ht="15" hidden="false" customHeight="false" outlineLevel="0" collapsed="false">
      <c r="A1153" s="0" t="s">
        <v>2134</v>
      </c>
      <c r="B1153" s="0" t="s">
        <v>350</v>
      </c>
      <c r="C1153" s="0" t="s">
        <v>376</v>
      </c>
      <c r="D1153" s="0" t="s">
        <v>59</v>
      </c>
      <c r="E1153" s="0" t="s">
        <v>387</v>
      </c>
      <c r="F1153" s="0" t="n">
        <v>0</v>
      </c>
      <c r="G1153" s="0" t="n">
        <v>0</v>
      </c>
      <c r="H1153" s="0" t="s">
        <v>117</v>
      </c>
      <c r="K1153" s="0" t="s">
        <v>138</v>
      </c>
      <c r="L1153" s="0" t="s">
        <v>2318</v>
      </c>
    </row>
    <row r="1154" customFormat="false" ht="15" hidden="false" customHeight="false" outlineLevel="0" collapsed="false">
      <c r="A1154" s="0" t="s">
        <v>2134</v>
      </c>
      <c r="B1154" s="0" t="s">
        <v>350</v>
      </c>
      <c r="C1154" s="0" t="s">
        <v>376</v>
      </c>
      <c r="D1154" s="0" t="s">
        <v>67</v>
      </c>
      <c r="E1154" s="0" t="s">
        <v>389</v>
      </c>
      <c r="F1154" s="0" t="n">
        <v>5</v>
      </c>
      <c r="G1154" s="0" t="n">
        <v>0</v>
      </c>
      <c r="H1154" s="0" t="s">
        <v>122</v>
      </c>
      <c r="K1154" s="0" t="s">
        <v>143</v>
      </c>
      <c r="L1154" s="0" t="s">
        <v>2319</v>
      </c>
    </row>
    <row r="1155" customFormat="false" ht="15" hidden="false" customHeight="false" outlineLevel="0" collapsed="false">
      <c r="A1155" s="0" t="s">
        <v>2134</v>
      </c>
      <c r="B1155" s="0" t="s">
        <v>350</v>
      </c>
      <c r="C1155" s="0" t="s">
        <v>376</v>
      </c>
      <c r="D1155" s="0" t="s">
        <v>70</v>
      </c>
      <c r="E1155" s="0" t="s">
        <v>391</v>
      </c>
      <c r="F1155" s="0" t="n">
        <v>5</v>
      </c>
      <c r="G1155" s="0" t="n">
        <v>0</v>
      </c>
      <c r="H1155" s="0" t="s">
        <v>122</v>
      </c>
      <c r="K1155" s="0" t="s">
        <v>146</v>
      </c>
      <c r="L1155" s="0" t="s">
        <v>2320</v>
      </c>
    </row>
    <row r="1156" customFormat="false" ht="15" hidden="false" customHeight="false" outlineLevel="0" collapsed="false">
      <c r="A1156" s="0" t="s">
        <v>2134</v>
      </c>
      <c r="C1156" s="0" t="s">
        <v>376</v>
      </c>
      <c r="D1156" s="0" t="s">
        <v>73</v>
      </c>
      <c r="E1156" s="0" t="s">
        <v>2321</v>
      </c>
      <c r="F1156" s="0" t="n">
        <v>0</v>
      </c>
      <c r="G1156" s="0" t="n">
        <v>0</v>
      </c>
      <c r="H1156" s="0" t="s">
        <v>117</v>
      </c>
      <c r="K1156" s="0" t="s">
        <v>149</v>
      </c>
      <c r="L1156" s="0" t="s">
        <v>2322</v>
      </c>
    </row>
    <row r="1157" customFormat="false" ht="15" hidden="false" customHeight="false" outlineLevel="0" collapsed="false">
      <c r="A1157" s="0" t="s">
        <v>2134</v>
      </c>
      <c r="C1157" s="0" t="s">
        <v>376</v>
      </c>
      <c r="D1157" s="0" t="s">
        <v>76</v>
      </c>
      <c r="E1157" s="0" t="s">
        <v>2323</v>
      </c>
      <c r="F1157" s="0" t="n">
        <v>0</v>
      </c>
      <c r="G1157" s="0" t="n">
        <v>0</v>
      </c>
      <c r="H1157" s="0" t="s">
        <v>117</v>
      </c>
      <c r="K1157" s="0" t="s">
        <v>152</v>
      </c>
      <c r="L1157" s="0" t="s">
        <v>2324</v>
      </c>
    </row>
    <row r="1158" customFormat="false" ht="15" hidden="false" customHeight="false" outlineLevel="0" collapsed="false">
      <c r="A1158" s="0" t="s">
        <v>2134</v>
      </c>
      <c r="B1158" s="0" t="s">
        <v>350</v>
      </c>
      <c r="C1158" s="0" t="s">
        <v>376</v>
      </c>
      <c r="D1158" s="0" t="s">
        <v>79</v>
      </c>
      <c r="E1158" s="0" t="s">
        <v>397</v>
      </c>
      <c r="F1158" s="0" t="n">
        <v>5</v>
      </c>
      <c r="G1158" s="0" t="n">
        <v>2</v>
      </c>
      <c r="H1158" s="0" t="s">
        <v>122</v>
      </c>
      <c r="I1158" s="0" t="s">
        <v>2223</v>
      </c>
      <c r="K1158" s="0" t="s">
        <v>156</v>
      </c>
      <c r="L1158" s="0" t="s">
        <v>2325</v>
      </c>
    </row>
    <row r="1159" customFormat="false" ht="15" hidden="false" customHeight="false" outlineLevel="0" collapsed="false">
      <c r="A1159" s="0" t="s">
        <v>2134</v>
      </c>
      <c r="C1159" s="0" t="s">
        <v>376</v>
      </c>
      <c r="D1159" s="0" t="s">
        <v>82</v>
      </c>
      <c r="E1159" s="0" t="s">
        <v>2326</v>
      </c>
      <c r="F1159" s="0" t="n">
        <v>5</v>
      </c>
      <c r="G1159" s="0" t="n">
        <v>0</v>
      </c>
      <c r="H1159" s="0" t="s">
        <v>122</v>
      </c>
      <c r="K1159" s="0" t="s">
        <v>160</v>
      </c>
      <c r="L1159" s="0" t="s">
        <v>2327</v>
      </c>
    </row>
    <row r="1160" customFormat="false" ht="15" hidden="false" customHeight="false" outlineLevel="0" collapsed="false">
      <c r="A1160" s="0" t="s">
        <v>2134</v>
      </c>
      <c r="B1160" s="0" t="s">
        <v>350</v>
      </c>
      <c r="C1160" s="0" t="s">
        <v>401</v>
      </c>
      <c r="D1160" s="0" t="s">
        <v>115</v>
      </c>
      <c r="E1160" s="0" t="s">
        <v>402</v>
      </c>
      <c r="F1160" s="0" t="n">
        <v>0</v>
      </c>
      <c r="G1160" s="0" t="n">
        <v>0</v>
      </c>
      <c r="H1160" s="0" t="s">
        <v>117</v>
      </c>
      <c r="K1160" s="0" t="s">
        <v>118</v>
      </c>
      <c r="L1160" s="0" t="s">
        <v>2328</v>
      </c>
    </row>
    <row r="1161" customFormat="false" ht="15" hidden="false" customHeight="false" outlineLevel="0" collapsed="false">
      <c r="A1161" s="0" t="s">
        <v>2134</v>
      </c>
      <c r="B1161" s="0" t="s">
        <v>350</v>
      </c>
      <c r="C1161" s="0" t="s">
        <v>401</v>
      </c>
      <c r="D1161" s="0" t="s">
        <v>120</v>
      </c>
      <c r="E1161" s="0" t="s">
        <v>404</v>
      </c>
      <c r="F1161" s="0" t="n">
        <v>5</v>
      </c>
      <c r="G1161" s="0" t="n">
        <v>0</v>
      </c>
      <c r="H1161" s="0" t="s">
        <v>122</v>
      </c>
      <c r="K1161" s="0" t="s">
        <v>123</v>
      </c>
      <c r="L1161" s="0" t="s">
        <v>2329</v>
      </c>
    </row>
    <row r="1162" customFormat="false" ht="15" hidden="false" customHeight="false" outlineLevel="0" collapsed="false">
      <c r="A1162" s="0" t="s">
        <v>2134</v>
      </c>
      <c r="B1162" s="0" t="s">
        <v>350</v>
      </c>
      <c r="C1162" s="0" t="s">
        <v>401</v>
      </c>
      <c r="D1162" s="0" t="s">
        <v>125</v>
      </c>
      <c r="E1162" s="0" t="s">
        <v>406</v>
      </c>
      <c r="F1162" s="0" t="n">
        <v>5</v>
      </c>
      <c r="G1162" s="0" t="n">
        <v>3</v>
      </c>
      <c r="H1162" s="0" t="s">
        <v>122</v>
      </c>
      <c r="I1162" s="0" t="s">
        <v>2260</v>
      </c>
      <c r="K1162" s="0" t="s">
        <v>127</v>
      </c>
      <c r="L1162" s="0" t="s">
        <v>2330</v>
      </c>
    </row>
    <row r="1163" customFormat="false" ht="15" hidden="false" customHeight="false" outlineLevel="0" collapsed="false">
      <c r="A1163" s="0" t="s">
        <v>2134</v>
      </c>
      <c r="B1163" s="0" t="s">
        <v>350</v>
      </c>
      <c r="C1163" s="0" t="s">
        <v>401</v>
      </c>
      <c r="D1163" s="0" t="s">
        <v>53</v>
      </c>
      <c r="E1163" s="0" t="s">
        <v>408</v>
      </c>
      <c r="F1163" s="0" t="n">
        <v>5</v>
      </c>
      <c r="G1163" s="0" t="n">
        <v>2</v>
      </c>
      <c r="H1163" s="0" t="s">
        <v>122</v>
      </c>
      <c r="I1163" s="0" t="s">
        <v>2260</v>
      </c>
      <c r="K1163" s="0" t="s">
        <v>132</v>
      </c>
      <c r="L1163" s="0" t="s">
        <v>2331</v>
      </c>
    </row>
    <row r="1164" customFormat="false" ht="15" hidden="false" customHeight="false" outlineLevel="0" collapsed="false">
      <c r="A1164" s="0" t="s">
        <v>2134</v>
      </c>
      <c r="B1164" s="0" t="s">
        <v>350</v>
      </c>
      <c r="C1164" s="0" t="s">
        <v>401</v>
      </c>
      <c r="D1164" s="0" t="s">
        <v>56</v>
      </c>
      <c r="E1164" s="0" t="s">
        <v>410</v>
      </c>
      <c r="F1164" s="0" t="n">
        <v>5</v>
      </c>
      <c r="G1164" s="0" t="n">
        <v>0</v>
      </c>
      <c r="H1164" s="0" t="s">
        <v>122</v>
      </c>
      <c r="K1164" s="0" t="s">
        <v>135</v>
      </c>
      <c r="L1164" s="0" t="s">
        <v>2332</v>
      </c>
    </row>
    <row r="1165" customFormat="false" ht="15" hidden="false" customHeight="false" outlineLevel="0" collapsed="false">
      <c r="A1165" s="0" t="s">
        <v>2134</v>
      </c>
      <c r="B1165" s="0" t="s">
        <v>350</v>
      </c>
      <c r="C1165" s="0" t="s">
        <v>401</v>
      </c>
      <c r="D1165" s="0" t="s">
        <v>59</v>
      </c>
      <c r="E1165" s="0" t="s">
        <v>412</v>
      </c>
      <c r="F1165" s="0" t="n">
        <v>0</v>
      </c>
      <c r="G1165" s="0" t="n">
        <v>0</v>
      </c>
      <c r="H1165" s="0" t="s">
        <v>117</v>
      </c>
      <c r="K1165" s="0" t="s">
        <v>138</v>
      </c>
      <c r="L1165" s="0" t="s">
        <v>2333</v>
      </c>
    </row>
    <row r="1166" customFormat="false" ht="15" hidden="false" customHeight="false" outlineLevel="0" collapsed="false">
      <c r="A1166" s="0" t="s">
        <v>2134</v>
      </c>
      <c r="B1166" s="0" t="s">
        <v>350</v>
      </c>
      <c r="C1166" s="0" t="s">
        <v>401</v>
      </c>
      <c r="D1166" s="0" t="s">
        <v>67</v>
      </c>
      <c r="E1166" s="0" t="s">
        <v>414</v>
      </c>
      <c r="F1166" s="0" t="n">
        <v>5</v>
      </c>
      <c r="G1166" s="0" t="n">
        <v>0</v>
      </c>
      <c r="H1166" s="0" t="s">
        <v>122</v>
      </c>
      <c r="K1166" s="0" t="s">
        <v>143</v>
      </c>
      <c r="L1166" s="0" t="s">
        <v>2334</v>
      </c>
    </row>
    <row r="1167" customFormat="false" ht="15" hidden="false" customHeight="false" outlineLevel="0" collapsed="false">
      <c r="A1167" s="0" t="s">
        <v>2134</v>
      </c>
      <c r="B1167" s="0" t="s">
        <v>350</v>
      </c>
      <c r="C1167" s="0" t="s">
        <v>401</v>
      </c>
      <c r="D1167" s="0" t="s">
        <v>70</v>
      </c>
      <c r="E1167" s="0" t="s">
        <v>416</v>
      </c>
      <c r="F1167" s="0" t="n">
        <v>5</v>
      </c>
      <c r="G1167" s="0" t="n">
        <v>0</v>
      </c>
      <c r="H1167" s="0" t="s">
        <v>122</v>
      </c>
      <c r="K1167" s="0" t="s">
        <v>146</v>
      </c>
      <c r="L1167" s="0" t="s">
        <v>2335</v>
      </c>
    </row>
    <row r="1168" customFormat="false" ht="15" hidden="false" customHeight="false" outlineLevel="0" collapsed="false">
      <c r="A1168" s="0" t="s">
        <v>2134</v>
      </c>
      <c r="C1168" s="0" t="s">
        <v>401</v>
      </c>
      <c r="D1168" s="0" t="s">
        <v>73</v>
      </c>
      <c r="E1168" s="0" t="s">
        <v>2336</v>
      </c>
      <c r="F1168" s="0" t="n">
        <v>0</v>
      </c>
      <c r="G1168" s="0" t="n">
        <v>0</v>
      </c>
      <c r="H1168" s="0" t="s">
        <v>117</v>
      </c>
      <c r="K1168" s="0" t="s">
        <v>149</v>
      </c>
      <c r="L1168" s="0" t="s">
        <v>2337</v>
      </c>
    </row>
    <row r="1169" customFormat="false" ht="15" hidden="false" customHeight="false" outlineLevel="0" collapsed="false">
      <c r="A1169" s="0" t="s">
        <v>2134</v>
      </c>
      <c r="C1169" s="0" t="s">
        <v>401</v>
      </c>
      <c r="D1169" s="0" t="s">
        <v>76</v>
      </c>
      <c r="E1169" s="0" t="s">
        <v>2338</v>
      </c>
      <c r="F1169" s="0" t="n">
        <v>5</v>
      </c>
      <c r="G1169" s="0" t="n">
        <v>0</v>
      </c>
      <c r="H1169" s="0" t="s">
        <v>122</v>
      </c>
      <c r="K1169" s="0" t="s">
        <v>152</v>
      </c>
      <c r="L1169" s="0" t="s">
        <v>2339</v>
      </c>
    </row>
    <row r="1170" customFormat="false" ht="15" hidden="false" customHeight="false" outlineLevel="0" collapsed="false">
      <c r="A1170" s="0" t="s">
        <v>2134</v>
      </c>
      <c r="B1170" s="0" t="s">
        <v>350</v>
      </c>
      <c r="C1170" s="0" t="s">
        <v>401</v>
      </c>
      <c r="D1170" s="0" t="s">
        <v>79</v>
      </c>
      <c r="E1170" s="0" t="s">
        <v>422</v>
      </c>
      <c r="F1170" s="0" t="n">
        <v>5</v>
      </c>
      <c r="G1170" s="0" t="n">
        <v>1</v>
      </c>
      <c r="H1170" s="0" t="s">
        <v>122</v>
      </c>
      <c r="I1170" s="0" t="s">
        <v>2180</v>
      </c>
      <c r="K1170" s="0" t="s">
        <v>156</v>
      </c>
      <c r="L1170" s="0" t="s">
        <v>2340</v>
      </c>
    </row>
    <row r="1171" customFormat="false" ht="15" hidden="false" customHeight="false" outlineLevel="0" collapsed="false">
      <c r="A1171" s="0" t="s">
        <v>2134</v>
      </c>
      <c r="C1171" s="0" t="s">
        <v>401</v>
      </c>
      <c r="D1171" s="0" t="s">
        <v>82</v>
      </c>
      <c r="E1171" s="0" t="s">
        <v>2341</v>
      </c>
      <c r="F1171" s="0" t="n">
        <v>5</v>
      </c>
      <c r="G1171" s="0" t="n">
        <v>0</v>
      </c>
      <c r="H1171" s="0" t="s">
        <v>122</v>
      </c>
      <c r="K1171" s="0" t="s">
        <v>160</v>
      </c>
      <c r="L1171" s="0" t="s">
        <v>2342</v>
      </c>
    </row>
    <row r="1172" customFormat="false" ht="15" hidden="false" customHeight="false" outlineLevel="0" collapsed="false">
      <c r="A1172" s="0" t="s">
        <v>2134</v>
      </c>
      <c r="B1172" s="0" t="s">
        <v>350</v>
      </c>
      <c r="C1172" s="0" t="s">
        <v>426</v>
      </c>
      <c r="D1172" s="0" t="s">
        <v>115</v>
      </c>
      <c r="E1172" s="0" t="s">
        <v>427</v>
      </c>
      <c r="F1172" s="0" t="n">
        <v>0</v>
      </c>
      <c r="G1172" s="0" t="n">
        <v>0</v>
      </c>
      <c r="H1172" s="0" t="s">
        <v>117</v>
      </c>
      <c r="K1172" s="0" t="s">
        <v>118</v>
      </c>
      <c r="L1172" s="0" t="s">
        <v>2343</v>
      </c>
    </row>
    <row r="1173" customFormat="false" ht="15" hidden="false" customHeight="false" outlineLevel="0" collapsed="false">
      <c r="A1173" s="0" t="s">
        <v>2134</v>
      </c>
      <c r="B1173" s="0" t="s">
        <v>350</v>
      </c>
      <c r="C1173" s="0" t="s">
        <v>426</v>
      </c>
      <c r="D1173" s="0" t="s">
        <v>120</v>
      </c>
      <c r="E1173" s="0" t="s">
        <v>429</v>
      </c>
      <c r="F1173" s="0" t="n">
        <v>5</v>
      </c>
      <c r="G1173" s="0" t="n">
        <v>0</v>
      </c>
      <c r="H1173" s="0" t="s">
        <v>122</v>
      </c>
      <c r="K1173" s="0" t="s">
        <v>123</v>
      </c>
      <c r="L1173" s="0" t="s">
        <v>2344</v>
      </c>
    </row>
    <row r="1174" customFormat="false" ht="15" hidden="false" customHeight="false" outlineLevel="0" collapsed="false">
      <c r="A1174" s="0" t="s">
        <v>2134</v>
      </c>
      <c r="B1174" s="0" t="s">
        <v>350</v>
      </c>
      <c r="C1174" s="0" t="s">
        <v>426</v>
      </c>
      <c r="D1174" s="0" t="s">
        <v>125</v>
      </c>
      <c r="E1174" s="0" t="s">
        <v>431</v>
      </c>
      <c r="F1174" s="0" t="n">
        <v>5</v>
      </c>
      <c r="G1174" s="0" t="n">
        <v>3</v>
      </c>
      <c r="H1174" s="0" t="s">
        <v>122</v>
      </c>
      <c r="I1174" s="0" t="s">
        <v>2138</v>
      </c>
      <c r="K1174" s="0" t="s">
        <v>127</v>
      </c>
      <c r="L1174" s="0" t="s">
        <v>2345</v>
      </c>
    </row>
    <row r="1175" customFormat="false" ht="15" hidden="false" customHeight="false" outlineLevel="0" collapsed="false">
      <c r="A1175" s="0" t="s">
        <v>2134</v>
      </c>
      <c r="B1175" s="0" t="s">
        <v>350</v>
      </c>
      <c r="C1175" s="0" t="s">
        <v>426</v>
      </c>
      <c r="D1175" s="0" t="s">
        <v>53</v>
      </c>
      <c r="E1175" s="0" t="s">
        <v>433</v>
      </c>
      <c r="F1175" s="0" t="n">
        <v>5</v>
      </c>
      <c r="G1175" s="0" t="n">
        <v>0</v>
      </c>
      <c r="H1175" s="0" t="s">
        <v>122</v>
      </c>
      <c r="K1175" s="0" t="s">
        <v>132</v>
      </c>
      <c r="L1175" s="0" t="s">
        <v>2346</v>
      </c>
    </row>
    <row r="1176" customFormat="false" ht="15" hidden="false" customHeight="false" outlineLevel="0" collapsed="false">
      <c r="A1176" s="0" t="s">
        <v>2134</v>
      </c>
      <c r="B1176" s="0" t="s">
        <v>350</v>
      </c>
      <c r="C1176" s="0" t="s">
        <v>426</v>
      </c>
      <c r="D1176" s="0" t="s">
        <v>56</v>
      </c>
      <c r="E1176" s="0" t="s">
        <v>435</v>
      </c>
      <c r="F1176" s="0" t="n">
        <v>5</v>
      </c>
      <c r="G1176" s="0" t="n">
        <v>1</v>
      </c>
      <c r="H1176" s="0" t="s">
        <v>122</v>
      </c>
      <c r="I1176" s="0" t="s">
        <v>2180</v>
      </c>
      <c r="K1176" s="0" t="s">
        <v>135</v>
      </c>
      <c r="L1176" s="0" t="s">
        <v>2347</v>
      </c>
    </row>
    <row r="1177" customFormat="false" ht="15" hidden="false" customHeight="false" outlineLevel="0" collapsed="false">
      <c r="A1177" s="0" t="s">
        <v>2134</v>
      </c>
      <c r="B1177" s="0" t="s">
        <v>350</v>
      </c>
      <c r="C1177" s="0" t="s">
        <v>426</v>
      </c>
      <c r="D1177" s="0" t="s">
        <v>59</v>
      </c>
      <c r="E1177" s="0" t="s">
        <v>437</v>
      </c>
      <c r="F1177" s="0" t="n">
        <v>0</v>
      </c>
      <c r="G1177" s="0" t="n">
        <v>0</v>
      </c>
      <c r="H1177" s="0" t="s">
        <v>117</v>
      </c>
      <c r="K1177" s="0" t="s">
        <v>138</v>
      </c>
      <c r="L1177" s="0" t="s">
        <v>2348</v>
      </c>
    </row>
    <row r="1178" customFormat="false" ht="15" hidden="false" customHeight="false" outlineLevel="0" collapsed="false">
      <c r="A1178" s="0" t="s">
        <v>2134</v>
      </c>
      <c r="B1178" s="0" t="s">
        <v>350</v>
      </c>
      <c r="C1178" s="0" t="s">
        <v>426</v>
      </c>
      <c r="D1178" s="0" t="s">
        <v>67</v>
      </c>
      <c r="E1178" s="0" t="s">
        <v>439</v>
      </c>
      <c r="F1178" s="0" t="n">
        <v>5</v>
      </c>
      <c r="G1178" s="0" t="n">
        <v>0</v>
      </c>
      <c r="H1178" s="0" t="s">
        <v>122</v>
      </c>
      <c r="K1178" s="0" t="s">
        <v>143</v>
      </c>
      <c r="L1178" s="0" t="s">
        <v>2349</v>
      </c>
    </row>
    <row r="1179" customFormat="false" ht="15" hidden="false" customHeight="false" outlineLevel="0" collapsed="false">
      <c r="A1179" s="0" t="s">
        <v>2134</v>
      </c>
      <c r="B1179" s="0" t="s">
        <v>350</v>
      </c>
      <c r="C1179" s="0" t="s">
        <v>426</v>
      </c>
      <c r="D1179" s="0" t="s">
        <v>70</v>
      </c>
      <c r="E1179" s="0" t="s">
        <v>441</v>
      </c>
      <c r="F1179" s="0" t="n">
        <v>5</v>
      </c>
      <c r="G1179" s="0" t="n">
        <v>0</v>
      </c>
      <c r="H1179" s="0" t="s">
        <v>122</v>
      </c>
      <c r="K1179" s="0" t="s">
        <v>146</v>
      </c>
      <c r="L1179" s="0" t="s">
        <v>2350</v>
      </c>
    </row>
    <row r="1180" customFormat="false" ht="15" hidden="false" customHeight="false" outlineLevel="0" collapsed="false">
      <c r="A1180" s="0" t="s">
        <v>2134</v>
      </c>
      <c r="C1180" s="0" t="s">
        <v>426</v>
      </c>
      <c r="D1180" s="0" t="s">
        <v>73</v>
      </c>
      <c r="E1180" s="0" t="s">
        <v>2351</v>
      </c>
      <c r="F1180" s="0" t="n">
        <v>0</v>
      </c>
      <c r="G1180" s="0" t="n">
        <v>0</v>
      </c>
      <c r="H1180" s="0" t="s">
        <v>117</v>
      </c>
      <c r="K1180" s="0" t="s">
        <v>149</v>
      </c>
      <c r="L1180" s="0" t="s">
        <v>2352</v>
      </c>
    </row>
    <row r="1181" customFormat="false" ht="15" hidden="false" customHeight="false" outlineLevel="0" collapsed="false">
      <c r="A1181" s="0" t="s">
        <v>2134</v>
      </c>
      <c r="C1181" s="0" t="s">
        <v>426</v>
      </c>
      <c r="D1181" s="0" t="s">
        <v>76</v>
      </c>
      <c r="E1181" s="0" t="s">
        <v>2353</v>
      </c>
      <c r="F1181" s="0" t="n">
        <v>0</v>
      </c>
      <c r="G1181" s="0" t="n">
        <v>0</v>
      </c>
      <c r="H1181" s="0" t="s">
        <v>117</v>
      </c>
      <c r="K1181" s="0" t="s">
        <v>152</v>
      </c>
      <c r="L1181" s="0" t="s">
        <v>2354</v>
      </c>
    </row>
    <row r="1182" customFormat="false" ht="15" hidden="false" customHeight="false" outlineLevel="0" collapsed="false">
      <c r="A1182" s="0" t="s">
        <v>2134</v>
      </c>
      <c r="B1182" s="0" t="s">
        <v>350</v>
      </c>
      <c r="C1182" s="0" t="s">
        <v>426</v>
      </c>
      <c r="D1182" s="0" t="s">
        <v>79</v>
      </c>
      <c r="E1182" s="0" t="s">
        <v>447</v>
      </c>
      <c r="F1182" s="0" t="n">
        <v>5</v>
      </c>
      <c r="G1182" s="0" t="n">
        <v>1</v>
      </c>
      <c r="H1182" s="0" t="s">
        <v>122</v>
      </c>
      <c r="I1182" s="0" t="s">
        <v>2180</v>
      </c>
      <c r="K1182" s="0" t="s">
        <v>156</v>
      </c>
      <c r="L1182" s="0" t="s">
        <v>2355</v>
      </c>
    </row>
    <row r="1183" customFormat="false" ht="15" hidden="false" customHeight="false" outlineLevel="0" collapsed="false">
      <c r="A1183" s="0" t="s">
        <v>2134</v>
      </c>
      <c r="C1183" s="0" t="s">
        <v>426</v>
      </c>
      <c r="D1183" s="0" t="s">
        <v>82</v>
      </c>
      <c r="E1183" s="0" t="s">
        <v>2356</v>
      </c>
      <c r="F1183" s="0" t="n">
        <v>5</v>
      </c>
      <c r="G1183" s="0" t="n">
        <v>0</v>
      </c>
      <c r="H1183" s="0" t="s">
        <v>122</v>
      </c>
      <c r="K1183" s="0" t="s">
        <v>160</v>
      </c>
      <c r="L1183" s="0" t="s">
        <v>2357</v>
      </c>
    </row>
    <row r="1184" customFormat="false" ht="15" hidden="false" customHeight="false" outlineLevel="0" collapsed="false">
      <c r="A1184" s="0" t="s">
        <v>2134</v>
      </c>
      <c r="B1184" s="0" t="s">
        <v>350</v>
      </c>
      <c r="C1184" s="0" t="s">
        <v>451</v>
      </c>
      <c r="D1184" s="0" t="s">
        <v>115</v>
      </c>
      <c r="E1184" s="0" t="s">
        <v>452</v>
      </c>
      <c r="F1184" s="0" t="n">
        <v>0</v>
      </c>
      <c r="G1184" s="0" t="n">
        <v>0</v>
      </c>
      <c r="H1184" s="0" t="s">
        <v>117</v>
      </c>
      <c r="K1184" s="0" t="s">
        <v>118</v>
      </c>
      <c r="L1184" s="0" t="s">
        <v>2358</v>
      </c>
    </row>
    <row r="1185" customFormat="false" ht="15" hidden="false" customHeight="false" outlineLevel="0" collapsed="false">
      <c r="A1185" s="0" t="s">
        <v>2134</v>
      </c>
      <c r="B1185" s="0" t="s">
        <v>350</v>
      </c>
      <c r="C1185" s="0" t="s">
        <v>451</v>
      </c>
      <c r="D1185" s="0" t="s">
        <v>120</v>
      </c>
      <c r="E1185" s="0" t="s">
        <v>454</v>
      </c>
      <c r="F1185" s="0" t="n">
        <v>5</v>
      </c>
      <c r="G1185" s="0" t="n">
        <v>2</v>
      </c>
      <c r="H1185" s="0" t="s">
        <v>122</v>
      </c>
      <c r="I1185" s="0" t="s">
        <v>2260</v>
      </c>
      <c r="K1185" s="0" t="s">
        <v>123</v>
      </c>
      <c r="L1185" s="0" t="s">
        <v>2359</v>
      </c>
    </row>
    <row r="1186" customFormat="false" ht="15" hidden="false" customHeight="false" outlineLevel="0" collapsed="false">
      <c r="A1186" s="0" t="s">
        <v>2134</v>
      </c>
      <c r="B1186" s="0" t="s">
        <v>350</v>
      </c>
      <c r="C1186" s="0" t="s">
        <v>451</v>
      </c>
      <c r="D1186" s="0" t="s">
        <v>125</v>
      </c>
      <c r="E1186" s="0" t="s">
        <v>456</v>
      </c>
      <c r="F1186" s="0" t="n">
        <v>5</v>
      </c>
      <c r="G1186" s="0" t="n">
        <v>2</v>
      </c>
      <c r="H1186" s="0" t="s">
        <v>122</v>
      </c>
      <c r="I1186" s="0" t="s">
        <v>2138</v>
      </c>
      <c r="K1186" s="0" t="s">
        <v>127</v>
      </c>
      <c r="L1186" s="0" t="s">
        <v>2360</v>
      </c>
    </row>
    <row r="1187" customFormat="false" ht="15" hidden="false" customHeight="false" outlineLevel="0" collapsed="false">
      <c r="A1187" s="0" t="s">
        <v>2134</v>
      </c>
      <c r="B1187" s="0" t="s">
        <v>350</v>
      </c>
      <c r="C1187" s="0" t="s">
        <v>451</v>
      </c>
      <c r="D1187" s="0" t="s">
        <v>53</v>
      </c>
      <c r="E1187" s="0" t="s">
        <v>458</v>
      </c>
      <c r="F1187" s="0" t="n">
        <v>5</v>
      </c>
      <c r="G1187" s="0" t="n">
        <v>0</v>
      </c>
      <c r="H1187" s="0" t="s">
        <v>122</v>
      </c>
      <c r="K1187" s="0" t="s">
        <v>132</v>
      </c>
      <c r="L1187" s="0" t="s">
        <v>2361</v>
      </c>
    </row>
    <row r="1188" customFormat="false" ht="15" hidden="false" customHeight="false" outlineLevel="0" collapsed="false">
      <c r="A1188" s="0" t="s">
        <v>2134</v>
      </c>
      <c r="B1188" s="0" t="s">
        <v>350</v>
      </c>
      <c r="C1188" s="0" t="s">
        <v>451</v>
      </c>
      <c r="D1188" s="0" t="s">
        <v>56</v>
      </c>
      <c r="E1188" s="0" t="s">
        <v>460</v>
      </c>
      <c r="F1188" s="0" t="n">
        <v>5</v>
      </c>
      <c r="G1188" s="0" t="n">
        <v>0</v>
      </c>
      <c r="H1188" s="0" t="s">
        <v>122</v>
      </c>
      <c r="K1188" s="0" t="s">
        <v>135</v>
      </c>
      <c r="L1188" s="0" t="s">
        <v>2362</v>
      </c>
    </row>
    <row r="1189" customFormat="false" ht="15" hidden="false" customHeight="false" outlineLevel="0" collapsed="false">
      <c r="A1189" s="0" t="s">
        <v>2134</v>
      </c>
      <c r="B1189" s="0" t="s">
        <v>350</v>
      </c>
      <c r="C1189" s="0" t="s">
        <v>451</v>
      </c>
      <c r="D1189" s="0" t="s">
        <v>59</v>
      </c>
      <c r="E1189" s="0" t="s">
        <v>462</v>
      </c>
      <c r="F1189" s="0" t="n">
        <v>0</v>
      </c>
      <c r="G1189" s="0" t="n">
        <v>0</v>
      </c>
      <c r="H1189" s="0" t="s">
        <v>117</v>
      </c>
      <c r="K1189" s="0" t="s">
        <v>138</v>
      </c>
      <c r="L1189" s="0" t="s">
        <v>2363</v>
      </c>
    </row>
    <row r="1190" customFormat="false" ht="15" hidden="false" customHeight="false" outlineLevel="0" collapsed="false">
      <c r="A1190" s="0" t="s">
        <v>2134</v>
      </c>
      <c r="B1190" s="0" t="s">
        <v>350</v>
      </c>
      <c r="C1190" s="0" t="s">
        <v>451</v>
      </c>
      <c r="D1190" s="0" t="s">
        <v>67</v>
      </c>
      <c r="E1190" s="0" t="s">
        <v>464</v>
      </c>
      <c r="F1190" s="0" t="n">
        <v>5</v>
      </c>
      <c r="G1190" s="0" t="n">
        <v>0</v>
      </c>
      <c r="H1190" s="0" t="s">
        <v>122</v>
      </c>
      <c r="K1190" s="0" t="s">
        <v>143</v>
      </c>
      <c r="L1190" s="0" t="s">
        <v>2364</v>
      </c>
    </row>
    <row r="1191" customFormat="false" ht="15" hidden="false" customHeight="false" outlineLevel="0" collapsed="false">
      <c r="A1191" s="0" t="s">
        <v>2134</v>
      </c>
      <c r="B1191" s="0" t="s">
        <v>350</v>
      </c>
      <c r="C1191" s="0" t="s">
        <v>451</v>
      </c>
      <c r="D1191" s="0" t="s">
        <v>70</v>
      </c>
      <c r="E1191" s="0" t="s">
        <v>466</v>
      </c>
      <c r="F1191" s="0" t="n">
        <v>5</v>
      </c>
      <c r="G1191" s="0" t="n">
        <v>0</v>
      </c>
      <c r="H1191" s="0" t="s">
        <v>122</v>
      </c>
      <c r="K1191" s="0" t="s">
        <v>146</v>
      </c>
      <c r="L1191" s="0" t="s">
        <v>2365</v>
      </c>
    </row>
    <row r="1192" customFormat="false" ht="15" hidden="false" customHeight="false" outlineLevel="0" collapsed="false">
      <c r="A1192" s="0" t="s">
        <v>2134</v>
      </c>
      <c r="B1192" s="0" t="s">
        <v>350</v>
      </c>
      <c r="C1192" s="0" t="s">
        <v>451</v>
      </c>
      <c r="D1192" s="0" t="s">
        <v>73</v>
      </c>
      <c r="E1192" s="0" t="s">
        <v>468</v>
      </c>
      <c r="F1192" s="0" t="n">
        <v>5</v>
      </c>
      <c r="G1192" s="0" t="n">
        <v>0</v>
      </c>
      <c r="H1192" s="0" t="s">
        <v>122</v>
      </c>
      <c r="K1192" s="0" t="s">
        <v>149</v>
      </c>
      <c r="L1192" s="0" t="s">
        <v>2366</v>
      </c>
    </row>
    <row r="1193" customFormat="false" ht="15" hidden="false" customHeight="false" outlineLevel="0" collapsed="false">
      <c r="A1193" s="0" t="s">
        <v>2134</v>
      </c>
      <c r="B1193" s="0" t="s">
        <v>350</v>
      </c>
      <c r="C1193" s="0" t="s">
        <v>451</v>
      </c>
      <c r="D1193" s="0" t="s">
        <v>76</v>
      </c>
      <c r="E1193" s="0" t="s">
        <v>2367</v>
      </c>
      <c r="F1193" s="0" t="n">
        <v>5</v>
      </c>
      <c r="G1193" s="0" t="n">
        <v>2</v>
      </c>
      <c r="H1193" s="0" t="s">
        <v>122</v>
      </c>
      <c r="I1193" s="0" t="s">
        <v>2138</v>
      </c>
      <c r="K1193" s="0" t="s">
        <v>152</v>
      </c>
      <c r="L1193" s="0" t="s">
        <v>2368</v>
      </c>
    </row>
    <row r="1194" customFormat="false" ht="15" hidden="false" customHeight="false" outlineLevel="0" collapsed="false">
      <c r="A1194" s="0" t="s">
        <v>2134</v>
      </c>
      <c r="B1194" s="0" t="s">
        <v>350</v>
      </c>
      <c r="C1194" s="0" t="s">
        <v>451</v>
      </c>
      <c r="D1194" s="0" t="s">
        <v>79</v>
      </c>
      <c r="E1194" s="0" t="s">
        <v>472</v>
      </c>
      <c r="F1194" s="0" t="n">
        <v>5</v>
      </c>
      <c r="G1194" s="0" t="n">
        <v>4</v>
      </c>
      <c r="H1194" s="0" t="s">
        <v>122</v>
      </c>
      <c r="I1194" s="0" t="s">
        <v>2218</v>
      </c>
      <c r="K1194" s="0" t="s">
        <v>156</v>
      </c>
      <c r="L1194" s="0" t="s">
        <v>2369</v>
      </c>
    </row>
    <row r="1195" customFormat="false" ht="15" hidden="false" customHeight="false" outlineLevel="0" collapsed="false">
      <c r="A1195" s="0" t="s">
        <v>2134</v>
      </c>
      <c r="B1195" s="0" t="s">
        <v>350</v>
      </c>
      <c r="C1195" s="0" t="s">
        <v>451</v>
      </c>
      <c r="D1195" s="0" t="s">
        <v>82</v>
      </c>
      <c r="E1195" s="0" t="s">
        <v>474</v>
      </c>
      <c r="F1195" s="0" t="n">
        <v>5</v>
      </c>
      <c r="G1195" s="0" t="n">
        <v>5</v>
      </c>
      <c r="H1195" s="0" t="s">
        <v>117</v>
      </c>
      <c r="I1195" s="0" t="s">
        <v>2260</v>
      </c>
      <c r="K1195" s="0" t="s">
        <v>160</v>
      </c>
      <c r="L1195" s="0" t="s">
        <v>2370</v>
      </c>
    </row>
    <row r="1196" customFormat="false" ht="15" hidden="false" customHeight="false" outlineLevel="0" collapsed="false">
      <c r="A1196" s="0" t="s">
        <v>2134</v>
      </c>
      <c r="B1196" s="0" t="s">
        <v>350</v>
      </c>
      <c r="C1196" s="0" t="s">
        <v>476</v>
      </c>
      <c r="D1196" s="0" t="s">
        <v>115</v>
      </c>
      <c r="E1196" s="0" t="s">
        <v>477</v>
      </c>
      <c r="F1196" s="0" t="n">
        <v>0</v>
      </c>
      <c r="G1196" s="0" t="n">
        <v>0</v>
      </c>
      <c r="H1196" s="0" t="s">
        <v>117</v>
      </c>
      <c r="K1196" s="0" t="s">
        <v>118</v>
      </c>
      <c r="L1196" s="0" t="s">
        <v>2371</v>
      </c>
    </row>
    <row r="1197" customFormat="false" ht="15" hidden="false" customHeight="false" outlineLevel="0" collapsed="false">
      <c r="A1197" s="0" t="s">
        <v>2134</v>
      </c>
      <c r="B1197" s="0" t="s">
        <v>350</v>
      </c>
      <c r="C1197" s="0" t="s">
        <v>476</v>
      </c>
      <c r="D1197" s="0" t="s">
        <v>120</v>
      </c>
      <c r="E1197" s="0" t="s">
        <v>479</v>
      </c>
      <c r="F1197" s="0" t="n">
        <v>5</v>
      </c>
      <c r="G1197" s="0" t="n">
        <v>4</v>
      </c>
      <c r="H1197" s="0" t="s">
        <v>122</v>
      </c>
      <c r="I1197" s="0" t="s">
        <v>2223</v>
      </c>
      <c r="K1197" s="0" t="s">
        <v>123</v>
      </c>
      <c r="L1197" s="0" t="s">
        <v>2372</v>
      </c>
    </row>
    <row r="1198" customFormat="false" ht="15" hidden="false" customHeight="false" outlineLevel="0" collapsed="false">
      <c r="A1198" s="0" t="s">
        <v>2134</v>
      </c>
      <c r="B1198" s="0" t="s">
        <v>350</v>
      </c>
      <c r="C1198" s="0" t="s">
        <v>476</v>
      </c>
      <c r="D1198" s="0" t="s">
        <v>125</v>
      </c>
      <c r="E1198" s="0" t="s">
        <v>481</v>
      </c>
      <c r="F1198" s="0" t="n">
        <v>5</v>
      </c>
      <c r="G1198" s="0" t="n">
        <v>4</v>
      </c>
      <c r="H1198" s="0" t="s">
        <v>122</v>
      </c>
      <c r="I1198" s="0" t="s">
        <v>2180</v>
      </c>
      <c r="K1198" s="0" t="s">
        <v>127</v>
      </c>
      <c r="L1198" s="0" t="s">
        <v>2373</v>
      </c>
    </row>
    <row r="1199" customFormat="false" ht="15" hidden="false" customHeight="false" outlineLevel="0" collapsed="false">
      <c r="A1199" s="0" t="s">
        <v>2134</v>
      </c>
      <c r="B1199" s="0" t="s">
        <v>350</v>
      </c>
      <c r="C1199" s="0" t="s">
        <v>476</v>
      </c>
      <c r="D1199" s="0" t="s">
        <v>53</v>
      </c>
      <c r="E1199" s="0" t="s">
        <v>483</v>
      </c>
      <c r="F1199" s="0" t="n">
        <v>5</v>
      </c>
      <c r="G1199" s="0" t="n">
        <v>3</v>
      </c>
      <c r="H1199" s="0" t="s">
        <v>122</v>
      </c>
      <c r="I1199" s="0" t="s">
        <v>2260</v>
      </c>
      <c r="K1199" s="0" t="s">
        <v>132</v>
      </c>
      <c r="L1199" s="0" t="s">
        <v>2374</v>
      </c>
    </row>
    <row r="1200" customFormat="false" ht="15" hidden="false" customHeight="false" outlineLevel="0" collapsed="false">
      <c r="A1200" s="0" t="s">
        <v>2134</v>
      </c>
      <c r="B1200" s="0" t="s">
        <v>350</v>
      </c>
      <c r="C1200" s="0" t="s">
        <v>476</v>
      </c>
      <c r="D1200" s="0" t="s">
        <v>56</v>
      </c>
      <c r="E1200" s="0" t="s">
        <v>485</v>
      </c>
      <c r="F1200" s="0" t="n">
        <v>5</v>
      </c>
      <c r="G1200" s="0" t="n">
        <v>4</v>
      </c>
      <c r="H1200" s="0" t="s">
        <v>122</v>
      </c>
      <c r="I1200" s="0" t="s">
        <v>2180</v>
      </c>
      <c r="K1200" s="0" t="s">
        <v>135</v>
      </c>
      <c r="L1200" s="0" t="s">
        <v>2375</v>
      </c>
    </row>
    <row r="1201" customFormat="false" ht="15" hidden="false" customHeight="false" outlineLevel="0" collapsed="false">
      <c r="A1201" s="0" t="s">
        <v>2134</v>
      </c>
      <c r="B1201" s="0" t="s">
        <v>350</v>
      </c>
      <c r="C1201" s="0" t="s">
        <v>476</v>
      </c>
      <c r="D1201" s="0" t="s">
        <v>59</v>
      </c>
      <c r="E1201" s="0" t="s">
        <v>2376</v>
      </c>
      <c r="F1201" s="0" t="n">
        <v>5</v>
      </c>
      <c r="G1201" s="0" t="n">
        <v>0</v>
      </c>
      <c r="H1201" s="0" t="s">
        <v>122</v>
      </c>
      <c r="K1201" s="0" t="s">
        <v>138</v>
      </c>
      <c r="L1201" s="0" t="s">
        <v>2377</v>
      </c>
    </row>
    <row r="1202" customFormat="false" ht="15" hidden="false" customHeight="false" outlineLevel="0" collapsed="false">
      <c r="A1202" s="0" t="s">
        <v>2134</v>
      </c>
      <c r="B1202" s="0" t="s">
        <v>350</v>
      </c>
      <c r="C1202" s="0" t="s">
        <v>476</v>
      </c>
      <c r="D1202" s="0" t="s">
        <v>67</v>
      </c>
      <c r="E1202" s="0" t="s">
        <v>490</v>
      </c>
      <c r="F1202" s="0" t="n">
        <v>5</v>
      </c>
      <c r="G1202" s="0" t="n">
        <v>0</v>
      </c>
      <c r="H1202" s="0" t="s">
        <v>122</v>
      </c>
      <c r="K1202" s="0" t="s">
        <v>143</v>
      </c>
      <c r="L1202" s="0" t="s">
        <v>2378</v>
      </c>
    </row>
    <row r="1203" customFormat="false" ht="15" hidden="false" customHeight="false" outlineLevel="0" collapsed="false">
      <c r="A1203" s="0" t="s">
        <v>2134</v>
      </c>
      <c r="B1203" s="0" t="s">
        <v>350</v>
      </c>
      <c r="C1203" s="0" t="s">
        <v>476</v>
      </c>
      <c r="D1203" s="0" t="s">
        <v>70</v>
      </c>
      <c r="E1203" s="0" t="s">
        <v>492</v>
      </c>
      <c r="F1203" s="0" t="n">
        <v>5</v>
      </c>
      <c r="G1203" s="0" t="n">
        <v>0</v>
      </c>
      <c r="H1203" s="0" t="s">
        <v>122</v>
      </c>
      <c r="K1203" s="0" t="s">
        <v>146</v>
      </c>
      <c r="L1203" s="0" t="s">
        <v>2379</v>
      </c>
    </row>
    <row r="1204" customFormat="false" ht="15" hidden="false" customHeight="false" outlineLevel="0" collapsed="false">
      <c r="A1204" s="0" t="s">
        <v>2134</v>
      </c>
      <c r="B1204" s="0" t="s">
        <v>350</v>
      </c>
      <c r="C1204" s="0" t="s">
        <v>476</v>
      </c>
      <c r="D1204" s="0" t="s">
        <v>73</v>
      </c>
      <c r="E1204" s="0" t="s">
        <v>494</v>
      </c>
      <c r="F1204" s="0" t="n">
        <v>5</v>
      </c>
      <c r="G1204" s="0" t="n">
        <v>2</v>
      </c>
      <c r="H1204" s="0" t="s">
        <v>122</v>
      </c>
      <c r="I1204" s="0" t="s">
        <v>2218</v>
      </c>
      <c r="K1204" s="0" t="s">
        <v>149</v>
      </c>
      <c r="L1204" s="0" t="s">
        <v>2380</v>
      </c>
    </row>
    <row r="1205" customFormat="false" ht="15" hidden="false" customHeight="false" outlineLevel="0" collapsed="false">
      <c r="A1205" s="0" t="s">
        <v>2134</v>
      </c>
      <c r="B1205" s="0" t="s">
        <v>350</v>
      </c>
      <c r="C1205" s="0" t="s">
        <v>476</v>
      </c>
      <c r="D1205" s="0" t="s">
        <v>76</v>
      </c>
      <c r="E1205" s="0" t="s">
        <v>2381</v>
      </c>
      <c r="F1205" s="0" t="n">
        <v>5</v>
      </c>
      <c r="G1205" s="0" t="n">
        <v>3</v>
      </c>
      <c r="H1205" s="0" t="s">
        <v>122</v>
      </c>
      <c r="I1205" s="0" t="s">
        <v>2260</v>
      </c>
      <c r="K1205" s="0" t="s">
        <v>152</v>
      </c>
      <c r="L1205" s="0" t="s">
        <v>2382</v>
      </c>
    </row>
    <row r="1206" customFormat="false" ht="15" hidden="false" customHeight="false" outlineLevel="0" collapsed="false">
      <c r="A1206" s="0" t="s">
        <v>2134</v>
      </c>
      <c r="B1206" s="0" t="s">
        <v>350</v>
      </c>
      <c r="C1206" s="0" t="s">
        <v>476</v>
      </c>
      <c r="D1206" s="0" t="s">
        <v>79</v>
      </c>
      <c r="E1206" s="0" t="s">
        <v>498</v>
      </c>
      <c r="F1206" s="0" t="n">
        <v>5</v>
      </c>
      <c r="G1206" s="0" t="n">
        <v>2</v>
      </c>
      <c r="H1206" s="0" t="s">
        <v>122</v>
      </c>
      <c r="I1206" s="0" t="s">
        <v>2218</v>
      </c>
      <c r="K1206" s="0" t="s">
        <v>156</v>
      </c>
      <c r="L1206" s="0" t="s">
        <v>2383</v>
      </c>
    </row>
    <row r="1207" customFormat="false" ht="15" hidden="false" customHeight="false" outlineLevel="0" collapsed="false">
      <c r="A1207" s="0" t="s">
        <v>2134</v>
      </c>
      <c r="B1207" s="0" t="s">
        <v>350</v>
      </c>
      <c r="C1207" s="0" t="s">
        <v>476</v>
      </c>
      <c r="D1207" s="0" t="s">
        <v>82</v>
      </c>
      <c r="E1207" s="0" t="s">
        <v>500</v>
      </c>
      <c r="F1207" s="0" t="n">
        <v>5</v>
      </c>
      <c r="G1207" s="0" t="n">
        <v>0</v>
      </c>
      <c r="H1207" s="0" t="s">
        <v>122</v>
      </c>
      <c r="K1207" s="0" t="s">
        <v>160</v>
      </c>
      <c r="L1207" s="0" t="s">
        <v>2384</v>
      </c>
    </row>
    <row r="1208" customFormat="false" ht="15" hidden="false" customHeight="false" outlineLevel="0" collapsed="false">
      <c r="A1208" s="0" t="s">
        <v>2134</v>
      </c>
      <c r="B1208" s="0" t="s">
        <v>350</v>
      </c>
      <c r="C1208" s="0" t="s">
        <v>502</v>
      </c>
      <c r="D1208" s="0" t="s">
        <v>115</v>
      </c>
      <c r="E1208" s="0" t="s">
        <v>503</v>
      </c>
      <c r="F1208" s="0" t="n">
        <v>0</v>
      </c>
      <c r="G1208" s="0" t="n">
        <v>0</v>
      </c>
      <c r="H1208" s="0" t="s">
        <v>117</v>
      </c>
      <c r="K1208" s="0" t="s">
        <v>118</v>
      </c>
      <c r="L1208" s="0" t="s">
        <v>2385</v>
      </c>
    </row>
    <row r="1209" customFormat="false" ht="15" hidden="false" customHeight="false" outlineLevel="0" collapsed="false">
      <c r="A1209" s="0" t="s">
        <v>2134</v>
      </c>
      <c r="B1209" s="0" t="s">
        <v>350</v>
      </c>
      <c r="C1209" s="0" t="s">
        <v>502</v>
      </c>
      <c r="D1209" s="0" t="s">
        <v>120</v>
      </c>
      <c r="E1209" s="0" t="s">
        <v>505</v>
      </c>
      <c r="F1209" s="0" t="n">
        <v>5</v>
      </c>
      <c r="G1209" s="0" t="n">
        <v>0</v>
      </c>
      <c r="H1209" s="0" t="s">
        <v>122</v>
      </c>
      <c r="K1209" s="0" t="s">
        <v>123</v>
      </c>
      <c r="L1209" s="0" t="s">
        <v>2386</v>
      </c>
    </row>
    <row r="1210" customFormat="false" ht="15" hidden="false" customHeight="false" outlineLevel="0" collapsed="false">
      <c r="A1210" s="0" t="s">
        <v>2134</v>
      </c>
      <c r="B1210" s="0" t="s">
        <v>350</v>
      </c>
      <c r="C1210" s="0" t="s">
        <v>502</v>
      </c>
      <c r="D1210" s="0" t="s">
        <v>125</v>
      </c>
      <c r="E1210" s="0" t="s">
        <v>507</v>
      </c>
      <c r="F1210" s="0" t="n">
        <v>5</v>
      </c>
      <c r="G1210" s="0" t="n">
        <v>5</v>
      </c>
      <c r="H1210" s="0" t="s">
        <v>117</v>
      </c>
      <c r="I1210" s="0" t="s">
        <v>2223</v>
      </c>
      <c r="K1210" s="0" t="s">
        <v>127</v>
      </c>
      <c r="L1210" s="0" t="s">
        <v>2387</v>
      </c>
    </row>
    <row r="1211" customFormat="false" ht="15" hidden="false" customHeight="false" outlineLevel="0" collapsed="false">
      <c r="A1211" s="0" t="s">
        <v>2134</v>
      </c>
      <c r="B1211" s="0" t="s">
        <v>350</v>
      </c>
      <c r="C1211" s="0" t="s">
        <v>502</v>
      </c>
      <c r="D1211" s="0" t="s">
        <v>53</v>
      </c>
      <c r="E1211" s="0" t="s">
        <v>509</v>
      </c>
      <c r="F1211" s="0" t="n">
        <v>5</v>
      </c>
      <c r="G1211" s="0" t="n">
        <v>0</v>
      </c>
      <c r="H1211" s="0" t="s">
        <v>122</v>
      </c>
      <c r="K1211" s="0" t="s">
        <v>132</v>
      </c>
      <c r="L1211" s="0" t="s">
        <v>2388</v>
      </c>
    </row>
    <row r="1212" customFormat="false" ht="15" hidden="false" customHeight="false" outlineLevel="0" collapsed="false">
      <c r="A1212" s="0" t="s">
        <v>2134</v>
      </c>
      <c r="B1212" s="0" t="s">
        <v>350</v>
      </c>
      <c r="C1212" s="0" t="s">
        <v>502</v>
      </c>
      <c r="D1212" s="0" t="s">
        <v>56</v>
      </c>
      <c r="E1212" s="0" t="s">
        <v>511</v>
      </c>
      <c r="F1212" s="0" t="n">
        <v>5</v>
      </c>
      <c r="G1212" s="0" t="n">
        <v>4</v>
      </c>
      <c r="H1212" s="0" t="s">
        <v>122</v>
      </c>
      <c r="I1212" s="0" t="s">
        <v>2223</v>
      </c>
      <c r="K1212" s="0" t="s">
        <v>135</v>
      </c>
      <c r="L1212" s="0" t="s">
        <v>2389</v>
      </c>
    </row>
    <row r="1213" customFormat="false" ht="15" hidden="false" customHeight="false" outlineLevel="0" collapsed="false">
      <c r="A1213" s="0" t="s">
        <v>2134</v>
      </c>
      <c r="B1213" s="0" t="s">
        <v>350</v>
      </c>
      <c r="C1213" s="0" t="s">
        <v>502</v>
      </c>
      <c r="D1213" s="0" t="s">
        <v>59</v>
      </c>
      <c r="E1213" s="0" t="s">
        <v>513</v>
      </c>
      <c r="F1213" s="0" t="n">
        <v>5</v>
      </c>
      <c r="G1213" s="0" t="n">
        <v>0</v>
      </c>
      <c r="H1213" s="0" t="s">
        <v>122</v>
      </c>
      <c r="K1213" s="0" t="s">
        <v>138</v>
      </c>
      <c r="L1213" s="0" t="s">
        <v>2390</v>
      </c>
    </row>
    <row r="1214" customFormat="false" ht="15" hidden="false" customHeight="false" outlineLevel="0" collapsed="false">
      <c r="A1214" s="0" t="s">
        <v>2134</v>
      </c>
      <c r="B1214" s="0" t="s">
        <v>350</v>
      </c>
      <c r="C1214" s="0" t="s">
        <v>502</v>
      </c>
      <c r="D1214" s="0" t="s">
        <v>67</v>
      </c>
      <c r="E1214" s="0" t="s">
        <v>515</v>
      </c>
      <c r="F1214" s="0" t="n">
        <v>5</v>
      </c>
      <c r="G1214" s="0" t="n">
        <v>0</v>
      </c>
      <c r="H1214" s="0" t="s">
        <v>122</v>
      </c>
      <c r="K1214" s="0" t="s">
        <v>143</v>
      </c>
      <c r="L1214" s="0" t="s">
        <v>2391</v>
      </c>
    </row>
    <row r="1215" customFormat="false" ht="15" hidden="false" customHeight="false" outlineLevel="0" collapsed="false">
      <c r="A1215" s="0" t="s">
        <v>2134</v>
      </c>
      <c r="B1215" s="0" t="s">
        <v>350</v>
      </c>
      <c r="C1215" s="0" t="s">
        <v>502</v>
      </c>
      <c r="D1215" s="0" t="s">
        <v>70</v>
      </c>
      <c r="E1215" s="0" t="s">
        <v>2392</v>
      </c>
      <c r="F1215" s="0" t="n">
        <v>5</v>
      </c>
      <c r="G1215" s="0" t="n">
        <v>0</v>
      </c>
      <c r="H1215" s="0" t="s">
        <v>122</v>
      </c>
      <c r="K1215" s="0" t="s">
        <v>146</v>
      </c>
      <c r="L1215" s="0" t="s">
        <v>2393</v>
      </c>
    </row>
    <row r="1216" customFormat="false" ht="15" hidden="false" customHeight="false" outlineLevel="0" collapsed="false">
      <c r="A1216" s="0" t="s">
        <v>2134</v>
      </c>
      <c r="B1216" s="0" t="s">
        <v>350</v>
      </c>
      <c r="C1216" s="0" t="s">
        <v>502</v>
      </c>
      <c r="D1216" s="0" t="s">
        <v>73</v>
      </c>
      <c r="E1216" s="0" t="s">
        <v>519</v>
      </c>
      <c r="F1216" s="0" t="n">
        <v>5</v>
      </c>
      <c r="G1216" s="0" t="n">
        <v>3</v>
      </c>
      <c r="H1216" s="0" t="s">
        <v>122</v>
      </c>
      <c r="I1216" s="0" t="s">
        <v>2260</v>
      </c>
      <c r="K1216" s="0" t="s">
        <v>149</v>
      </c>
      <c r="L1216" s="0" t="s">
        <v>2394</v>
      </c>
    </row>
    <row r="1217" customFormat="false" ht="15" hidden="false" customHeight="false" outlineLevel="0" collapsed="false">
      <c r="A1217" s="0" t="s">
        <v>2134</v>
      </c>
      <c r="B1217" s="0" t="s">
        <v>350</v>
      </c>
      <c r="C1217" s="0" t="s">
        <v>502</v>
      </c>
      <c r="D1217" s="0" t="s">
        <v>76</v>
      </c>
      <c r="E1217" s="0" t="s">
        <v>521</v>
      </c>
      <c r="F1217" s="0" t="n">
        <v>5</v>
      </c>
      <c r="G1217" s="0" t="n">
        <v>0</v>
      </c>
      <c r="H1217" s="0" t="s">
        <v>122</v>
      </c>
      <c r="K1217" s="0" t="s">
        <v>152</v>
      </c>
      <c r="L1217" s="0" t="s">
        <v>2395</v>
      </c>
    </row>
    <row r="1218" customFormat="false" ht="15" hidden="false" customHeight="false" outlineLevel="0" collapsed="false">
      <c r="A1218" s="0" t="s">
        <v>2134</v>
      </c>
      <c r="B1218" s="0" t="s">
        <v>350</v>
      </c>
      <c r="C1218" s="0" t="s">
        <v>502</v>
      </c>
      <c r="D1218" s="0" t="s">
        <v>79</v>
      </c>
      <c r="E1218" s="0" t="s">
        <v>523</v>
      </c>
      <c r="F1218" s="0" t="n">
        <v>5</v>
      </c>
      <c r="G1218" s="0" t="n">
        <v>2</v>
      </c>
      <c r="H1218" s="0" t="s">
        <v>122</v>
      </c>
      <c r="I1218" s="0" t="s">
        <v>2180</v>
      </c>
      <c r="K1218" s="0" t="s">
        <v>156</v>
      </c>
      <c r="L1218" s="0" t="s">
        <v>2396</v>
      </c>
    </row>
    <row r="1219" customFormat="false" ht="15" hidden="false" customHeight="false" outlineLevel="0" collapsed="false">
      <c r="A1219" s="0" t="s">
        <v>2134</v>
      </c>
      <c r="B1219" s="0" t="s">
        <v>350</v>
      </c>
      <c r="C1219" s="0" t="s">
        <v>502</v>
      </c>
      <c r="D1219" s="0" t="s">
        <v>82</v>
      </c>
      <c r="E1219" s="0" t="s">
        <v>525</v>
      </c>
      <c r="F1219" s="0" t="n">
        <v>5</v>
      </c>
      <c r="G1219" s="0" t="n">
        <v>0</v>
      </c>
      <c r="H1219" s="0" t="s">
        <v>122</v>
      </c>
      <c r="K1219" s="0" t="s">
        <v>160</v>
      </c>
      <c r="L1219" s="0" t="s">
        <v>2397</v>
      </c>
    </row>
    <row r="1220" customFormat="false" ht="15" hidden="false" customHeight="false" outlineLevel="0" collapsed="false">
      <c r="A1220" s="0" t="s">
        <v>2134</v>
      </c>
      <c r="B1220" s="0" t="s">
        <v>140</v>
      </c>
      <c r="C1220" s="0" t="s">
        <v>527</v>
      </c>
      <c r="D1220" s="0" t="s">
        <v>528</v>
      </c>
      <c r="E1220" s="0" t="s">
        <v>529</v>
      </c>
      <c r="F1220" s="0" t="n">
        <v>0</v>
      </c>
      <c r="G1220" s="0" t="n">
        <v>0</v>
      </c>
      <c r="H1220" s="0" t="s">
        <v>117</v>
      </c>
      <c r="K1220" s="0" t="s">
        <v>118</v>
      </c>
      <c r="L1220" s="0" t="s">
        <v>2398</v>
      </c>
    </row>
    <row r="1221" customFormat="false" ht="15" hidden="false" customHeight="false" outlineLevel="0" collapsed="false">
      <c r="A1221" s="0" t="s">
        <v>2134</v>
      </c>
      <c r="B1221" s="0" t="s">
        <v>140</v>
      </c>
      <c r="C1221" s="0" t="s">
        <v>527</v>
      </c>
      <c r="D1221" s="0" t="s">
        <v>531</v>
      </c>
      <c r="E1221" s="0" t="s">
        <v>532</v>
      </c>
      <c r="F1221" s="0" t="n">
        <v>4</v>
      </c>
      <c r="G1221" s="0" t="n">
        <v>0</v>
      </c>
      <c r="H1221" s="0" t="s">
        <v>122</v>
      </c>
      <c r="K1221" s="0" t="s">
        <v>123</v>
      </c>
      <c r="L1221" s="0" t="s">
        <v>2399</v>
      </c>
    </row>
    <row r="1222" customFormat="false" ht="15" hidden="false" customHeight="false" outlineLevel="0" collapsed="false">
      <c r="A1222" s="0" t="s">
        <v>2134</v>
      </c>
      <c r="B1222" s="0" t="s">
        <v>140</v>
      </c>
      <c r="C1222" s="0" t="s">
        <v>527</v>
      </c>
      <c r="D1222" s="0" t="s">
        <v>534</v>
      </c>
      <c r="E1222" s="0" t="s">
        <v>535</v>
      </c>
      <c r="F1222" s="0" t="n">
        <v>4</v>
      </c>
      <c r="G1222" s="0" t="n">
        <v>2</v>
      </c>
      <c r="H1222" s="0" t="s">
        <v>122</v>
      </c>
      <c r="I1222" s="0" t="s">
        <v>2400</v>
      </c>
      <c r="K1222" s="0" t="s">
        <v>127</v>
      </c>
      <c r="L1222" s="0" t="s">
        <v>2401</v>
      </c>
    </row>
    <row r="1223" customFormat="false" ht="15" hidden="false" customHeight="false" outlineLevel="0" collapsed="false">
      <c r="A1223" s="0" t="s">
        <v>2134</v>
      </c>
      <c r="B1223" s="0" t="s">
        <v>140</v>
      </c>
      <c r="C1223" s="0" t="s">
        <v>527</v>
      </c>
      <c r="D1223" s="0" t="s">
        <v>52</v>
      </c>
      <c r="E1223" s="0" t="s">
        <v>537</v>
      </c>
      <c r="F1223" s="0" t="n">
        <v>4</v>
      </c>
      <c r="G1223" s="0" t="n">
        <v>2</v>
      </c>
      <c r="H1223" s="0" t="s">
        <v>122</v>
      </c>
      <c r="I1223" s="0" t="s">
        <v>2223</v>
      </c>
      <c r="K1223" s="0" t="s">
        <v>132</v>
      </c>
      <c r="L1223" s="0" t="s">
        <v>2402</v>
      </c>
    </row>
    <row r="1224" customFormat="false" ht="15" hidden="false" customHeight="false" outlineLevel="0" collapsed="false">
      <c r="A1224" s="0" t="s">
        <v>2134</v>
      </c>
      <c r="B1224" s="0" t="s">
        <v>140</v>
      </c>
      <c r="C1224" s="0" t="s">
        <v>527</v>
      </c>
      <c r="D1224" s="0" t="s">
        <v>55</v>
      </c>
      <c r="E1224" s="0" t="s">
        <v>539</v>
      </c>
      <c r="F1224" s="0" t="n">
        <v>4</v>
      </c>
      <c r="G1224" s="0" t="n">
        <v>1</v>
      </c>
      <c r="H1224" s="0" t="s">
        <v>122</v>
      </c>
      <c r="I1224" s="0" t="s">
        <v>2138</v>
      </c>
      <c r="K1224" s="0" t="s">
        <v>135</v>
      </c>
      <c r="L1224" s="0" t="s">
        <v>2403</v>
      </c>
    </row>
    <row r="1225" customFormat="false" ht="15" hidden="false" customHeight="false" outlineLevel="0" collapsed="false">
      <c r="A1225" s="0" t="s">
        <v>2134</v>
      </c>
      <c r="B1225" s="0" t="s">
        <v>140</v>
      </c>
      <c r="C1225" s="0" t="s">
        <v>527</v>
      </c>
      <c r="D1225" s="0" t="s">
        <v>58</v>
      </c>
      <c r="E1225" s="0" t="s">
        <v>541</v>
      </c>
      <c r="F1225" s="0" t="n">
        <v>0</v>
      </c>
      <c r="G1225" s="0" t="n">
        <v>0</v>
      </c>
      <c r="H1225" s="0" t="s">
        <v>117</v>
      </c>
      <c r="K1225" s="0" t="s">
        <v>138</v>
      </c>
      <c r="L1225" s="0" t="s">
        <v>2404</v>
      </c>
    </row>
    <row r="1226" customFormat="false" ht="15" hidden="false" customHeight="false" outlineLevel="0" collapsed="false">
      <c r="A1226" s="0" t="s">
        <v>2134</v>
      </c>
      <c r="B1226" s="0" t="s">
        <v>140</v>
      </c>
      <c r="C1226" s="0" t="s">
        <v>527</v>
      </c>
      <c r="D1226" s="0" t="s">
        <v>65</v>
      </c>
      <c r="E1226" s="0" t="s">
        <v>543</v>
      </c>
      <c r="F1226" s="0" t="n">
        <v>4</v>
      </c>
      <c r="G1226" s="0" t="n">
        <v>0</v>
      </c>
      <c r="H1226" s="0" t="s">
        <v>122</v>
      </c>
      <c r="K1226" s="0" t="s">
        <v>143</v>
      </c>
      <c r="L1226" s="0" t="s">
        <v>2405</v>
      </c>
    </row>
    <row r="1227" customFormat="false" ht="15" hidden="false" customHeight="false" outlineLevel="0" collapsed="false">
      <c r="A1227" s="0" t="s">
        <v>2134</v>
      </c>
      <c r="B1227" s="0" t="s">
        <v>140</v>
      </c>
      <c r="C1227" s="0" t="s">
        <v>527</v>
      </c>
      <c r="D1227" s="0" t="s">
        <v>69</v>
      </c>
      <c r="E1227" s="0" t="s">
        <v>545</v>
      </c>
      <c r="F1227" s="0" t="n">
        <v>4</v>
      </c>
      <c r="G1227" s="0" t="n">
        <v>0</v>
      </c>
      <c r="H1227" s="0" t="s">
        <v>122</v>
      </c>
      <c r="K1227" s="0" t="s">
        <v>146</v>
      </c>
      <c r="L1227" s="0" t="s">
        <v>2406</v>
      </c>
    </row>
    <row r="1228" customFormat="false" ht="15" hidden="false" customHeight="false" outlineLevel="0" collapsed="false">
      <c r="A1228" s="0" t="s">
        <v>2134</v>
      </c>
      <c r="B1228" s="0" t="s">
        <v>140</v>
      </c>
      <c r="C1228" s="0" t="s">
        <v>527</v>
      </c>
      <c r="D1228" s="0" t="s">
        <v>72</v>
      </c>
      <c r="E1228" s="0" t="s">
        <v>547</v>
      </c>
      <c r="F1228" s="0" t="n">
        <v>4</v>
      </c>
      <c r="G1228" s="0" t="n">
        <v>0</v>
      </c>
      <c r="H1228" s="0" t="s">
        <v>122</v>
      </c>
      <c r="K1228" s="0" t="s">
        <v>149</v>
      </c>
      <c r="L1228" s="0" t="s">
        <v>2407</v>
      </c>
    </row>
    <row r="1229" customFormat="false" ht="15" hidden="false" customHeight="false" outlineLevel="0" collapsed="false">
      <c r="A1229" s="0" t="s">
        <v>2134</v>
      </c>
      <c r="B1229" s="0" t="s">
        <v>140</v>
      </c>
      <c r="C1229" s="0" t="s">
        <v>527</v>
      </c>
      <c r="D1229" s="0" t="s">
        <v>75</v>
      </c>
      <c r="E1229" s="0" t="s">
        <v>549</v>
      </c>
      <c r="F1229" s="0" t="n">
        <v>4</v>
      </c>
      <c r="G1229" s="0" t="n">
        <v>4</v>
      </c>
      <c r="H1229" s="0" t="s">
        <v>117</v>
      </c>
      <c r="I1229" s="0" t="s">
        <v>2223</v>
      </c>
      <c r="K1229" s="0" t="s">
        <v>152</v>
      </c>
      <c r="L1229" s="0" t="s">
        <v>2408</v>
      </c>
    </row>
    <row r="1230" customFormat="false" ht="15" hidden="false" customHeight="false" outlineLevel="0" collapsed="false">
      <c r="A1230" s="0" t="s">
        <v>2134</v>
      </c>
      <c r="B1230" s="0" t="s">
        <v>140</v>
      </c>
      <c r="C1230" s="0" t="s">
        <v>527</v>
      </c>
      <c r="D1230" s="0" t="s">
        <v>78</v>
      </c>
      <c r="E1230" s="0" t="s">
        <v>551</v>
      </c>
      <c r="F1230" s="0" t="n">
        <v>4</v>
      </c>
      <c r="G1230" s="0" t="n">
        <v>3</v>
      </c>
      <c r="H1230" s="0" t="s">
        <v>122</v>
      </c>
      <c r="I1230" s="0" t="s">
        <v>2138</v>
      </c>
      <c r="K1230" s="0" t="s">
        <v>156</v>
      </c>
      <c r="L1230" s="0" t="s">
        <v>2409</v>
      </c>
    </row>
    <row r="1231" customFormat="false" ht="15" hidden="false" customHeight="false" outlineLevel="0" collapsed="false">
      <c r="A1231" s="0" t="s">
        <v>2134</v>
      </c>
      <c r="B1231" s="0" t="s">
        <v>140</v>
      </c>
      <c r="C1231" s="0" t="s">
        <v>527</v>
      </c>
      <c r="D1231" s="0" t="s">
        <v>81</v>
      </c>
      <c r="E1231" s="0" t="s">
        <v>553</v>
      </c>
      <c r="F1231" s="0" t="n">
        <v>4</v>
      </c>
      <c r="G1231" s="0" t="n">
        <v>0</v>
      </c>
      <c r="H1231" s="0" t="s">
        <v>122</v>
      </c>
      <c r="K1231" s="0" t="s">
        <v>160</v>
      </c>
      <c r="L1231" s="0" t="s">
        <v>2410</v>
      </c>
    </row>
    <row r="1232" customFormat="false" ht="15" hidden="false" customHeight="false" outlineLevel="0" collapsed="false">
      <c r="A1232" s="0" t="s">
        <v>2134</v>
      </c>
      <c r="B1232" s="0" t="s">
        <v>140</v>
      </c>
      <c r="C1232" s="0" t="s">
        <v>555</v>
      </c>
      <c r="D1232" s="0" t="s">
        <v>528</v>
      </c>
      <c r="E1232" s="0" t="s">
        <v>556</v>
      </c>
      <c r="F1232" s="0" t="n">
        <v>0</v>
      </c>
      <c r="G1232" s="0" t="n">
        <v>0</v>
      </c>
      <c r="H1232" s="0" t="s">
        <v>117</v>
      </c>
      <c r="K1232" s="0" t="s">
        <v>118</v>
      </c>
      <c r="L1232" s="0" t="s">
        <v>2411</v>
      </c>
    </row>
    <row r="1233" customFormat="false" ht="15" hidden="false" customHeight="false" outlineLevel="0" collapsed="false">
      <c r="A1233" s="0" t="s">
        <v>2134</v>
      </c>
      <c r="B1233" s="0" t="s">
        <v>140</v>
      </c>
      <c r="C1233" s="0" t="s">
        <v>555</v>
      </c>
      <c r="D1233" s="0" t="s">
        <v>531</v>
      </c>
      <c r="E1233" s="0" t="s">
        <v>558</v>
      </c>
      <c r="F1233" s="0" t="n">
        <v>4</v>
      </c>
      <c r="G1233" s="0" t="n">
        <v>0</v>
      </c>
      <c r="H1233" s="0" t="s">
        <v>122</v>
      </c>
      <c r="K1233" s="0" t="s">
        <v>123</v>
      </c>
      <c r="L1233" s="0" t="s">
        <v>2412</v>
      </c>
    </row>
    <row r="1234" customFormat="false" ht="15" hidden="false" customHeight="false" outlineLevel="0" collapsed="false">
      <c r="A1234" s="0" t="s">
        <v>2134</v>
      </c>
      <c r="B1234" s="0" t="s">
        <v>140</v>
      </c>
      <c r="C1234" s="0" t="s">
        <v>555</v>
      </c>
      <c r="D1234" s="0" t="s">
        <v>534</v>
      </c>
      <c r="E1234" s="0" t="s">
        <v>560</v>
      </c>
      <c r="F1234" s="0" t="n">
        <v>4</v>
      </c>
      <c r="G1234" s="0" t="n">
        <v>2</v>
      </c>
      <c r="H1234" s="0" t="s">
        <v>122</v>
      </c>
      <c r="I1234" s="0" t="s">
        <v>2223</v>
      </c>
      <c r="K1234" s="0" t="s">
        <v>127</v>
      </c>
      <c r="L1234" s="0" t="s">
        <v>2413</v>
      </c>
    </row>
    <row r="1235" customFormat="false" ht="15" hidden="false" customHeight="false" outlineLevel="0" collapsed="false">
      <c r="A1235" s="0" t="s">
        <v>2134</v>
      </c>
      <c r="B1235" s="0" t="s">
        <v>140</v>
      </c>
      <c r="C1235" s="0" t="s">
        <v>555</v>
      </c>
      <c r="D1235" s="0" t="s">
        <v>52</v>
      </c>
      <c r="E1235" s="0" t="s">
        <v>562</v>
      </c>
      <c r="F1235" s="0" t="n">
        <v>4</v>
      </c>
      <c r="G1235" s="0" t="n">
        <v>2</v>
      </c>
      <c r="H1235" s="0" t="s">
        <v>122</v>
      </c>
      <c r="I1235" s="0" t="s">
        <v>2223</v>
      </c>
      <c r="K1235" s="0" t="s">
        <v>132</v>
      </c>
      <c r="L1235" s="0" t="s">
        <v>2414</v>
      </c>
    </row>
    <row r="1236" customFormat="false" ht="15" hidden="false" customHeight="false" outlineLevel="0" collapsed="false">
      <c r="A1236" s="0" t="s">
        <v>2134</v>
      </c>
      <c r="B1236" s="0" t="s">
        <v>140</v>
      </c>
      <c r="C1236" s="0" t="s">
        <v>555</v>
      </c>
      <c r="D1236" s="0" t="s">
        <v>55</v>
      </c>
      <c r="E1236" s="0" t="s">
        <v>564</v>
      </c>
      <c r="F1236" s="0" t="n">
        <v>4</v>
      </c>
      <c r="G1236" s="0" t="n">
        <v>0</v>
      </c>
      <c r="H1236" s="0" t="s">
        <v>122</v>
      </c>
      <c r="K1236" s="0" t="s">
        <v>135</v>
      </c>
      <c r="L1236" s="0" t="s">
        <v>2415</v>
      </c>
    </row>
    <row r="1237" customFormat="false" ht="15" hidden="false" customHeight="false" outlineLevel="0" collapsed="false">
      <c r="A1237" s="0" t="s">
        <v>2134</v>
      </c>
      <c r="B1237" s="0" t="s">
        <v>140</v>
      </c>
      <c r="C1237" s="0" t="s">
        <v>555</v>
      </c>
      <c r="D1237" s="0" t="s">
        <v>58</v>
      </c>
      <c r="E1237" s="0" t="s">
        <v>566</v>
      </c>
      <c r="F1237" s="0" t="n">
        <v>0</v>
      </c>
      <c r="G1237" s="0" t="n">
        <v>0</v>
      </c>
      <c r="H1237" s="0" t="s">
        <v>117</v>
      </c>
      <c r="K1237" s="0" t="s">
        <v>138</v>
      </c>
      <c r="L1237" s="0" t="s">
        <v>2416</v>
      </c>
    </row>
    <row r="1238" customFormat="false" ht="15" hidden="false" customHeight="false" outlineLevel="0" collapsed="false">
      <c r="A1238" s="0" t="s">
        <v>2134</v>
      </c>
      <c r="B1238" s="0" t="s">
        <v>140</v>
      </c>
      <c r="C1238" s="0" t="s">
        <v>555</v>
      </c>
      <c r="D1238" s="0" t="s">
        <v>65</v>
      </c>
      <c r="E1238" s="0" t="s">
        <v>568</v>
      </c>
      <c r="F1238" s="0" t="n">
        <v>4</v>
      </c>
      <c r="G1238" s="0" t="n">
        <v>0</v>
      </c>
      <c r="H1238" s="0" t="s">
        <v>122</v>
      </c>
      <c r="K1238" s="0" t="s">
        <v>143</v>
      </c>
      <c r="L1238" s="0" t="s">
        <v>2417</v>
      </c>
    </row>
    <row r="1239" customFormat="false" ht="15" hidden="false" customHeight="false" outlineLevel="0" collapsed="false">
      <c r="A1239" s="0" t="s">
        <v>2134</v>
      </c>
      <c r="B1239" s="0" t="s">
        <v>140</v>
      </c>
      <c r="C1239" s="0" t="s">
        <v>555</v>
      </c>
      <c r="D1239" s="0" t="s">
        <v>69</v>
      </c>
      <c r="E1239" s="0" t="s">
        <v>570</v>
      </c>
      <c r="F1239" s="0" t="n">
        <v>4</v>
      </c>
      <c r="G1239" s="0" t="n">
        <v>1</v>
      </c>
      <c r="H1239" s="0" t="s">
        <v>122</v>
      </c>
      <c r="I1239" s="0" t="s">
        <v>2400</v>
      </c>
      <c r="K1239" s="0" t="s">
        <v>146</v>
      </c>
      <c r="L1239" s="0" t="s">
        <v>2418</v>
      </c>
    </row>
    <row r="1240" customFormat="false" ht="15" hidden="false" customHeight="false" outlineLevel="0" collapsed="false">
      <c r="A1240" s="0" t="s">
        <v>2134</v>
      </c>
      <c r="B1240" s="0" t="s">
        <v>140</v>
      </c>
      <c r="C1240" s="0" t="s">
        <v>555</v>
      </c>
      <c r="D1240" s="0" t="s">
        <v>72</v>
      </c>
      <c r="E1240" s="0" t="s">
        <v>572</v>
      </c>
      <c r="F1240" s="0" t="n">
        <v>4</v>
      </c>
      <c r="G1240" s="0" t="n">
        <v>2</v>
      </c>
      <c r="H1240" s="0" t="s">
        <v>122</v>
      </c>
      <c r="I1240" s="0" t="s">
        <v>2419</v>
      </c>
      <c r="K1240" s="0" t="s">
        <v>149</v>
      </c>
      <c r="L1240" s="0" t="s">
        <v>2420</v>
      </c>
    </row>
    <row r="1241" customFormat="false" ht="15" hidden="false" customHeight="false" outlineLevel="0" collapsed="false">
      <c r="A1241" s="0" t="s">
        <v>2134</v>
      </c>
      <c r="B1241" s="0" t="s">
        <v>140</v>
      </c>
      <c r="C1241" s="0" t="s">
        <v>555</v>
      </c>
      <c r="D1241" s="0" t="s">
        <v>75</v>
      </c>
      <c r="E1241" s="0" t="s">
        <v>574</v>
      </c>
      <c r="F1241" s="0" t="n">
        <v>4</v>
      </c>
      <c r="G1241" s="0" t="n">
        <v>3</v>
      </c>
      <c r="H1241" s="0" t="s">
        <v>122</v>
      </c>
      <c r="I1241" s="0" t="s">
        <v>2419</v>
      </c>
      <c r="K1241" s="0" t="s">
        <v>152</v>
      </c>
      <c r="L1241" s="0" t="s">
        <v>2421</v>
      </c>
    </row>
    <row r="1242" customFormat="false" ht="15" hidden="false" customHeight="false" outlineLevel="0" collapsed="false">
      <c r="A1242" s="0" t="s">
        <v>2134</v>
      </c>
      <c r="B1242" s="0" t="s">
        <v>140</v>
      </c>
      <c r="C1242" s="0" t="s">
        <v>555</v>
      </c>
      <c r="D1242" s="0" t="s">
        <v>78</v>
      </c>
      <c r="E1242" s="0" t="s">
        <v>576</v>
      </c>
      <c r="F1242" s="0" t="n">
        <v>4</v>
      </c>
      <c r="G1242" s="0" t="n">
        <v>4</v>
      </c>
      <c r="H1242" s="0" t="s">
        <v>117</v>
      </c>
      <c r="I1242" s="0" t="s">
        <v>2400</v>
      </c>
      <c r="K1242" s="0" t="s">
        <v>156</v>
      </c>
      <c r="L1242" s="0" t="s">
        <v>2422</v>
      </c>
    </row>
    <row r="1243" customFormat="false" ht="15" hidden="false" customHeight="false" outlineLevel="0" collapsed="false">
      <c r="A1243" s="0" t="s">
        <v>2134</v>
      </c>
      <c r="B1243" s="0" t="s">
        <v>140</v>
      </c>
      <c r="C1243" s="0" t="s">
        <v>555</v>
      </c>
      <c r="D1243" s="0" t="s">
        <v>81</v>
      </c>
      <c r="E1243" s="0" t="s">
        <v>578</v>
      </c>
      <c r="F1243" s="0" t="n">
        <v>4</v>
      </c>
      <c r="G1243" s="0" t="n">
        <v>1</v>
      </c>
      <c r="H1243" s="0" t="s">
        <v>122</v>
      </c>
      <c r="I1243" s="0" t="s">
        <v>2400</v>
      </c>
      <c r="K1243" s="0" t="s">
        <v>160</v>
      </c>
      <c r="L1243" s="0" t="s">
        <v>2423</v>
      </c>
    </row>
    <row r="1244" customFormat="false" ht="15" hidden="false" customHeight="false" outlineLevel="0" collapsed="false">
      <c r="A1244" s="0" t="s">
        <v>2134</v>
      </c>
      <c r="B1244" s="0" t="s">
        <v>140</v>
      </c>
      <c r="C1244" s="0" t="s">
        <v>580</v>
      </c>
      <c r="D1244" s="0" t="s">
        <v>528</v>
      </c>
      <c r="E1244" s="0" t="s">
        <v>581</v>
      </c>
      <c r="F1244" s="0" t="n">
        <v>0</v>
      </c>
      <c r="G1244" s="0" t="n">
        <v>0</v>
      </c>
      <c r="H1244" s="0" t="s">
        <v>117</v>
      </c>
      <c r="K1244" s="0" t="s">
        <v>118</v>
      </c>
      <c r="L1244" s="0" t="s">
        <v>2424</v>
      </c>
    </row>
    <row r="1245" customFormat="false" ht="15" hidden="false" customHeight="false" outlineLevel="0" collapsed="false">
      <c r="A1245" s="0" t="s">
        <v>2134</v>
      </c>
      <c r="B1245" s="0" t="s">
        <v>140</v>
      </c>
      <c r="C1245" s="0" t="s">
        <v>580</v>
      </c>
      <c r="D1245" s="0" t="s">
        <v>531</v>
      </c>
      <c r="E1245" s="0" t="s">
        <v>583</v>
      </c>
      <c r="F1245" s="0" t="n">
        <v>4</v>
      </c>
      <c r="G1245" s="0" t="n">
        <v>0</v>
      </c>
      <c r="H1245" s="0" t="s">
        <v>122</v>
      </c>
      <c r="K1245" s="0" t="s">
        <v>123</v>
      </c>
      <c r="L1245" s="0" t="s">
        <v>2425</v>
      </c>
    </row>
    <row r="1246" customFormat="false" ht="15" hidden="false" customHeight="false" outlineLevel="0" collapsed="false">
      <c r="A1246" s="0" t="s">
        <v>2134</v>
      </c>
      <c r="B1246" s="0" t="s">
        <v>140</v>
      </c>
      <c r="C1246" s="0" t="s">
        <v>580</v>
      </c>
      <c r="D1246" s="0" t="s">
        <v>534</v>
      </c>
      <c r="E1246" s="0" t="s">
        <v>585</v>
      </c>
      <c r="F1246" s="0" t="n">
        <v>4</v>
      </c>
      <c r="G1246" s="0" t="n">
        <v>0</v>
      </c>
      <c r="H1246" s="0" t="s">
        <v>122</v>
      </c>
      <c r="K1246" s="0" t="s">
        <v>127</v>
      </c>
      <c r="L1246" s="0" t="s">
        <v>2426</v>
      </c>
    </row>
    <row r="1247" customFormat="false" ht="15" hidden="false" customHeight="false" outlineLevel="0" collapsed="false">
      <c r="A1247" s="0" t="s">
        <v>2134</v>
      </c>
      <c r="B1247" s="0" t="s">
        <v>140</v>
      </c>
      <c r="C1247" s="0" t="s">
        <v>580</v>
      </c>
      <c r="D1247" s="0" t="s">
        <v>52</v>
      </c>
      <c r="E1247" s="0" t="s">
        <v>587</v>
      </c>
      <c r="F1247" s="0" t="n">
        <v>4</v>
      </c>
      <c r="G1247" s="0" t="n">
        <v>0</v>
      </c>
      <c r="H1247" s="0" t="s">
        <v>122</v>
      </c>
      <c r="K1247" s="0" t="s">
        <v>132</v>
      </c>
      <c r="L1247" s="0" t="s">
        <v>2427</v>
      </c>
    </row>
    <row r="1248" customFormat="false" ht="15" hidden="false" customHeight="false" outlineLevel="0" collapsed="false">
      <c r="A1248" s="0" t="s">
        <v>2134</v>
      </c>
      <c r="B1248" s="0" t="s">
        <v>140</v>
      </c>
      <c r="C1248" s="0" t="s">
        <v>580</v>
      </c>
      <c r="D1248" s="0" t="s">
        <v>55</v>
      </c>
      <c r="E1248" s="0" t="s">
        <v>589</v>
      </c>
      <c r="F1248" s="0" t="n">
        <v>4</v>
      </c>
      <c r="G1248" s="0" t="n">
        <v>2</v>
      </c>
      <c r="H1248" s="0" t="s">
        <v>122</v>
      </c>
      <c r="I1248" s="0" t="s">
        <v>2428</v>
      </c>
      <c r="K1248" s="0" t="s">
        <v>135</v>
      </c>
      <c r="L1248" s="0" t="s">
        <v>2429</v>
      </c>
    </row>
    <row r="1249" customFormat="false" ht="15" hidden="false" customHeight="false" outlineLevel="0" collapsed="false">
      <c r="A1249" s="0" t="s">
        <v>2134</v>
      </c>
      <c r="B1249" s="0" t="s">
        <v>140</v>
      </c>
      <c r="C1249" s="0" t="s">
        <v>580</v>
      </c>
      <c r="D1249" s="0" t="s">
        <v>58</v>
      </c>
      <c r="E1249" s="0" t="s">
        <v>591</v>
      </c>
      <c r="F1249" s="0" t="n">
        <v>0</v>
      </c>
      <c r="G1249" s="0" t="n">
        <v>0</v>
      </c>
      <c r="H1249" s="0" t="s">
        <v>117</v>
      </c>
      <c r="K1249" s="0" t="s">
        <v>138</v>
      </c>
      <c r="L1249" s="0" t="s">
        <v>2430</v>
      </c>
    </row>
    <row r="1250" customFormat="false" ht="15" hidden="false" customHeight="false" outlineLevel="0" collapsed="false">
      <c r="A1250" s="0" t="s">
        <v>2134</v>
      </c>
      <c r="B1250" s="0" t="s">
        <v>140</v>
      </c>
      <c r="C1250" s="0" t="s">
        <v>580</v>
      </c>
      <c r="D1250" s="0" t="s">
        <v>65</v>
      </c>
      <c r="E1250" s="0" t="s">
        <v>593</v>
      </c>
      <c r="F1250" s="0" t="n">
        <v>4</v>
      </c>
      <c r="G1250" s="0" t="n">
        <v>0</v>
      </c>
      <c r="H1250" s="0" t="s">
        <v>122</v>
      </c>
      <c r="K1250" s="0" t="s">
        <v>143</v>
      </c>
      <c r="L1250" s="0" t="s">
        <v>2431</v>
      </c>
    </row>
    <row r="1251" customFormat="false" ht="15" hidden="false" customHeight="false" outlineLevel="0" collapsed="false">
      <c r="A1251" s="0" t="s">
        <v>2134</v>
      </c>
      <c r="B1251" s="0" t="s">
        <v>140</v>
      </c>
      <c r="C1251" s="0" t="s">
        <v>580</v>
      </c>
      <c r="D1251" s="0" t="s">
        <v>69</v>
      </c>
      <c r="E1251" s="0" t="s">
        <v>595</v>
      </c>
      <c r="F1251" s="0" t="n">
        <v>4</v>
      </c>
      <c r="G1251" s="0" t="n">
        <v>4</v>
      </c>
      <c r="H1251" s="0" t="s">
        <v>117</v>
      </c>
      <c r="I1251" s="0" t="s">
        <v>2260</v>
      </c>
      <c r="K1251" s="0" t="s">
        <v>146</v>
      </c>
      <c r="L1251" s="0" t="s">
        <v>2432</v>
      </c>
    </row>
    <row r="1252" customFormat="false" ht="15" hidden="false" customHeight="false" outlineLevel="0" collapsed="false">
      <c r="A1252" s="0" t="s">
        <v>2134</v>
      </c>
      <c r="B1252" s="0" t="s">
        <v>140</v>
      </c>
      <c r="C1252" s="0" t="s">
        <v>580</v>
      </c>
      <c r="D1252" s="0" t="s">
        <v>72</v>
      </c>
      <c r="E1252" s="0" t="s">
        <v>597</v>
      </c>
      <c r="F1252" s="0" t="n">
        <v>0</v>
      </c>
      <c r="G1252" s="0" t="n">
        <v>3</v>
      </c>
      <c r="H1252" s="0" t="s">
        <v>117</v>
      </c>
      <c r="I1252" s="0" t="s">
        <v>2400</v>
      </c>
      <c r="K1252" s="0" t="s">
        <v>149</v>
      </c>
      <c r="L1252" s="0" t="s">
        <v>2433</v>
      </c>
    </row>
    <row r="1253" customFormat="false" ht="15" hidden="false" customHeight="false" outlineLevel="0" collapsed="false">
      <c r="A1253" s="0" t="s">
        <v>2134</v>
      </c>
      <c r="B1253" s="0" t="s">
        <v>140</v>
      </c>
      <c r="C1253" s="0" t="s">
        <v>580</v>
      </c>
      <c r="D1253" s="0" t="s">
        <v>75</v>
      </c>
      <c r="E1253" s="0" t="s">
        <v>599</v>
      </c>
      <c r="F1253" s="0" t="n">
        <v>4</v>
      </c>
      <c r="G1253" s="0" t="n">
        <v>4</v>
      </c>
      <c r="H1253" s="0" t="s">
        <v>117</v>
      </c>
      <c r="I1253" s="0" t="s">
        <v>2260</v>
      </c>
      <c r="K1253" s="0" t="s">
        <v>152</v>
      </c>
      <c r="L1253" s="0" t="s">
        <v>2434</v>
      </c>
    </row>
    <row r="1254" customFormat="false" ht="15" hidden="false" customHeight="false" outlineLevel="0" collapsed="false">
      <c r="A1254" s="0" t="s">
        <v>2134</v>
      </c>
      <c r="B1254" s="0" t="s">
        <v>140</v>
      </c>
      <c r="C1254" s="0" t="s">
        <v>580</v>
      </c>
      <c r="D1254" s="0" t="s">
        <v>78</v>
      </c>
      <c r="E1254" s="0" t="s">
        <v>601</v>
      </c>
      <c r="F1254" s="0" t="n">
        <v>4</v>
      </c>
      <c r="G1254" s="0" t="n">
        <v>3</v>
      </c>
      <c r="H1254" s="0" t="s">
        <v>122</v>
      </c>
      <c r="I1254" s="0" t="s">
        <v>2260</v>
      </c>
      <c r="K1254" s="0" t="s">
        <v>156</v>
      </c>
      <c r="L1254" s="0" t="s">
        <v>2435</v>
      </c>
    </row>
    <row r="1255" customFormat="false" ht="15" hidden="false" customHeight="false" outlineLevel="0" collapsed="false">
      <c r="A1255" s="0" t="s">
        <v>2134</v>
      </c>
      <c r="B1255" s="0" t="s">
        <v>140</v>
      </c>
      <c r="C1255" s="0" t="s">
        <v>580</v>
      </c>
      <c r="D1255" s="0" t="s">
        <v>81</v>
      </c>
      <c r="E1255" s="0" t="s">
        <v>603</v>
      </c>
      <c r="F1255" s="0" t="n">
        <v>4</v>
      </c>
      <c r="G1255" s="0" t="n">
        <v>3</v>
      </c>
      <c r="H1255" s="0" t="s">
        <v>122</v>
      </c>
      <c r="I1255" s="0" t="s">
        <v>2400</v>
      </c>
      <c r="K1255" s="0" t="s">
        <v>160</v>
      </c>
      <c r="L1255" s="0" t="s">
        <v>2436</v>
      </c>
    </row>
    <row r="1256" customFormat="false" ht="15" hidden="false" customHeight="false" outlineLevel="0" collapsed="false">
      <c r="A1256" s="0" t="s">
        <v>2134</v>
      </c>
      <c r="B1256" s="0" t="s">
        <v>140</v>
      </c>
      <c r="C1256" s="0" t="s">
        <v>605</v>
      </c>
      <c r="D1256" s="0" t="s">
        <v>528</v>
      </c>
      <c r="E1256" s="0" t="s">
        <v>606</v>
      </c>
      <c r="F1256" s="0" t="n">
        <v>0</v>
      </c>
      <c r="G1256" s="0" t="n">
        <v>0</v>
      </c>
      <c r="H1256" s="0" t="s">
        <v>117</v>
      </c>
      <c r="K1256" s="0" t="s">
        <v>118</v>
      </c>
      <c r="L1256" s="0" t="s">
        <v>2437</v>
      </c>
    </row>
    <row r="1257" customFormat="false" ht="15" hidden="false" customHeight="false" outlineLevel="0" collapsed="false">
      <c r="A1257" s="0" t="s">
        <v>2134</v>
      </c>
      <c r="B1257" s="0" t="s">
        <v>140</v>
      </c>
      <c r="C1257" s="0" t="s">
        <v>605</v>
      </c>
      <c r="D1257" s="0" t="s">
        <v>531</v>
      </c>
      <c r="E1257" s="0" t="s">
        <v>608</v>
      </c>
      <c r="F1257" s="0" t="n">
        <v>4</v>
      </c>
      <c r="G1257" s="0" t="n">
        <v>0</v>
      </c>
      <c r="H1257" s="0" t="s">
        <v>122</v>
      </c>
      <c r="K1257" s="0" t="s">
        <v>123</v>
      </c>
      <c r="L1257" s="0" t="s">
        <v>2438</v>
      </c>
    </row>
    <row r="1258" customFormat="false" ht="15" hidden="false" customHeight="false" outlineLevel="0" collapsed="false">
      <c r="A1258" s="0" t="s">
        <v>2134</v>
      </c>
      <c r="B1258" s="0" t="s">
        <v>140</v>
      </c>
      <c r="C1258" s="0" t="s">
        <v>605</v>
      </c>
      <c r="D1258" s="0" t="s">
        <v>534</v>
      </c>
      <c r="E1258" s="0" t="s">
        <v>610</v>
      </c>
      <c r="F1258" s="0" t="n">
        <v>4</v>
      </c>
      <c r="G1258" s="0" t="n">
        <v>3</v>
      </c>
      <c r="H1258" s="0" t="s">
        <v>122</v>
      </c>
      <c r="I1258" s="0" t="s">
        <v>2439</v>
      </c>
      <c r="K1258" s="0" t="s">
        <v>127</v>
      </c>
      <c r="L1258" s="0" t="s">
        <v>2440</v>
      </c>
    </row>
    <row r="1259" customFormat="false" ht="15" hidden="false" customHeight="false" outlineLevel="0" collapsed="false">
      <c r="A1259" s="0" t="s">
        <v>2134</v>
      </c>
      <c r="B1259" s="0" t="s">
        <v>140</v>
      </c>
      <c r="C1259" s="0" t="s">
        <v>605</v>
      </c>
      <c r="D1259" s="0" t="s">
        <v>52</v>
      </c>
      <c r="E1259" s="0" t="s">
        <v>612</v>
      </c>
      <c r="F1259" s="0" t="n">
        <v>4</v>
      </c>
      <c r="G1259" s="0" t="n">
        <v>2</v>
      </c>
      <c r="H1259" s="0" t="s">
        <v>122</v>
      </c>
      <c r="I1259" s="0" t="s">
        <v>2260</v>
      </c>
      <c r="K1259" s="0" t="s">
        <v>132</v>
      </c>
      <c r="L1259" s="0" t="s">
        <v>2441</v>
      </c>
    </row>
    <row r="1260" customFormat="false" ht="15" hidden="false" customHeight="false" outlineLevel="0" collapsed="false">
      <c r="A1260" s="0" t="s">
        <v>2134</v>
      </c>
      <c r="B1260" s="0" t="s">
        <v>140</v>
      </c>
      <c r="C1260" s="0" t="s">
        <v>605</v>
      </c>
      <c r="D1260" s="0" t="s">
        <v>55</v>
      </c>
      <c r="E1260" s="0" t="s">
        <v>614</v>
      </c>
      <c r="F1260" s="0" t="n">
        <v>4</v>
      </c>
      <c r="G1260" s="0" t="n">
        <v>2</v>
      </c>
      <c r="H1260" s="0" t="s">
        <v>122</v>
      </c>
      <c r="I1260" s="0" t="s">
        <v>2260</v>
      </c>
      <c r="K1260" s="0" t="s">
        <v>135</v>
      </c>
      <c r="L1260" s="0" t="s">
        <v>2442</v>
      </c>
    </row>
    <row r="1261" customFormat="false" ht="15" hidden="false" customHeight="false" outlineLevel="0" collapsed="false">
      <c r="A1261" s="0" t="s">
        <v>2134</v>
      </c>
      <c r="B1261" s="0" t="s">
        <v>140</v>
      </c>
      <c r="C1261" s="0" t="s">
        <v>605</v>
      </c>
      <c r="D1261" s="0" t="s">
        <v>58</v>
      </c>
      <c r="E1261" s="0" t="s">
        <v>616</v>
      </c>
      <c r="F1261" s="0" t="n">
        <v>0</v>
      </c>
      <c r="G1261" s="0" t="n">
        <v>0</v>
      </c>
      <c r="H1261" s="0" t="s">
        <v>117</v>
      </c>
      <c r="K1261" s="0" t="s">
        <v>138</v>
      </c>
      <c r="L1261" s="0" t="s">
        <v>2443</v>
      </c>
    </row>
    <row r="1262" customFormat="false" ht="15" hidden="false" customHeight="false" outlineLevel="0" collapsed="false">
      <c r="A1262" s="0" t="s">
        <v>2134</v>
      </c>
      <c r="B1262" s="0" t="s">
        <v>140</v>
      </c>
      <c r="C1262" s="0" t="s">
        <v>605</v>
      </c>
      <c r="D1262" s="0" t="s">
        <v>65</v>
      </c>
      <c r="E1262" s="0" t="s">
        <v>618</v>
      </c>
      <c r="F1262" s="0" t="n">
        <v>4</v>
      </c>
      <c r="G1262" s="0" t="n">
        <v>0</v>
      </c>
      <c r="H1262" s="0" t="s">
        <v>122</v>
      </c>
      <c r="K1262" s="0" t="s">
        <v>143</v>
      </c>
      <c r="L1262" s="0" t="s">
        <v>2444</v>
      </c>
    </row>
    <row r="1263" customFormat="false" ht="15" hidden="false" customHeight="false" outlineLevel="0" collapsed="false">
      <c r="A1263" s="0" t="s">
        <v>2134</v>
      </c>
      <c r="B1263" s="0" t="s">
        <v>140</v>
      </c>
      <c r="C1263" s="0" t="s">
        <v>605</v>
      </c>
      <c r="D1263" s="0" t="s">
        <v>69</v>
      </c>
      <c r="E1263" s="0" t="s">
        <v>620</v>
      </c>
      <c r="F1263" s="0" t="n">
        <v>4</v>
      </c>
      <c r="G1263" s="0" t="n">
        <v>2</v>
      </c>
      <c r="H1263" s="0" t="s">
        <v>122</v>
      </c>
      <c r="I1263" s="0" t="s">
        <v>2439</v>
      </c>
      <c r="K1263" s="0" t="s">
        <v>146</v>
      </c>
      <c r="L1263" s="0" t="s">
        <v>2445</v>
      </c>
    </row>
    <row r="1264" customFormat="false" ht="15" hidden="false" customHeight="false" outlineLevel="0" collapsed="false">
      <c r="A1264" s="0" t="s">
        <v>2134</v>
      </c>
      <c r="B1264" s="0" t="s">
        <v>140</v>
      </c>
      <c r="C1264" s="0" t="s">
        <v>605</v>
      </c>
      <c r="D1264" s="0" t="s">
        <v>72</v>
      </c>
      <c r="E1264" s="0" t="s">
        <v>622</v>
      </c>
      <c r="F1264" s="0" t="n">
        <v>0</v>
      </c>
      <c r="G1264" s="0" t="n">
        <v>2</v>
      </c>
      <c r="H1264" s="0" t="s">
        <v>117</v>
      </c>
      <c r="I1264" s="0" t="s">
        <v>2218</v>
      </c>
      <c r="K1264" s="0" t="s">
        <v>149</v>
      </c>
      <c r="L1264" s="0" t="s">
        <v>2446</v>
      </c>
    </row>
    <row r="1265" customFormat="false" ht="15" hidden="false" customHeight="false" outlineLevel="0" collapsed="false">
      <c r="A1265" s="0" t="s">
        <v>2134</v>
      </c>
      <c r="B1265" s="0" t="s">
        <v>140</v>
      </c>
      <c r="C1265" s="0" t="s">
        <v>605</v>
      </c>
      <c r="D1265" s="0" t="s">
        <v>75</v>
      </c>
      <c r="E1265" s="0" t="s">
        <v>624</v>
      </c>
      <c r="F1265" s="0" t="n">
        <v>4</v>
      </c>
      <c r="G1265" s="0" t="n">
        <v>3</v>
      </c>
      <c r="H1265" s="0" t="s">
        <v>122</v>
      </c>
      <c r="I1265" s="0" t="s">
        <v>2439</v>
      </c>
      <c r="K1265" s="0" t="s">
        <v>152</v>
      </c>
      <c r="L1265" s="0" t="s">
        <v>2447</v>
      </c>
    </row>
    <row r="1266" customFormat="false" ht="15" hidden="false" customHeight="false" outlineLevel="0" collapsed="false">
      <c r="A1266" s="0" t="s">
        <v>2134</v>
      </c>
      <c r="B1266" s="0" t="s">
        <v>140</v>
      </c>
      <c r="C1266" s="0" t="s">
        <v>605</v>
      </c>
      <c r="D1266" s="0" t="s">
        <v>78</v>
      </c>
      <c r="E1266" s="0" t="s">
        <v>626</v>
      </c>
      <c r="F1266" s="0" t="n">
        <v>4</v>
      </c>
      <c r="G1266" s="0" t="n">
        <v>4</v>
      </c>
      <c r="H1266" s="0" t="s">
        <v>117</v>
      </c>
      <c r="I1266" s="0" t="s">
        <v>2439</v>
      </c>
      <c r="K1266" s="0" t="s">
        <v>156</v>
      </c>
      <c r="L1266" s="0" t="s">
        <v>2448</v>
      </c>
    </row>
    <row r="1267" customFormat="false" ht="15" hidden="false" customHeight="false" outlineLevel="0" collapsed="false">
      <c r="A1267" s="0" t="s">
        <v>2134</v>
      </c>
      <c r="B1267" s="0" t="s">
        <v>140</v>
      </c>
      <c r="C1267" s="0" t="s">
        <v>605</v>
      </c>
      <c r="D1267" s="0" t="s">
        <v>81</v>
      </c>
      <c r="E1267" s="0" t="s">
        <v>628</v>
      </c>
      <c r="F1267" s="0" t="n">
        <v>4</v>
      </c>
      <c r="G1267" s="0" t="n">
        <v>4</v>
      </c>
      <c r="H1267" s="0" t="s">
        <v>117</v>
      </c>
      <c r="I1267" s="0" t="s">
        <v>2439</v>
      </c>
      <c r="K1267" s="0" t="s">
        <v>160</v>
      </c>
      <c r="L1267" s="0" t="s">
        <v>2449</v>
      </c>
    </row>
    <row r="1268" customFormat="false" ht="15" hidden="false" customHeight="false" outlineLevel="0" collapsed="false">
      <c r="A1268" s="0" t="s">
        <v>2134</v>
      </c>
      <c r="B1268" s="0" t="s">
        <v>140</v>
      </c>
      <c r="C1268" s="0" t="s">
        <v>630</v>
      </c>
      <c r="D1268" s="0" t="s">
        <v>528</v>
      </c>
      <c r="E1268" s="0" t="s">
        <v>631</v>
      </c>
      <c r="F1268" s="0" t="n">
        <v>0</v>
      </c>
      <c r="G1268" s="0" t="n">
        <v>0</v>
      </c>
      <c r="H1268" s="0" t="s">
        <v>117</v>
      </c>
      <c r="K1268" s="0" t="s">
        <v>118</v>
      </c>
      <c r="L1268" s="0" t="s">
        <v>2450</v>
      </c>
    </row>
    <row r="1269" customFormat="false" ht="15" hidden="false" customHeight="false" outlineLevel="0" collapsed="false">
      <c r="A1269" s="0" t="s">
        <v>2134</v>
      </c>
      <c r="B1269" s="0" t="s">
        <v>140</v>
      </c>
      <c r="C1269" s="0" t="s">
        <v>630</v>
      </c>
      <c r="D1269" s="0" t="s">
        <v>531</v>
      </c>
      <c r="E1269" s="0" t="s">
        <v>633</v>
      </c>
      <c r="F1269" s="0" t="n">
        <v>4</v>
      </c>
      <c r="G1269" s="0" t="n">
        <v>2</v>
      </c>
      <c r="H1269" s="0" t="s">
        <v>122</v>
      </c>
      <c r="I1269" s="0" t="s">
        <v>2180</v>
      </c>
      <c r="K1269" s="0" t="s">
        <v>123</v>
      </c>
      <c r="L1269" s="0" t="s">
        <v>2451</v>
      </c>
    </row>
    <row r="1270" customFormat="false" ht="15" hidden="false" customHeight="false" outlineLevel="0" collapsed="false">
      <c r="A1270" s="0" t="s">
        <v>2134</v>
      </c>
      <c r="B1270" s="0" t="s">
        <v>140</v>
      </c>
      <c r="C1270" s="0" t="s">
        <v>630</v>
      </c>
      <c r="D1270" s="0" t="s">
        <v>534</v>
      </c>
      <c r="E1270" s="0" t="s">
        <v>635</v>
      </c>
      <c r="F1270" s="0" t="n">
        <v>4</v>
      </c>
      <c r="G1270" s="0" t="n">
        <v>4</v>
      </c>
      <c r="H1270" s="0" t="s">
        <v>117</v>
      </c>
      <c r="I1270" s="0" t="s">
        <v>2260</v>
      </c>
      <c r="K1270" s="0" t="s">
        <v>127</v>
      </c>
      <c r="L1270" s="0" t="s">
        <v>2452</v>
      </c>
    </row>
    <row r="1271" customFormat="false" ht="15" hidden="false" customHeight="false" outlineLevel="0" collapsed="false">
      <c r="A1271" s="0" t="s">
        <v>2134</v>
      </c>
      <c r="B1271" s="0" t="s">
        <v>140</v>
      </c>
      <c r="C1271" s="0" t="s">
        <v>630</v>
      </c>
      <c r="D1271" s="0" t="s">
        <v>52</v>
      </c>
      <c r="E1271" s="0" t="s">
        <v>637</v>
      </c>
      <c r="F1271" s="0" t="n">
        <v>4</v>
      </c>
      <c r="G1271" s="0" t="n">
        <v>3</v>
      </c>
      <c r="H1271" s="0" t="s">
        <v>122</v>
      </c>
      <c r="I1271" s="0" t="s">
        <v>2223</v>
      </c>
      <c r="K1271" s="0" t="s">
        <v>132</v>
      </c>
      <c r="L1271" s="0" t="s">
        <v>2453</v>
      </c>
    </row>
    <row r="1272" customFormat="false" ht="15" hidden="false" customHeight="false" outlineLevel="0" collapsed="false">
      <c r="A1272" s="0" t="s">
        <v>2134</v>
      </c>
      <c r="B1272" s="0" t="s">
        <v>140</v>
      </c>
      <c r="C1272" s="0" t="s">
        <v>630</v>
      </c>
      <c r="D1272" s="0" t="s">
        <v>55</v>
      </c>
      <c r="E1272" s="0" t="s">
        <v>639</v>
      </c>
      <c r="F1272" s="0" t="n">
        <v>4</v>
      </c>
      <c r="G1272" s="0" t="n">
        <v>0</v>
      </c>
      <c r="H1272" s="0" t="s">
        <v>122</v>
      </c>
      <c r="K1272" s="0" t="s">
        <v>135</v>
      </c>
      <c r="L1272" s="0" t="s">
        <v>2454</v>
      </c>
    </row>
    <row r="1273" customFormat="false" ht="15" hidden="false" customHeight="false" outlineLevel="0" collapsed="false">
      <c r="A1273" s="0" t="s">
        <v>2134</v>
      </c>
      <c r="B1273" s="0" t="s">
        <v>140</v>
      </c>
      <c r="C1273" s="0" t="s">
        <v>630</v>
      </c>
      <c r="D1273" s="0" t="s">
        <v>58</v>
      </c>
      <c r="E1273" s="0" t="s">
        <v>641</v>
      </c>
      <c r="F1273" s="0" t="n">
        <v>0</v>
      </c>
      <c r="G1273" s="0" t="n">
        <v>0</v>
      </c>
      <c r="H1273" s="0" t="s">
        <v>117</v>
      </c>
      <c r="K1273" s="0" t="s">
        <v>138</v>
      </c>
      <c r="L1273" s="0" t="s">
        <v>2455</v>
      </c>
    </row>
    <row r="1274" customFormat="false" ht="15" hidden="false" customHeight="false" outlineLevel="0" collapsed="false">
      <c r="A1274" s="0" t="s">
        <v>2134</v>
      </c>
      <c r="B1274" s="0" t="s">
        <v>140</v>
      </c>
      <c r="C1274" s="0" t="s">
        <v>630</v>
      </c>
      <c r="D1274" s="0" t="s">
        <v>65</v>
      </c>
      <c r="E1274" s="0" t="s">
        <v>643</v>
      </c>
      <c r="F1274" s="0" t="n">
        <v>0</v>
      </c>
      <c r="G1274" s="0" t="n">
        <v>0</v>
      </c>
      <c r="H1274" s="0" t="s">
        <v>117</v>
      </c>
      <c r="K1274" s="0" t="s">
        <v>143</v>
      </c>
      <c r="L1274" s="0" t="s">
        <v>2456</v>
      </c>
    </row>
    <row r="1275" customFormat="false" ht="15" hidden="false" customHeight="false" outlineLevel="0" collapsed="false">
      <c r="A1275" s="0" t="s">
        <v>2134</v>
      </c>
      <c r="B1275" s="0" t="s">
        <v>140</v>
      </c>
      <c r="C1275" s="0" t="s">
        <v>630</v>
      </c>
      <c r="D1275" s="0" t="s">
        <v>69</v>
      </c>
      <c r="E1275" s="0" t="s">
        <v>645</v>
      </c>
      <c r="F1275" s="0" t="n">
        <v>4</v>
      </c>
      <c r="G1275" s="0" t="n">
        <v>3</v>
      </c>
      <c r="H1275" s="0" t="s">
        <v>122</v>
      </c>
      <c r="I1275" s="0" t="s">
        <v>2138</v>
      </c>
      <c r="K1275" s="0" t="s">
        <v>146</v>
      </c>
      <c r="L1275" s="0" t="s">
        <v>2457</v>
      </c>
    </row>
    <row r="1276" customFormat="false" ht="15" hidden="false" customHeight="false" outlineLevel="0" collapsed="false">
      <c r="A1276" s="0" t="s">
        <v>2134</v>
      </c>
      <c r="B1276" s="0" t="s">
        <v>140</v>
      </c>
      <c r="C1276" s="0" t="s">
        <v>630</v>
      </c>
      <c r="D1276" s="0" t="s">
        <v>72</v>
      </c>
      <c r="E1276" s="0" t="s">
        <v>647</v>
      </c>
      <c r="F1276" s="0" t="n">
        <v>4</v>
      </c>
      <c r="G1276" s="0" t="n">
        <v>3</v>
      </c>
      <c r="H1276" s="0" t="s">
        <v>122</v>
      </c>
      <c r="I1276" s="0" t="s">
        <v>2439</v>
      </c>
      <c r="K1276" s="0" t="s">
        <v>149</v>
      </c>
      <c r="L1276" s="0" t="s">
        <v>2458</v>
      </c>
    </row>
    <row r="1277" customFormat="false" ht="15" hidden="false" customHeight="false" outlineLevel="0" collapsed="false">
      <c r="A1277" s="0" t="s">
        <v>2134</v>
      </c>
      <c r="B1277" s="0" t="s">
        <v>140</v>
      </c>
      <c r="C1277" s="0" t="s">
        <v>630</v>
      </c>
      <c r="D1277" s="0" t="s">
        <v>75</v>
      </c>
      <c r="E1277" s="0" t="s">
        <v>649</v>
      </c>
      <c r="F1277" s="0" t="n">
        <v>4</v>
      </c>
      <c r="G1277" s="0" t="n">
        <v>3</v>
      </c>
      <c r="H1277" s="0" t="s">
        <v>122</v>
      </c>
      <c r="I1277" s="0" t="s">
        <v>2260</v>
      </c>
      <c r="K1277" s="0" t="s">
        <v>152</v>
      </c>
      <c r="L1277" s="0" t="s">
        <v>2459</v>
      </c>
    </row>
    <row r="1278" customFormat="false" ht="15" hidden="false" customHeight="false" outlineLevel="0" collapsed="false">
      <c r="A1278" s="0" t="s">
        <v>2134</v>
      </c>
      <c r="B1278" s="0" t="s">
        <v>140</v>
      </c>
      <c r="C1278" s="0" t="s">
        <v>630</v>
      </c>
      <c r="D1278" s="0" t="s">
        <v>78</v>
      </c>
      <c r="E1278" s="0" t="s">
        <v>651</v>
      </c>
      <c r="F1278" s="0" t="n">
        <v>4</v>
      </c>
      <c r="G1278" s="0" t="n">
        <v>4</v>
      </c>
      <c r="H1278" s="0" t="s">
        <v>117</v>
      </c>
      <c r="I1278" s="0" t="s">
        <v>2138</v>
      </c>
      <c r="K1278" s="0" t="s">
        <v>156</v>
      </c>
      <c r="L1278" s="0" t="s">
        <v>2460</v>
      </c>
    </row>
    <row r="1279" customFormat="false" ht="15" hidden="false" customHeight="false" outlineLevel="0" collapsed="false">
      <c r="A1279" s="0" t="s">
        <v>2134</v>
      </c>
      <c r="B1279" s="0" t="s">
        <v>140</v>
      </c>
      <c r="C1279" s="0" t="s">
        <v>630</v>
      </c>
      <c r="D1279" s="0" t="s">
        <v>81</v>
      </c>
      <c r="E1279" s="0" t="s">
        <v>653</v>
      </c>
      <c r="F1279" s="0" t="n">
        <v>4</v>
      </c>
      <c r="G1279" s="0" t="n">
        <v>3</v>
      </c>
      <c r="H1279" s="0" t="s">
        <v>122</v>
      </c>
      <c r="I1279" s="0" t="s">
        <v>2223</v>
      </c>
      <c r="K1279" s="0" t="s">
        <v>160</v>
      </c>
      <c r="L1279" s="0" t="s">
        <v>2461</v>
      </c>
    </row>
    <row r="1280" customFormat="false" ht="15" hidden="false" customHeight="false" outlineLevel="0" collapsed="false">
      <c r="A1280" s="0" t="s">
        <v>2134</v>
      </c>
      <c r="B1280" s="0" t="s">
        <v>140</v>
      </c>
      <c r="C1280" s="0" t="s">
        <v>655</v>
      </c>
      <c r="D1280" s="0" t="s">
        <v>528</v>
      </c>
      <c r="E1280" s="0" t="s">
        <v>656</v>
      </c>
      <c r="F1280" s="0" t="n">
        <v>0</v>
      </c>
      <c r="G1280" s="0" t="n">
        <v>0</v>
      </c>
      <c r="H1280" s="0" t="s">
        <v>117</v>
      </c>
      <c r="K1280" s="0" t="s">
        <v>118</v>
      </c>
      <c r="L1280" s="0" t="s">
        <v>2462</v>
      </c>
    </row>
    <row r="1281" customFormat="false" ht="15" hidden="false" customHeight="false" outlineLevel="0" collapsed="false">
      <c r="A1281" s="0" t="s">
        <v>2134</v>
      </c>
      <c r="B1281" s="0" t="s">
        <v>140</v>
      </c>
      <c r="C1281" s="0" t="s">
        <v>655</v>
      </c>
      <c r="D1281" s="0" t="s">
        <v>531</v>
      </c>
      <c r="E1281" s="0" t="s">
        <v>658</v>
      </c>
      <c r="F1281" s="0" t="n">
        <v>4</v>
      </c>
      <c r="G1281" s="0" t="n">
        <v>3</v>
      </c>
      <c r="H1281" s="0" t="s">
        <v>122</v>
      </c>
      <c r="I1281" s="0" t="s">
        <v>2180</v>
      </c>
      <c r="K1281" s="0" t="s">
        <v>123</v>
      </c>
      <c r="L1281" s="0" t="s">
        <v>2463</v>
      </c>
    </row>
    <row r="1282" customFormat="false" ht="15" hidden="false" customHeight="false" outlineLevel="0" collapsed="false">
      <c r="A1282" s="0" t="s">
        <v>2134</v>
      </c>
      <c r="B1282" s="0" t="s">
        <v>140</v>
      </c>
      <c r="C1282" s="0" t="s">
        <v>655</v>
      </c>
      <c r="D1282" s="0" t="s">
        <v>534</v>
      </c>
      <c r="E1282" s="0" t="s">
        <v>660</v>
      </c>
      <c r="F1282" s="0" t="n">
        <v>4</v>
      </c>
      <c r="G1282" s="0" t="n">
        <v>4</v>
      </c>
      <c r="H1282" s="0" t="s">
        <v>117</v>
      </c>
      <c r="I1282" s="0" t="s">
        <v>2260</v>
      </c>
      <c r="K1282" s="0" t="s">
        <v>127</v>
      </c>
      <c r="L1282" s="0" t="s">
        <v>2464</v>
      </c>
    </row>
    <row r="1283" customFormat="false" ht="15" hidden="false" customHeight="false" outlineLevel="0" collapsed="false">
      <c r="A1283" s="0" t="s">
        <v>2134</v>
      </c>
      <c r="B1283" s="0" t="s">
        <v>140</v>
      </c>
      <c r="C1283" s="0" t="s">
        <v>655</v>
      </c>
      <c r="D1283" s="0" t="s">
        <v>52</v>
      </c>
      <c r="E1283" s="0" t="s">
        <v>662</v>
      </c>
      <c r="F1283" s="0" t="n">
        <v>4</v>
      </c>
      <c r="G1283" s="0" t="n">
        <v>4</v>
      </c>
      <c r="H1283" s="0" t="s">
        <v>117</v>
      </c>
      <c r="I1283" s="0" t="s">
        <v>2218</v>
      </c>
      <c r="K1283" s="0" t="s">
        <v>132</v>
      </c>
      <c r="L1283" s="0" t="s">
        <v>2465</v>
      </c>
    </row>
    <row r="1284" customFormat="false" ht="15" hidden="false" customHeight="false" outlineLevel="0" collapsed="false">
      <c r="A1284" s="0" t="s">
        <v>2134</v>
      </c>
      <c r="B1284" s="0" t="s">
        <v>140</v>
      </c>
      <c r="C1284" s="0" t="s">
        <v>655</v>
      </c>
      <c r="D1284" s="0" t="s">
        <v>55</v>
      </c>
      <c r="E1284" s="0" t="s">
        <v>664</v>
      </c>
      <c r="F1284" s="0" t="n">
        <v>4</v>
      </c>
      <c r="G1284" s="0" t="n">
        <v>4</v>
      </c>
      <c r="H1284" s="0" t="s">
        <v>117</v>
      </c>
      <c r="I1284" s="0" t="s">
        <v>2260</v>
      </c>
      <c r="K1284" s="0" t="s">
        <v>135</v>
      </c>
      <c r="L1284" s="0" t="s">
        <v>2466</v>
      </c>
    </row>
    <row r="1285" customFormat="false" ht="15" hidden="false" customHeight="false" outlineLevel="0" collapsed="false">
      <c r="A1285" s="0" t="s">
        <v>2134</v>
      </c>
      <c r="B1285" s="0" t="s">
        <v>140</v>
      </c>
      <c r="C1285" s="0" t="s">
        <v>655</v>
      </c>
      <c r="D1285" s="0" t="s">
        <v>58</v>
      </c>
      <c r="E1285" s="0" t="s">
        <v>666</v>
      </c>
      <c r="F1285" s="0" t="n">
        <v>4</v>
      </c>
      <c r="G1285" s="0" t="n">
        <v>4</v>
      </c>
      <c r="H1285" s="0" t="s">
        <v>117</v>
      </c>
      <c r="I1285" s="0" t="s">
        <v>2439</v>
      </c>
      <c r="K1285" s="0" t="s">
        <v>138</v>
      </c>
      <c r="L1285" s="0" t="s">
        <v>2467</v>
      </c>
    </row>
    <row r="1286" customFormat="false" ht="15" hidden="false" customHeight="false" outlineLevel="0" collapsed="false">
      <c r="A1286" s="0" t="s">
        <v>2134</v>
      </c>
      <c r="B1286" s="0" t="s">
        <v>140</v>
      </c>
      <c r="C1286" s="0" t="s">
        <v>655</v>
      </c>
      <c r="D1286" s="0" t="s">
        <v>65</v>
      </c>
      <c r="E1286" s="0" t="s">
        <v>668</v>
      </c>
      <c r="F1286" s="0" t="n">
        <v>4</v>
      </c>
      <c r="G1286" s="0" t="n">
        <v>0</v>
      </c>
      <c r="H1286" s="0" t="s">
        <v>122</v>
      </c>
      <c r="K1286" s="0" t="s">
        <v>143</v>
      </c>
      <c r="L1286" s="0" t="s">
        <v>2468</v>
      </c>
    </row>
    <row r="1287" customFormat="false" ht="15" hidden="false" customHeight="false" outlineLevel="0" collapsed="false">
      <c r="A1287" s="0" t="s">
        <v>2134</v>
      </c>
      <c r="B1287" s="0" t="s">
        <v>140</v>
      </c>
      <c r="C1287" s="0" t="s">
        <v>655</v>
      </c>
      <c r="D1287" s="0" t="s">
        <v>69</v>
      </c>
      <c r="E1287" s="0" t="s">
        <v>670</v>
      </c>
      <c r="F1287" s="0" t="n">
        <v>4</v>
      </c>
      <c r="G1287" s="0" t="n">
        <v>0</v>
      </c>
      <c r="H1287" s="0" t="s">
        <v>122</v>
      </c>
      <c r="K1287" s="0" t="s">
        <v>146</v>
      </c>
      <c r="L1287" s="0" t="s">
        <v>2469</v>
      </c>
    </row>
    <row r="1288" customFormat="false" ht="15" hidden="false" customHeight="false" outlineLevel="0" collapsed="false">
      <c r="A1288" s="0" t="s">
        <v>2134</v>
      </c>
      <c r="B1288" s="0" t="s">
        <v>140</v>
      </c>
      <c r="C1288" s="0" t="s">
        <v>655</v>
      </c>
      <c r="D1288" s="0" t="s">
        <v>72</v>
      </c>
      <c r="E1288" s="0" t="s">
        <v>672</v>
      </c>
      <c r="F1288" s="0" t="n">
        <v>4</v>
      </c>
      <c r="G1288" s="0" t="n">
        <v>3</v>
      </c>
      <c r="H1288" s="0" t="s">
        <v>122</v>
      </c>
      <c r="I1288" s="0" t="s">
        <v>2223</v>
      </c>
      <c r="K1288" s="0" t="s">
        <v>149</v>
      </c>
      <c r="L1288" s="0" t="s">
        <v>2470</v>
      </c>
    </row>
    <row r="1289" customFormat="false" ht="15" hidden="false" customHeight="false" outlineLevel="0" collapsed="false">
      <c r="A1289" s="0" t="s">
        <v>2134</v>
      </c>
      <c r="B1289" s="0" t="s">
        <v>140</v>
      </c>
      <c r="C1289" s="0" t="s">
        <v>655</v>
      </c>
      <c r="D1289" s="0" t="s">
        <v>75</v>
      </c>
      <c r="E1289" s="0" t="s">
        <v>674</v>
      </c>
      <c r="F1289" s="0" t="n">
        <v>4</v>
      </c>
      <c r="G1289" s="0" t="n">
        <v>4</v>
      </c>
      <c r="H1289" s="0" t="s">
        <v>117</v>
      </c>
      <c r="I1289" s="0" t="s">
        <v>2138</v>
      </c>
      <c r="K1289" s="0" t="s">
        <v>152</v>
      </c>
      <c r="L1289" s="0" t="s">
        <v>2471</v>
      </c>
    </row>
    <row r="1290" customFormat="false" ht="15" hidden="false" customHeight="false" outlineLevel="0" collapsed="false">
      <c r="A1290" s="0" t="s">
        <v>2134</v>
      </c>
      <c r="B1290" s="0" t="s">
        <v>140</v>
      </c>
      <c r="C1290" s="0" t="s">
        <v>655</v>
      </c>
      <c r="D1290" s="0" t="s">
        <v>78</v>
      </c>
      <c r="E1290" s="0" t="s">
        <v>676</v>
      </c>
      <c r="F1290" s="0" t="n">
        <v>4</v>
      </c>
      <c r="G1290" s="0" t="n">
        <v>4</v>
      </c>
      <c r="H1290" s="0" t="s">
        <v>117</v>
      </c>
      <c r="I1290" s="0" t="s">
        <v>2138</v>
      </c>
      <c r="K1290" s="0" t="s">
        <v>156</v>
      </c>
      <c r="L1290" s="0" t="s">
        <v>2472</v>
      </c>
    </row>
    <row r="1291" customFormat="false" ht="15" hidden="false" customHeight="false" outlineLevel="0" collapsed="false">
      <c r="A1291" s="0" t="s">
        <v>2134</v>
      </c>
      <c r="B1291" s="0" t="s">
        <v>140</v>
      </c>
      <c r="C1291" s="0" t="s">
        <v>655</v>
      </c>
      <c r="D1291" s="0" t="s">
        <v>81</v>
      </c>
      <c r="E1291" s="0" t="s">
        <v>678</v>
      </c>
      <c r="F1291" s="0" t="n">
        <v>4</v>
      </c>
      <c r="G1291" s="0" t="n">
        <v>0</v>
      </c>
      <c r="H1291" s="0" t="s">
        <v>122</v>
      </c>
      <c r="K1291" s="0" t="s">
        <v>160</v>
      </c>
      <c r="L1291" s="0" t="s">
        <v>2473</v>
      </c>
    </row>
    <row r="1292" customFormat="false" ht="15" hidden="false" customHeight="false" outlineLevel="0" collapsed="false">
      <c r="A1292" s="0" t="s">
        <v>2134</v>
      </c>
      <c r="B1292" s="0" t="s">
        <v>140</v>
      </c>
      <c r="C1292" s="0" t="s">
        <v>680</v>
      </c>
      <c r="D1292" s="0" t="s">
        <v>528</v>
      </c>
      <c r="E1292" s="0" t="s">
        <v>681</v>
      </c>
      <c r="F1292" s="0" t="n">
        <v>0</v>
      </c>
      <c r="G1292" s="0" t="n">
        <v>0</v>
      </c>
      <c r="H1292" s="0" t="s">
        <v>117</v>
      </c>
      <c r="K1292" s="0" t="s">
        <v>118</v>
      </c>
      <c r="L1292" s="0" t="s">
        <v>2474</v>
      </c>
    </row>
    <row r="1293" customFormat="false" ht="15" hidden="false" customHeight="false" outlineLevel="0" collapsed="false">
      <c r="A1293" s="0" t="s">
        <v>2134</v>
      </c>
      <c r="B1293" s="0" t="s">
        <v>140</v>
      </c>
      <c r="C1293" s="0" t="s">
        <v>680</v>
      </c>
      <c r="D1293" s="0" t="s">
        <v>531</v>
      </c>
      <c r="E1293" s="0" t="s">
        <v>683</v>
      </c>
      <c r="F1293" s="0" t="n">
        <v>4</v>
      </c>
      <c r="G1293" s="0" t="n">
        <v>4</v>
      </c>
      <c r="H1293" s="0" t="s">
        <v>117</v>
      </c>
      <c r="I1293" s="0" t="s">
        <v>2218</v>
      </c>
      <c r="K1293" s="0" t="s">
        <v>123</v>
      </c>
      <c r="L1293" s="0" t="s">
        <v>2475</v>
      </c>
    </row>
    <row r="1294" customFormat="false" ht="15" hidden="false" customHeight="false" outlineLevel="0" collapsed="false">
      <c r="A1294" s="0" t="s">
        <v>2134</v>
      </c>
      <c r="B1294" s="0" t="s">
        <v>140</v>
      </c>
      <c r="C1294" s="0" t="s">
        <v>680</v>
      </c>
      <c r="D1294" s="0" t="s">
        <v>534</v>
      </c>
      <c r="E1294" s="0" t="s">
        <v>685</v>
      </c>
      <c r="F1294" s="0" t="n">
        <v>4</v>
      </c>
      <c r="G1294" s="0" t="n">
        <v>4</v>
      </c>
      <c r="H1294" s="0" t="s">
        <v>117</v>
      </c>
      <c r="I1294" s="0" t="s">
        <v>2260</v>
      </c>
      <c r="K1294" s="0" t="s">
        <v>127</v>
      </c>
      <c r="L1294" s="0" t="s">
        <v>2476</v>
      </c>
    </row>
    <row r="1295" customFormat="false" ht="15" hidden="false" customHeight="false" outlineLevel="0" collapsed="false">
      <c r="A1295" s="0" t="s">
        <v>2134</v>
      </c>
      <c r="B1295" s="0" t="s">
        <v>140</v>
      </c>
      <c r="C1295" s="0" t="s">
        <v>680</v>
      </c>
      <c r="D1295" s="0" t="s">
        <v>52</v>
      </c>
      <c r="E1295" s="0" t="s">
        <v>687</v>
      </c>
      <c r="F1295" s="0" t="n">
        <v>4</v>
      </c>
      <c r="G1295" s="0" t="n">
        <v>4</v>
      </c>
      <c r="H1295" s="0" t="s">
        <v>117</v>
      </c>
      <c r="I1295" s="0" t="s">
        <v>2439</v>
      </c>
      <c r="K1295" s="0" t="s">
        <v>132</v>
      </c>
      <c r="L1295" s="0" t="s">
        <v>2477</v>
      </c>
    </row>
    <row r="1296" customFormat="false" ht="15" hidden="false" customHeight="false" outlineLevel="0" collapsed="false">
      <c r="A1296" s="0" t="s">
        <v>2134</v>
      </c>
      <c r="B1296" s="0" t="s">
        <v>140</v>
      </c>
      <c r="C1296" s="0" t="s">
        <v>680</v>
      </c>
      <c r="D1296" s="0" t="s">
        <v>55</v>
      </c>
      <c r="E1296" s="0" t="s">
        <v>689</v>
      </c>
      <c r="F1296" s="0" t="n">
        <v>4</v>
      </c>
      <c r="G1296" s="0" t="n">
        <v>4</v>
      </c>
      <c r="H1296" s="0" t="s">
        <v>117</v>
      </c>
      <c r="I1296" s="0" t="s">
        <v>2439</v>
      </c>
      <c r="K1296" s="0" t="s">
        <v>135</v>
      </c>
      <c r="L1296" s="0" t="s">
        <v>2478</v>
      </c>
    </row>
    <row r="1297" customFormat="false" ht="15" hidden="false" customHeight="false" outlineLevel="0" collapsed="false">
      <c r="A1297" s="0" t="s">
        <v>2134</v>
      </c>
      <c r="B1297" s="0" t="s">
        <v>140</v>
      </c>
      <c r="C1297" s="0" t="s">
        <v>680</v>
      </c>
      <c r="D1297" s="0" t="s">
        <v>58</v>
      </c>
      <c r="E1297" s="0" t="s">
        <v>691</v>
      </c>
      <c r="F1297" s="0" t="n">
        <v>4</v>
      </c>
      <c r="G1297" s="0" t="n">
        <v>3</v>
      </c>
      <c r="H1297" s="0" t="s">
        <v>122</v>
      </c>
      <c r="I1297" s="0" t="s">
        <v>2218</v>
      </c>
      <c r="K1297" s="0" t="s">
        <v>138</v>
      </c>
      <c r="L1297" s="0" t="s">
        <v>2479</v>
      </c>
    </row>
    <row r="1298" customFormat="false" ht="15" hidden="false" customHeight="false" outlineLevel="0" collapsed="false">
      <c r="A1298" s="0" t="s">
        <v>2134</v>
      </c>
      <c r="B1298" s="0" t="s">
        <v>140</v>
      </c>
      <c r="C1298" s="0" t="s">
        <v>680</v>
      </c>
      <c r="D1298" s="0" t="s">
        <v>65</v>
      </c>
      <c r="E1298" s="0" t="s">
        <v>693</v>
      </c>
      <c r="F1298" s="0" t="n">
        <v>4</v>
      </c>
      <c r="G1298" s="0" t="n">
        <v>3</v>
      </c>
      <c r="H1298" s="0" t="s">
        <v>122</v>
      </c>
      <c r="I1298" s="0" t="s">
        <v>2180</v>
      </c>
      <c r="K1298" s="0" t="s">
        <v>143</v>
      </c>
      <c r="L1298" s="0" t="s">
        <v>2480</v>
      </c>
    </row>
    <row r="1299" customFormat="false" ht="15" hidden="false" customHeight="false" outlineLevel="0" collapsed="false">
      <c r="A1299" s="0" t="s">
        <v>2134</v>
      </c>
      <c r="B1299" s="0" t="s">
        <v>140</v>
      </c>
      <c r="C1299" s="0" t="s">
        <v>680</v>
      </c>
      <c r="D1299" s="0" t="s">
        <v>69</v>
      </c>
      <c r="E1299" s="0" t="s">
        <v>695</v>
      </c>
      <c r="F1299" s="0" t="n">
        <v>4</v>
      </c>
      <c r="G1299" s="0" t="n">
        <v>3</v>
      </c>
      <c r="H1299" s="0" t="s">
        <v>122</v>
      </c>
      <c r="I1299" s="0" t="s">
        <v>2260</v>
      </c>
      <c r="K1299" s="0" t="s">
        <v>146</v>
      </c>
      <c r="L1299" s="0" t="s">
        <v>2481</v>
      </c>
    </row>
    <row r="1300" customFormat="false" ht="15" hidden="false" customHeight="false" outlineLevel="0" collapsed="false">
      <c r="A1300" s="0" t="s">
        <v>2134</v>
      </c>
      <c r="B1300" s="0" t="s">
        <v>140</v>
      </c>
      <c r="C1300" s="0" t="s">
        <v>680</v>
      </c>
      <c r="D1300" s="0" t="s">
        <v>72</v>
      </c>
      <c r="E1300" s="0" t="s">
        <v>697</v>
      </c>
      <c r="F1300" s="0" t="n">
        <v>4</v>
      </c>
      <c r="G1300" s="0" t="n">
        <v>2</v>
      </c>
      <c r="H1300" s="0" t="s">
        <v>122</v>
      </c>
      <c r="I1300" s="0" t="s">
        <v>2180</v>
      </c>
      <c r="K1300" s="0" t="s">
        <v>149</v>
      </c>
      <c r="L1300" s="0" t="s">
        <v>2482</v>
      </c>
    </row>
    <row r="1301" customFormat="false" ht="15" hidden="false" customHeight="false" outlineLevel="0" collapsed="false">
      <c r="A1301" s="0" t="s">
        <v>2134</v>
      </c>
      <c r="B1301" s="0" t="s">
        <v>140</v>
      </c>
      <c r="C1301" s="0" t="s">
        <v>680</v>
      </c>
      <c r="D1301" s="0" t="s">
        <v>75</v>
      </c>
      <c r="E1301" s="0" t="s">
        <v>699</v>
      </c>
      <c r="F1301" s="0" t="n">
        <v>4</v>
      </c>
      <c r="G1301" s="0" t="n">
        <v>2</v>
      </c>
      <c r="H1301" s="0" t="s">
        <v>122</v>
      </c>
      <c r="I1301" s="0" t="s">
        <v>2400</v>
      </c>
      <c r="K1301" s="0" t="s">
        <v>152</v>
      </c>
      <c r="L1301" s="0" t="s">
        <v>2483</v>
      </c>
    </row>
    <row r="1302" customFormat="false" ht="15" hidden="false" customHeight="false" outlineLevel="0" collapsed="false">
      <c r="A1302" s="0" t="s">
        <v>2134</v>
      </c>
      <c r="B1302" s="0" t="s">
        <v>140</v>
      </c>
      <c r="C1302" s="0" t="s">
        <v>680</v>
      </c>
      <c r="D1302" s="0" t="s">
        <v>78</v>
      </c>
      <c r="E1302" s="0" t="s">
        <v>701</v>
      </c>
      <c r="F1302" s="0" t="n">
        <v>4</v>
      </c>
      <c r="G1302" s="0" t="n">
        <v>3</v>
      </c>
      <c r="H1302" s="0" t="s">
        <v>122</v>
      </c>
      <c r="I1302" s="0" t="s">
        <v>2439</v>
      </c>
      <c r="K1302" s="0" t="s">
        <v>156</v>
      </c>
      <c r="L1302" s="0" t="s">
        <v>2484</v>
      </c>
    </row>
    <row r="1303" customFormat="false" ht="15" hidden="false" customHeight="false" outlineLevel="0" collapsed="false">
      <c r="A1303" s="0" t="s">
        <v>2134</v>
      </c>
      <c r="B1303" s="0" t="s">
        <v>140</v>
      </c>
      <c r="C1303" s="0" t="s">
        <v>680</v>
      </c>
      <c r="D1303" s="0" t="s">
        <v>81</v>
      </c>
      <c r="E1303" s="0" t="s">
        <v>703</v>
      </c>
      <c r="F1303" s="0" t="n">
        <v>4</v>
      </c>
      <c r="G1303" s="0" t="n">
        <v>3</v>
      </c>
      <c r="H1303" s="0" t="s">
        <v>122</v>
      </c>
      <c r="I1303" s="0" t="s">
        <v>2439</v>
      </c>
      <c r="K1303" s="0" t="s">
        <v>160</v>
      </c>
      <c r="L1303" s="0" t="s">
        <v>2485</v>
      </c>
    </row>
    <row r="1304" customFormat="false" ht="15" hidden="false" customHeight="false" outlineLevel="0" collapsed="false">
      <c r="A1304" s="0" t="s">
        <v>2134</v>
      </c>
      <c r="B1304" s="0" t="s">
        <v>154</v>
      </c>
      <c r="C1304" s="0" t="s">
        <v>705</v>
      </c>
      <c r="D1304" s="0" t="s">
        <v>528</v>
      </c>
      <c r="E1304" s="0" t="s">
        <v>706</v>
      </c>
      <c r="F1304" s="0" t="n">
        <v>0</v>
      </c>
      <c r="G1304" s="0" t="n">
        <v>0</v>
      </c>
      <c r="H1304" s="0" t="s">
        <v>117</v>
      </c>
      <c r="K1304" s="0" t="s">
        <v>118</v>
      </c>
      <c r="L1304" s="0" t="s">
        <v>2486</v>
      </c>
    </row>
    <row r="1305" customFormat="false" ht="15" hidden="false" customHeight="false" outlineLevel="0" collapsed="false">
      <c r="A1305" s="0" t="s">
        <v>2134</v>
      </c>
      <c r="B1305" s="0" t="s">
        <v>154</v>
      </c>
      <c r="C1305" s="0" t="s">
        <v>705</v>
      </c>
      <c r="D1305" s="0" t="s">
        <v>531</v>
      </c>
      <c r="E1305" s="0" t="s">
        <v>708</v>
      </c>
      <c r="F1305" s="0" t="n">
        <v>4</v>
      </c>
      <c r="G1305" s="0" t="n">
        <v>0</v>
      </c>
      <c r="H1305" s="0" t="s">
        <v>122</v>
      </c>
      <c r="K1305" s="0" t="s">
        <v>123</v>
      </c>
      <c r="L1305" s="0" t="s">
        <v>2487</v>
      </c>
    </row>
    <row r="1306" customFormat="false" ht="15" hidden="false" customHeight="false" outlineLevel="0" collapsed="false">
      <c r="A1306" s="0" t="s">
        <v>2134</v>
      </c>
      <c r="B1306" s="0" t="s">
        <v>154</v>
      </c>
      <c r="C1306" s="0" t="s">
        <v>705</v>
      </c>
      <c r="D1306" s="0" t="s">
        <v>534</v>
      </c>
      <c r="E1306" s="0" t="s">
        <v>710</v>
      </c>
      <c r="F1306" s="0" t="n">
        <v>4</v>
      </c>
      <c r="G1306" s="0" t="n">
        <v>1</v>
      </c>
      <c r="H1306" s="0" t="s">
        <v>122</v>
      </c>
      <c r="K1306" s="0" t="s">
        <v>127</v>
      </c>
      <c r="L1306" s="0" t="s">
        <v>2488</v>
      </c>
    </row>
    <row r="1307" customFormat="false" ht="15" hidden="false" customHeight="false" outlineLevel="0" collapsed="false">
      <c r="A1307" s="0" t="s">
        <v>2134</v>
      </c>
      <c r="B1307" s="0" t="s">
        <v>154</v>
      </c>
      <c r="C1307" s="0" t="s">
        <v>705</v>
      </c>
      <c r="D1307" s="0" t="s">
        <v>52</v>
      </c>
      <c r="E1307" s="0" t="s">
        <v>712</v>
      </c>
      <c r="F1307" s="0" t="n">
        <v>4</v>
      </c>
      <c r="G1307" s="0" t="n">
        <v>0</v>
      </c>
      <c r="H1307" s="0" t="s">
        <v>122</v>
      </c>
      <c r="K1307" s="0" t="s">
        <v>132</v>
      </c>
      <c r="L1307" s="0" t="s">
        <v>2489</v>
      </c>
    </row>
    <row r="1308" customFormat="false" ht="15" hidden="false" customHeight="false" outlineLevel="0" collapsed="false">
      <c r="A1308" s="0" t="s">
        <v>2134</v>
      </c>
      <c r="B1308" s="0" t="s">
        <v>154</v>
      </c>
      <c r="C1308" s="0" t="s">
        <v>705</v>
      </c>
      <c r="D1308" s="0" t="s">
        <v>55</v>
      </c>
      <c r="E1308" s="0" t="s">
        <v>714</v>
      </c>
      <c r="F1308" s="0" t="n">
        <v>4</v>
      </c>
      <c r="G1308" s="0" t="n">
        <v>0</v>
      </c>
      <c r="H1308" s="0" t="s">
        <v>122</v>
      </c>
      <c r="K1308" s="0" t="s">
        <v>135</v>
      </c>
      <c r="L1308" s="0" t="s">
        <v>2490</v>
      </c>
    </row>
    <row r="1309" customFormat="false" ht="15" hidden="false" customHeight="false" outlineLevel="0" collapsed="false">
      <c r="A1309" s="0" t="s">
        <v>2134</v>
      </c>
      <c r="B1309" s="0" t="s">
        <v>154</v>
      </c>
      <c r="C1309" s="0" t="s">
        <v>705</v>
      </c>
      <c r="D1309" s="0" t="s">
        <v>58</v>
      </c>
      <c r="E1309" s="0" t="s">
        <v>716</v>
      </c>
      <c r="F1309" s="0" t="n">
        <v>0</v>
      </c>
      <c r="G1309" s="0" t="n">
        <v>0</v>
      </c>
      <c r="H1309" s="0" t="s">
        <v>117</v>
      </c>
      <c r="K1309" s="0" t="s">
        <v>138</v>
      </c>
      <c r="L1309" s="0" t="s">
        <v>2491</v>
      </c>
    </row>
    <row r="1310" customFormat="false" ht="15" hidden="false" customHeight="false" outlineLevel="0" collapsed="false">
      <c r="A1310" s="0" t="s">
        <v>2134</v>
      </c>
      <c r="B1310" s="0" t="s">
        <v>154</v>
      </c>
      <c r="C1310" s="0" t="s">
        <v>705</v>
      </c>
      <c r="D1310" s="0" t="s">
        <v>65</v>
      </c>
      <c r="E1310" s="0" t="s">
        <v>718</v>
      </c>
      <c r="F1310" s="0" t="n">
        <v>4</v>
      </c>
      <c r="G1310" s="0" t="n">
        <v>4</v>
      </c>
      <c r="H1310" s="0" t="s">
        <v>117</v>
      </c>
      <c r="I1310" s="0" t="s">
        <v>2138</v>
      </c>
      <c r="K1310" s="0" t="s">
        <v>143</v>
      </c>
      <c r="L1310" s="0" t="s">
        <v>2492</v>
      </c>
    </row>
    <row r="1311" customFormat="false" ht="15" hidden="false" customHeight="false" outlineLevel="0" collapsed="false">
      <c r="A1311" s="0" t="s">
        <v>2134</v>
      </c>
      <c r="B1311" s="0" t="s">
        <v>154</v>
      </c>
      <c r="C1311" s="0" t="s">
        <v>705</v>
      </c>
      <c r="D1311" s="0" t="s">
        <v>69</v>
      </c>
      <c r="E1311" s="0" t="s">
        <v>720</v>
      </c>
      <c r="F1311" s="0" t="n">
        <v>4</v>
      </c>
      <c r="G1311" s="0" t="n">
        <v>4</v>
      </c>
      <c r="H1311" s="0" t="s">
        <v>117</v>
      </c>
      <c r="I1311" s="0" t="s">
        <v>2223</v>
      </c>
      <c r="K1311" s="0" t="s">
        <v>146</v>
      </c>
      <c r="L1311" s="0" t="s">
        <v>2493</v>
      </c>
    </row>
    <row r="1312" customFormat="false" ht="15" hidden="false" customHeight="false" outlineLevel="0" collapsed="false">
      <c r="A1312" s="0" t="s">
        <v>2134</v>
      </c>
      <c r="B1312" s="0" t="s">
        <v>154</v>
      </c>
      <c r="C1312" s="0" t="s">
        <v>705</v>
      </c>
      <c r="D1312" s="0" t="s">
        <v>72</v>
      </c>
      <c r="E1312" s="0" t="s">
        <v>722</v>
      </c>
      <c r="F1312" s="0" t="n">
        <v>4</v>
      </c>
      <c r="G1312" s="0" t="n">
        <v>3</v>
      </c>
      <c r="H1312" s="0" t="s">
        <v>122</v>
      </c>
      <c r="I1312" s="0" t="s">
        <v>2138</v>
      </c>
      <c r="K1312" s="0" t="s">
        <v>149</v>
      </c>
      <c r="L1312" s="0" t="s">
        <v>2494</v>
      </c>
    </row>
    <row r="1313" customFormat="false" ht="15" hidden="false" customHeight="false" outlineLevel="0" collapsed="false">
      <c r="A1313" s="0" t="s">
        <v>2134</v>
      </c>
      <c r="B1313" s="0" t="s">
        <v>154</v>
      </c>
      <c r="C1313" s="0" t="s">
        <v>705</v>
      </c>
      <c r="D1313" s="0" t="s">
        <v>75</v>
      </c>
      <c r="E1313" s="0" t="s">
        <v>724</v>
      </c>
      <c r="F1313" s="0" t="n">
        <v>4</v>
      </c>
      <c r="G1313" s="0" t="n">
        <v>4</v>
      </c>
      <c r="H1313" s="0" t="s">
        <v>117</v>
      </c>
      <c r="I1313" s="0" t="s">
        <v>2400</v>
      </c>
      <c r="K1313" s="0" t="s">
        <v>152</v>
      </c>
      <c r="L1313" s="0" t="s">
        <v>2495</v>
      </c>
    </row>
    <row r="1314" customFormat="false" ht="15" hidden="false" customHeight="false" outlineLevel="0" collapsed="false">
      <c r="A1314" s="0" t="s">
        <v>2134</v>
      </c>
      <c r="B1314" s="0" t="s">
        <v>154</v>
      </c>
      <c r="C1314" s="0" t="s">
        <v>705</v>
      </c>
      <c r="D1314" s="0" t="s">
        <v>78</v>
      </c>
      <c r="E1314" s="0" t="s">
        <v>726</v>
      </c>
      <c r="F1314" s="0" t="n">
        <v>4</v>
      </c>
      <c r="G1314" s="0" t="n">
        <v>4</v>
      </c>
      <c r="H1314" s="0" t="s">
        <v>117</v>
      </c>
      <c r="I1314" s="0" t="s">
        <v>2223</v>
      </c>
      <c r="K1314" s="0" t="s">
        <v>156</v>
      </c>
      <c r="L1314" s="0" t="s">
        <v>2496</v>
      </c>
    </row>
    <row r="1315" customFormat="false" ht="15" hidden="false" customHeight="false" outlineLevel="0" collapsed="false">
      <c r="A1315" s="0" t="s">
        <v>2134</v>
      </c>
      <c r="B1315" s="0" t="s">
        <v>154</v>
      </c>
      <c r="C1315" s="0" t="s">
        <v>705</v>
      </c>
      <c r="D1315" s="0" t="s">
        <v>81</v>
      </c>
      <c r="E1315" s="0" t="s">
        <v>728</v>
      </c>
      <c r="F1315" s="0" t="n">
        <v>4</v>
      </c>
      <c r="G1315" s="0" t="n">
        <v>4</v>
      </c>
      <c r="H1315" s="0" t="s">
        <v>117</v>
      </c>
      <c r="I1315" s="0" t="s">
        <v>2223</v>
      </c>
      <c r="K1315" s="0" t="s">
        <v>160</v>
      </c>
      <c r="L1315" s="0" t="s">
        <v>2497</v>
      </c>
    </row>
    <row r="1316" customFormat="false" ht="15" hidden="false" customHeight="false" outlineLevel="0" collapsed="false">
      <c r="A1316" s="0" t="s">
        <v>2134</v>
      </c>
      <c r="B1316" s="0" t="s">
        <v>154</v>
      </c>
      <c r="C1316" s="0" t="s">
        <v>730</v>
      </c>
      <c r="D1316" s="0" t="s">
        <v>528</v>
      </c>
      <c r="E1316" s="0" t="s">
        <v>731</v>
      </c>
      <c r="F1316" s="0" t="n">
        <v>0</v>
      </c>
      <c r="G1316" s="0" t="n">
        <v>0</v>
      </c>
      <c r="H1316" s="0" t="s">
        <v>117</v>
      </c>
      <c r="K1316" s="0" t="s">
        <v>118</v>
      </c>
      <c r="L1316" s="0" t="s">
        <v>2498</v>
      </c>
    </row>
    <row r="1317" customFormat="false" ht="15" hidden="false" customHeight="false" outlineLevel="0" collapsed="false">
      <c r="A1317" s="0" t="s">
        <v>2134</v>
      </c>
      <c r="B1317" s="0" t="s">
        <v>154</v>
      </c>
      <c r="C1317" s="0" t="s">
        <v>730</v>
      </c>
      <c r="D1317" s="0" t="s">
        <v>531</v>
      </c>
      <c r="E1317" s="0" t="s">
        <v>733</v>
      </c>
      <c r="F1317" s="0" t="n">
        <v>4</v>
      </c>
      <c r="G1317" s="0" t="n">
        <v>0</v>
      </c>
      <c r="H1317" s="0" t="s">
        <v>122</v>
      </c>
      <c r="K1317" s="0" t="s">
        <v>123</v>
      </c>
      <c r="L1317" s="0" t="s">
        <v>2499</v>
      </c>
    </row>
    <row r="1318" customFormat="false" ht="15" hidden="false" customHeight="false" outlineLevel="0" collapsed="false">
      <c r="A1318" s="0" t="s">
        <v>2134</v>
      </c>
      <c r="B1318" s="0" t="s">
        <v>154</v>
      </c>
      <c r="C1318" s="0" t="s">
        <v>730</v>
      </c>
      <c r="D1318" s="0" t="s">
        <v>534</v>
      </c>
      <c r="E1318" s="0" t="s">
        <v>735</v>
      </c>
      <c r="F1318" s="0" t="n">
        <v>4</v>
      </c>
      <c r="G1318" s="0" t="n">
        <v>0</v>
      </c>
      <c r="H1318" s="0" t="s">
        <v>122</v>
      </c>
      <c r="K1318" s="0" t="s">
        <v>127</v>
      </c>
      <c r="L1318" s="0" t="s">
        <v>2500</v>
      </c>
    </row>
    <row r="1319" customFormat="false" ht="15" hidden="false" customHeight="false" outlineLevel="0" collapsed="false">
      <c r="A1319" s="0" t="s">
        <v>2134</v>
      </c>
      <c r="B1319" s="0" t="s">
        <v>154</v>
      </c>
      <c r="C1319" s="0" t="s">
        <v>730</v>
      </c>
      <c r="D1319" s="0" t="s">
        <v>52</v>
      </c>
      <c r="E1319" s="0" t="s">
        <v>737</v>
      </c>
      <c r="F1319" s="0" t="n">
        <v>4</v>
      </c>
      <c r="G1319" s="0" t="n">
        <v>3</v>
      </c>
      <c r="H1319" s="0" t="s">
        <v>122</v>
      </c>
      <c r="I1319" s="0" t="s">
        <v>2400</v>
      </c>
      <c r="K1319" s="0" t="s">
        <v>132</v>
      </c>
      <c r="L1319" s="0" t="s">
        <v>2501</v>
      </c>
    </row>
    <row r="1320" customFormat="false" ht="15" hidden="false" customHeight="false" outlineLevel="0" collapsed="false">
      <c r="A1320" s="0" t="s">
        <v>2134</v>
      </c>
      <c r="B1320" s="0" t="s">
        <v>154</v>
      </c>
      <c r="C1320" s="0" t="s">
        <v>730</v>
      </c>
      <c r="D1320" s="0" t="s">
        <v>55</v>
      </c>
      <c r="E1320" s="0" t="s">
        <v>739</v>
      </c>
      <c r="F1320" s="0" t="n">
        <v>4</v>
      </c>
      <c r="G1320" s="0" t="n">
        <v>0</v>
      </c>
      <c r="H1320" s="0" t="s">
        <v>122</v>
      </c>
      <c r="K1320" s="0" t="s">
        <v>135</v>
      </c>
      <c r="L1320" s="0" t="s">
        <v>2502</v>
      </c>
    </row>
    <row r="1321" customFormat="false" ht="15" hidden="false" customHeight="false" outlineLevel="0" collapsed="false">
      <c r="A1321" s="0" t="s">
        <v>2134</v>
      </c>
      <c r="B1321" s="0" t="s">
        <v>154</v>
      </c>
      <c r="C1321" s="0" t="s">
        <v>730</v>
      </c>
      <c r="D1321" s="0" t="s">
        <v>58</v>
      </c>
      <c r="E1321" s="0" t="s">
        <v>741</v>
      </c>
      <c r="F1321" s="0" t="n">
        <v>0</v>
      </c>
      <c r="G1321" s="0" t="n">
        <v>0</v>
      </c>
      <c r="H1321" s="0" t="s">
        <v>117</v>
      </c>
      <c r="K1321" s="0" t="s">
        <v>138</v>
      </c>
      <c r="L1321" s="0" t="s">
        <v>2503</v>
      </c>
    </row>
    <row r="1322" customFormat="false" ht="15" hidden="false" customHeight="false" outlineLevel="0" collapsed="false">
      <c r="A1322" s="0" t="s">
        <v>2134</v>
      </c>
      <c r="B1322" s="0" t="s">
        <v>154</v>
      </c>
      <c r="C1322" s="0" t="s">
        <v>730</v>
      </c>
      <c r="D1322" s="0" t="s">
        <v>65</v>
      </c>
      <c r="E1322" s="0" t="s">
        <v>743</v>
      </c>
      <c r="F1322" s="0" t="n">
        <v>4</v>
      </c>
      <c r="G1322" s="0" t="n">
        <v>2</v>
      </c>
      <c r="H1322" s="0" t="s">
        <v>122</v>
      </c>
      <c r="I1322" s="0" t="s">
        <v>2223</v>
      </c>
      <c r="K1322" s="0" t="s">
        <v>143</v>
      </c>
      <c r="L1322" s="0" t="s">
        <v>2504</v>
      </c>
    </row>
    <row r="1323" customFormat="false" ht="15" hidden="false" customHeight="false" outlineLevel="0" collapsed="false">
      <c r="A1323" s="0" t="s">
        <v>2134</v>
      </c>
      <c r="B1323" s="0" t="s">
        <v>154</v>
      </c>
      <c r="C1323" s="0" t="s">
        <v>730</v>
      </c>
      <c r="D1323" s="0" t="s">
        <v>69</v>
      </c>
      <c r="E1323" s="0" t="s">
        <v>745</v>
      </c>
      <c r="F1323" s="0" t="n">
        <v>4</v>
      </c>
      <c r="G1323" s="0" t="n">
        <v>3</v>
      </c>
      <c r="H1323" s="0" t="s">
        <v>122</v>
      </c>
      <c r="I1323" s="0" t="s">
        <v>2218</v>
      </c>
      <c r="K1323" s="0" t="s">
        <v>146</v>
      </c>
      <c r="L1323" s="0" t="s">
        <v>2505</v>
      </c>
    </row>
    <row r="1324" customFormat="false" ht="15" hidden="false" customHeight="false" outlineLevel="0" collapsed="false">
      <c r="A1324" s="0" t="s">
        <v>2134</v>
      </c>
      <c r="B1324" s="0" t="s">
        <v>154</v>
      </c>
      <c r="C1324" s="0" t="s">
        <v>730</v>
      </c>
      <c r="D1324" s="0" t="s">
        <v>72</v>
      </c>
      <c r="E1324" s="0" t="s">
        <v>747</v>
      </c>
      <c r="F1324" s="0" t="n">
        <v>4</v>
      </c>
      <c r="G1324" s="0" t="n">
        <v>4</v>
      </c>
      <c r="H1324" s="0" t="s">
        <v>117</v>
      </c>
      <c r="I1324" s="0" t="s">
        <v>2400</v>
      </c>
      <c r="K1324" s="0" t="s">
        <v>149</v>
      </c>
      <c r="L1324" s="0" t="s">
        <v>2506</v>
      </c>
    </row>
    <row r="1325" customFormat="false" ht="15" hidden="false" customHeight="false" outlineLevel="0" collapsed="false">
      <c r="A1325" s="0" t="s">
        <v>2134</v>
      </c>
      <c r="B1325" s="0" t="s">
        <v>154</v>
      </c>
      <c r="C1325" s="0" t="s">
        <v>730</v>
      </c>
      <c r="D1325" s="0" t="s">
        <v>75</v>
      </c>
      <c r="E1325" s="0" t="s">
        <v>749</v>
      </c>
      <c r="F1325" s="0" t="n">
        <v>4</v>
      </c>
      <c r="G1325" s="0" t="n">
        <v>3</v>
      </c>
      <c r="H1325" s="0" t="s">
        <v>122</v>
      </c>
      <c r="I1325" s="0" t="s">
        <v>2223</v>
      </c>
      <c r="K1325" s="0" t="s">
        <v>152</v>
      </c>
      <c r="L1325" s="0" t="s">
        <v>2507</v>
      </c>
    </row>
    <row r="1326" customFormat="false" ht="15" hidden="false" customHeight="false" outlineLevel="0" collapsed="false">
      <c r="A1326" s="0" t="s">
        <v>2134</v>
      </c>
      <c r="B1326" s="0" t="s">
        <v>154</v>
      </c>
      <c r="C1326" s="0" t="s">
        <v>730</v>
      </c>
      <c r="D1326" s="0" t="s">
        <v>78</v>
      </c>
      <c r="E1326" s="0" t="s">
        <v>751</v>
      </c>
      <c r="F1326" s="0" t="n">
        <v>4</v>
      </c>
      <c r="G1326" s="0" t="n">
        <v>4</v>
      </c>
      <c r="H1326" s="0" t="s">
        <v>117</v>
      </c>
      <c r="I1326" s="0" t="s">
        <v>2419</v>
      </c>
      <c r="K1326" s="0" t="s">
        <v>156</v>
      </c>
      <c r="L1326" s="0" t="s">
        <v>2508</v>
      </c>
    </row>
    <row r="1327" customFormat="false" ht="15" hidden="false" customHeight="false" outlineLevel="0" collapsed="false">
      <c r="A1327" s="0" t="s">
        <v>2134</v>
      </c>
      <c r="B1327" s="0" t="s">
        <v>154</v>
      </c>
      <c r="C1327" s="0" t="s">
        <v>730</v>
      </c>
      <c r="D1327" s="0" t="s">
        <v>81</v>
      </c>
      <c r="E1327" s="0" t="s">
        <v>753</v>
      </c>
      <c r="F1327" s="0" t="n">
        <v>4</v>
      </c>
      <c r="G1327" s="0" t="n">
        <v>4</v>
      </c>
      <c r="H1327" s="0" t="s">
        <v>117</v>
      </c>
      <c r="I1327" s="0" t="s">
        <v>2223</v>
      </c>
      <c r="K1327" s="0" t="s">
        <v>160</v>
      </c>
      <c r="L1327" s="0" t="s">
        <v>2509</v>
      </c>
    </row>
    <row r="1328" customFormat="false" ht="15" hidden="false" customHeight="false" outlineLevel="0" collapsed="false">
      <c r="A1328" s="0" t="s">
        <v>2134</v>
      </c>
      <c r="B1328" s="0" t="s">
        <v>154</v>
      </c>
      <c r="C1328" s="0" t="s">
        <v>755</v>
      </c>
      <c r="D1328" s="0" t="s">
        <v>528</v>
      </c>
      <c r="E1328" s="0" t="s">
        <v>756</v>
      </c>
      <c r="F1328" s="0" t="n">
        <v>0</v>
      </c>
      <c r="G1328" s="0" t="n">
        <v>0</v>
      </c>
      <c r="H1328" s="0" t="s">
        <v>117</v>
      </c>
      <c r="K1328" s="0" t="s">
        <v>118</v>
      </c>
      <c r="L1328" s="0" t="s">
        <v>2510</v>
      </c>
    </row>
    <row r="1329" customFormat="false" ht="15" hidden="false" customHeight="false" outlineLevel="0" collapsed="false">
      <c r="A1329" s="0" t="s">
        <v>2134</v>
      </c>
      <c r="B1329" s="0" t="s">
        <v>154</v>
      </c>
      <c r="C1329" s="0" t="s">
        <v>755</v>
      </c>
      <c r="D1329" s="0" t="s">
        <v>531</v>
      </c>
      <c r="E1329" s="0" t="s">
        <v>758</v>
      </c>
      <c r="F1329" s="0" t="n">
        <v>4</v>
      </c>
      <c r="G1329" s="0" t="n">
        <v>0</v>
      </c>
      <c r="H1329" s="0" t="s">
        <v>122</v>
      </c>
      <c r="K1329" s="0" t="s">
        <v>123</v>
      </c>
      <c r="L1329" s="0" t="s">
        <v>2511</v>
      </c>
    </row>
    <row r="1330" customFormat="false" ht="15" hidden="false" customHeight="false" outlineLevel="0" collapsed="false">
      <c r="A1330" s="0" t="s">
        <v>2134</v>
      </c>
      <c r="B1330" s="0" t="s">
        <v>154</v>
      </c>
      <c r="C1330" s="0" t="s">
        <v>755</v>
      </c>
      <c r="D1330" s="0" t="s">
        <v>534</v>
      </c>
      <c r="E1330" s="0" t="s">
        <v>760</v>
      </c>
      <c r="F1330" s="0" t="n">
        <v>4</v>
      </c>
      <c r="G1330" s="0" t="n">
        <v>0</v>
      </c>
      <c r="H1330" s="0" t="s">
        <v>122</v>
      </c>
      <c r="K1330" s="0" t="s">
        <v>127</v>
      </c>
      <c r="L1330" s="0" t="s">
        <v>2512</v>
      </c>
    </row>
    <row r="1331" customFormat="false" ht="15" hidden="false" customHeight="false" outlineLevel="0" collapsed="false">
      <c r="A1331" s="0" t="s">
        <v>2134</v>
      </c>
      <c r="B1331" s="0" t="s">
        <v>154</v>
      </c>
      <c r="C1331" s="0" t="s">
        <v>755</v>
      </c>
      <c r="D1331" s="0" t="s">
        <v>52</v>
      </c>
      <c r="E1331" s="0" t="s">
        <v>762</v>
      </c>
      <c r="F1331" s="0" t="n">
        <v>4</v>
      </c>
      <c r="G1331" s="0" t="n">
        <v>0</v>
      </c>
      <c r="H1331" s="0" t="s">
        <v>122</v>
      </c>
      <c r="K1331" s="0" t="s">
        <v>132</v>
      </c>
      <c r="L1331" s="0" t="s">
        <v>2513</v>
      </c>
    </row>
    <row r="1332" customFormat="false" ht="15" hidden="false" customHeight="false" outlineLevel="0" collapsed="false">
      <c r="A1332" s="0" t="s">
        <v>2134</v>
      </c>
      <c r="B1332" s="0" t="s">
        <v>154</v>
      </c>
      <c r="C1332" s="0" t="s">
        <v>755</v>
      </c>
      <c r="D1332" s="0" t="s">
        <v>55</v>
      </c>
      <c r="E1332" s="0" t="s">
        <v>764</v>
      </c>
      <c r="F1332" s="0" t="n">
        <v>4</v>
      </c>
      <c r="G1332" s="0" t="n">
        <v>3</v>
      </c>
      <c r="H1332" s="0" t="s">
        <v>122</v>
      </c>
      <c r="I1332" s="0" t="s">
        <v>2260</v>
      </c>
      <c r="K1332" s="0" t="s">
        <v>135</v>
      </c>
      <c r="L1332" s="0" t="s">
        <v>2514</v>
      </c>
    </row>
    <row r="1333" customFormat="false" ht="15" hidden="false" customHeight="false" outlineLevel="0" collapsed="false">
      <c r="A1333" s="0" t="s">
        <v>2134</v>
      </c>
      <c r="B1333" s="0" t="s">
        <v>154</v>
      </c>
      <c r="C1333" s="0" t="s">
        <v>755</v>
      </c>
      <c r="D1333" s="0" t="s">
        <v>58</v>
      </c>
      <c r="E1333" s="0" t="s">
        <v>766</v>
      </c>
      <c r="F1333" s="0" t="n">
        <v>0</v>
      </c>
      <c r="G1333" s="0" t="n">
        <v>0</v>
      </c>
      <c r="H1333" s="0" t="s">
        <v>117</v>
      </c>
      <c r="K1333" s="0" t="s">
        <v>138</v>
      </c>
      <c r="L1333" s="0" t="s">
        <v>2515</v>
      </c>
    </row>
    <row r="1334" customFormat="false" ht="15" hidden="false" customHeight="false" outlineLevel="0" collapsed="false">
      <c r="A1334" s="0" t="s">
        <v>2134</v>
      </c>
      <c r="B1334" s="0" t="s">
        <v>154</v>
      </c>
      <c r="C1334" s="0" t="s">
        <v>755</v>
      </c>
      <c r="D1334" s="0" t="s">
        <v>65</v>
      </c>
      <c r="E1334" s="0" t="s">
        <v>768</v>
      </c>
      <c r="F1334" s="0" t="n">
        <v>4</v>
      </c>
      <c r="G1334" s="0" t="n">
        <v>4</v>
      </c>
      <c r="H1334" s="0" t="s">
        <v>117</v>
      </c>
      <c r="I1334" s="0" t="s">
        <v>2439</v>
      </c>
      <c r="K1334" s="0" t="s">
        <v>143</v>
      </c>
      <c r="L1334" s="0" t="s">
        <v>2516</v>
      </c>
    </row>
    <row r="1335" customFormat="false" ht="15" hidden="false" customHeight="false" outlineLevel="0" collapsed="false">
      <c r="A1335" s="0" t="s">
        <v>2134</v>
      </c>
      <c r="B1335" s="0" t="s">
        <v>154</v>
      </c>
      <c r="C1335" s="0" t="s">
        <v>755</v>
      </c>
      <c r="D1335" s="0" t="s">
        <v>69</v>
      </c>
      <c r="E1335" s="0" t="s">
        <v>770</v>
      </c>
      <c r="F1335" s="0" t="n">
        <v>4</v>
      </c>
      <c r="G1335" s="0" t="n">
        <v>4</v>
      </c>
      <c r="H1335" s="0" t="s">
        <v>117</v>
      </c>
      <c r="I1335" s="0" t="s">
        <v>2439</v>
      </c>
      <c r="K1335" s="0" t="s">
        <v>146</v>
      </c>
      <c r="L1335" s="0" t="s">
        <v>2517</v>
      </c>
    </row>
    <row r="1336" customFormat="false" ht="15" hidden="false" customHeight="false" outlineLevel="0" collapsed="false">
      <c r="A1336" s="0" t="s">
        <v>2134</v>
      </c>
      <c r="B1336" s="0" t="s">
        <v>154</v>
      </c>
      <c r="C1336" s="0" t="s">
        <v>755</v>
      </c>
      <c r="D1336" s="0" t="s">
        <v>72</v>
      </c>
      <c r="E1336" s="0" t="s">
        <v>772</v>
      </c>
      <c r="F1336" s="0" t="n">
        <v>4</v>
      </c>
      <c r="G1336" s="0" t="n">
        <v>4</v>
      </c>
      <c r="H1336" s="0" t="s">
        <v>117</v>
      </c>
      <c r="I1336" s="0" t="s">
        <v>2260</v>
      </c>
      <c r="K1336" s="0" t="s">
        <v>149</v>
      </c>
      <c r="L1336" s="0" t="s">
        <v>2518</v>
      </c>
    </row>
    <row r="1337" customFormat="false" ht="15" hidden="false" customHeight="false" outlineLevel="0" collapsed="false">
      <c r="A1337" s="0" t="s">
        <v>2134</v>
      </c>
      <c r="B1337" s="0" t="s">
        <v>154</v>
      </c>
      <c r="C1337" s="0" t="s">
        <v>755</v>
      </c>
      <c r="D1337" s="0" t="s">
        <v>75</v>
      </c>
      <c r="E1337" s="0" t="s">
        <v>774</v>
      </c>
      <c r="F1337" s="0" t="n">
        <v>4</v>
      </c>
      <c r="G1337" s="0" t="n">
        <v>4</v>
      </c>
      <c r="H1337" s="0" t="s">
        <v>117</v>
      </c>
      <c r="I1337" s="0" t="s">
        <v>2439</v>
      </c>
      <c r="K1337" s="0" t="s">
        <v>152</v>
      </c>
      <c r="L1337" s="0" t="s">
        <v>2519</v>
      </c>
    </row>
    <row r="1338" customFormat="false" ht="15" hidden="false" customHeight="false" outlineLevel="0" collapsed="false">
      <c r="A1338" s="0" t="s">
        <v>2134</v>
      </c>
      <c r="B1338" s="0" t="s">
        <v>154</v>
      </c>
      <c r="C1338" s="0" t="s">
        <v>755</v>
      </c>
      <c r="D1338" s="0" t="s">
        <v>78</v>
      </c>
      <c r="E1338" s="0" t="s">
        <v>776</v>
      </c>
      <c r="F1338" s="0" t="n">
        <v>4</v>
      </c>
      <c r="G1338" s="0" t="n">
        <v>4</v>
      </c>
      <c r="H1338" s="0" t="s">
        <v>117</v>
      </c>
      <c r="I1338" s="0" t="s">
        <v>2439</v>
      </c>
      <c r="K1338" s="0" t="s">
        <v>156</v>
      </c>
      <c r="L1338" s="0" t="s">
        <v>2520</v>
      </c>
    </row>
    <row r="1339" customFormat="false" ht="15" hidden="false" customHeight="false" outlineLevel="0" collapsed="false">
      <c r="A1339" s="0" t="s">
        <v>2134</v>
      </c>
      <c r="B1339" s="0" t="s">
        <v>154</v>
      </c>
      <c r="C1339" s="0" t="s">
        <v>755</v>
      </c>
      <c r="D1339" s="0" t="s">
        <v>81</v>
      </c>
      <c r="E1339" s="0" t="s">
        <v>778</v>
      </c>
      <c r="F1339" s="0" t="n">
        <v>4</v>
      </c>
      <c r="G1339" s="0" t="n">
        <v>4</v>
      </c>
      <c r="H1339" s="0" t="s">
        <v>117</v>
      </c>
      <c r="I1339" s="0" t="s">
        <v>2180</v>
      </c>
      <c r="K1339" s="0" t="s">
        <v>160</v>
      </c>
      <c r="L1339" s="0" t="s">
        <v>2521</v>
      </c>
    </row>
    <row r="1340" customFormat="false" ht="15" hidden="false" customHeight="false" outlineLevel="0" collapsed="false">
      <c r="A1340" s="0" t="s">
        <v>2134</v>
      </c>
      <c r="B1340" s="0" t="s">
        <v>154</v>
      </c>
      <c r="C1340" s="0" t="s">
        <v>780</v>
      </c>
      <c r="D1340" s="0" t="s">
        <v>528</v>
      </c>
      <c r="E1340" s="0" t="s">
        <v>781</v>
      </c>
      <c r="F1340" s="0" t="n">
        <v>0</v>
      </c>
      <c r="G1340" s="0" t="n">
        <v>0</v>
      </c>
      <c r="H1340" s="0" t="s">
        <v>117</v>
      </c>
      <c r="K1340" s="0" t="s">
        <v>118</v>
      </c>
      <c r="L1340" s="0" t="s">
        <v>2522</v>
      </c>
    </row>
    <row r="1341" customFormat="false" ht="15" hidden="false" customHeight="false" outlineLevel="0" collapsed="false">
      <c r="A1341" s="0" t="s">
        <v>2134</v>
      </c>
      <c r="B1341" s="0" t="s">
        <v>154</v>
      </c>
      <c r="C1341" s="0" t="s">
        <v>780</v>
      </c>
      <c r="D1341" s="0" t="s">
        <v>531</v>
      </c>
      <c r="E1341" s="0" t="s">
        <v>783</v>
      </c>
      <c r="F1341" s="0" t="n">
        <v>4</v>
      </c>
      <c r="G1341" s="0" t="n">
        <v>0</v>
      </c>
      <c r="H1341" s="0" t="s">
        <v>122</v>
      </c>
      <c r="K1341" s="0" t="s">
        <v>123</v>
      </c>
      <c r="L1341" s="0" t="s">
        <v>2523</v>
      </c>
    </row>
    <row r="1342" customFormat="false" ht="15" hidden="false" customHeight="false" outlineLevel="0" collapsed="false">
      <c r="A1342" s="0" t="s">
        <v>2134</v>
      </c>
      <c r="B1342" s="0" t="s">
        <v>154</v>
      </c>
      <c r="C1342" s="0" t="s">
        <v>780</v>
      </c>
      <c r="D1342" s="0" t="s">
        <v>534</v>
      </c>
      <c r="E1342" s="0" t="s">
        <v>785</v>
      </c>
      <c r="F1342" s="0" t="n">
        <v>4</v>
      </c>
      <c r="G1342" s="0" t="n">
        <v>0</v>
      </c>
      <c r="H1342" s="0" t="s">
        <v>122</v>
      </c>
      <c r="K1342" s="0" t="s">
        <v>127</v>
      </c>
      <c r="L1342" s="0" t="s">
        <v>2524</v>
      </c>
    </row>
    <row r="1343" customFormat="false" ht="15" hidden="false" customHeight="false" outlineLevel="0" collapsed="false">
      <c r="A1343" s="0" t="s">
        <v>2134</v>
      </c>
      <c r="B1343" s="0" t="s">
        <v>154</v>
      </c>
      <c r="C1343" s="0" t="s">
        <v>780</v>
      </c>
      <c r="D1343" s="0" t="s">
        <v>52</v>
      </c>
      <c r="E1343" s="0" t="s">
        <v>787</v>
      </c>
      <c r="F1343" s="0" t="n">
        <v>4</v>
      </c>
      <c r="G1343" s="0" t="n">
        <v>0</v>
      </c>
      <c r="H1343" s="0" t="s">
        <v>122</v>
      </c>
      <c r="K1343" s="0" t="s">
        <v>132</v>
      </c>
      <c r="L1343" s="0" t="s">
        <v>2525</v>
      </c>
    </row>
    <row r="1344" customFormat="false" ht="15" hidden="false" customHeight="false" outlineLevel="0" collapsed="false">
      <c r="A1344" s="0" t="s">
        <v>2134</v>
      </c>
      <c r="B1344" s="0" t="s">
        <v>154</v>
      </c>
      <c r="C1344" s="0" t="s">
        <v>780</v>
      </c>
      <c r="D1344" s="0" t="s">
        <v>55</v>
      </c>
      <c r="E1344" s="0" t="s">
        <v>789</v>
      </c>
      <c r="F1344" s="0" t="n">
        <v>4</v>
      </c>
      <c r="G1344" s="0" t="n">
        <v>0</v>
      </c>
      <c r="H1344" s="0" t="s">
        <v>122</v>
      </c>
      <c r="K1344" s="0" t="s">
        <v>135</v>
      </c>
      <c r="L1344" s="0" t="s">
        <v>2526</v>
      </c>
    </row>
    <row r="1345" customFormat="false" ht="15" hidden="false" customHeight="false" outlineLevel="0" collapsed="false">
      <c r="A1345" s="0" t="s">
        <v>2134</v>
      </c>
      <c r="B1345" s="0" t="s">
        <v>154</v>
      </c>
      <c r="C1345" s="0" t="s">
        <v>780</v>
      </c>
      <c r="D1345" s="0" t="s">
        <v>58</v>
      </c>
      <c r="E1345" s="0" t="s">
        <v>791</v>
      </c>
      <c r="F1345" s="0" t="n">
        <v>0</v>
      </c>
      <c r="G1345" s="0" t="n">
        <v>0</v>
      </c>
      <c r="H1345" s="0" t="s">
        <v>117</v>
      </c>
      <c r="K1345" s="0" t="s">
        <v>138</v>
      </c>
      <c r="L1345" s="0" t="s">
        <v>2527</v>
      </c>
    </row>
    <row r="1346" customFormat="false" ht="15" hidden="false" customHeight="false" outlineLevel="0" collapsed="false">
      <c r="A1346" s="0" t="s">
        <v>2134</v>
      </c>
      <c r="B1346" s="0" t="s">
        <v>154</v>
      </c>
      <c r="C1346" s="0" t="s">
        <v>780</v>
      </c>
      <c r="D1346" s="0" t="s">
        <v>65</v>
      </c>
      <c r="E1346" s="0" t="s">
        <v>793</v>
      </c>
      <c r="F1346" s="0" t="n">
        <v>4</v>
      </c>
      <c r="G1346" s="0" t="n">
        <v>0</v>
      </c>
      <c r="H1346" s="0" t="s">
        <v>122</v>
      </c>
      <c r="K1346" s="0" t="s">
        <v>143</v>
      </c>
      <c r="L1346" s="0" t="s">
        <v>2528</v>
      </c>
    </row>
    <row r="1347" customFormat="false" ht="15" hidden="false" customHeight="false" outlineLevel="0" collapsed="false">
      <c r="A1347" s="0" t="s">
        <v>2134</v>
      </c>
      <c r="B1347" s="0" t="s">
        <v>154</v>
      </c>
      <c r="C1347" s="0" t="s">
        <v>780</v>
      </c>
      <c r="D1347" s="0" t="s">
        <v>69</v>
      </c>
      <c r="E1347" s="0" t="s">
        <v>795</v>
      </c>
      <c r="F1347" s="0" t="n">
        <v>4</v>
      </c>
      <c r="G1347" s="0" t="n">
        <v>4</v>
      </c>
      <c r="H1347" s="0" t="s">
        <v>117</v>
      </c>
      <c r="I1347" s="0" t="s">
        <v>2138</v>
      </c>
      <c r="K1347" s="0" t="s">
        <v>146</v>
      </c>
      <c r="L1347" s="0" t="s">
        <v>2529</v>
      </c>
    </row>
    <row r="1348" customFormat="false" ht="15" hidden="false" customHeight="false" outlineLevel="0" collapsed="false">
      <c r="A1348" s="0" t="s">
        <v>2134</v>
      </c>
      <c r="B1348" s="0" t="s">
        <v>154</v>
      </c>
      <c r="C1348" s="0" t="s">
        <v>780</v>
      </c>
      <c r="D1348" s="0" t="s">
        <v>72</v>
      </c>
      <c r="E1348" s="0" t="s">
        <v>797</v>
      </c>
      <c r="F1348" s="0" t="n">
        <v>4</v>
      </c>
      <c r="G1348" s="0" t="n">
        <v>4</v>
      </c>
      <c r="H1348" s="0" t="s">
        <v>117</v>
      </c>
      <c r="I1348" s="0" t="s">
        <v>2260</v>
      </c>
      <c r="K1348" s="0" t="s">
        <v>149</v>
      </c>
      <c r="L1348" s="0" t="s">
        <v>2530</v>
      </c>
    </row>
    <row r="1349" customFormat="false" ht="15" hidden="false" customHeight="false" outlineLevel="0" collapsed="false">
      <c r="A1349" s="0" t="s">
        <v>2134</v>
      </c>
      <c r="B1349" s="0" t="s">
        <v>154</v>
      </c>
      <c r="C1349" s="0" t="s">
        <v>780</v>
      </c>
      <c r="D1349" s="0" t="s">
        <v>75</v>
      </c>
      <c r="E1349" s="0" t="s">
        <v>799</v>
      </c>
      <c r="F1349" s="0" t="n">
        <v>4</v>
      </c>
      <c r="G1349" s="0" t="n">
        <v>4</v>
      </c>
      <c r="H1349" s="0" t="s">
        <v>117</v>
      </c>
      <c r="I1349" s="0" t="s">
        <v>2138</v>
      </c>
      <c r="K1349" s="0" t="s">
        <v>152</v>
      </c>
      <c r="L1349" s="0" t="s">
        <v>2531</v>
      </c>
    </row>
    <row r="1350" customFormat="false" ht="15" hidden="false" customHeight="false" outlineLevel="0" collapsed="false">
      <c r="A1350" s="0" t="s">
        <v>2134</v>
      </c>
      <c r="B1350" s="0" t="s">
        <v>154</v>
      </c>
      <c r="C1350" s="0" t="s">
        <v>780</v>
      </c>
      <c r="D1350" s="0" t="s">
        <v>78</v>
      </c>
      <c r="E1350" s="0" t="s">
        <v>801</v>
      </c>
      <c r="F1350" s="0" t="n">
        <v>4</v>
      </c>
      <c r="G1350" s="0" t="n">
        <v>4</v>
      </c>
      <c r="H1350" s="0" t="s">
        <v>117</v>
      </c>
      <c r="I1350" s="0" t="s">
        <v>2138</v>
      </c>
      <c r="K1350" s="0" t="s">
        <v>156</v>
      </c>
      <c r="L1350" s="0" t="s">
        <v>2532</v>
      </c>
    </row>
    <row r="1351" customFormat="false" ht="15" hidden="false" customHeight="false" outlineLevel="0" collapsed="false">
      <c r="A1351" s="0" t="s">
        <v>2134</v>
      </c>
      <c r="B1351" s="0" t="s">
        <v>154</v>
      </c>
      <c r="C1351" s="0" t="s">
        <v>780</v>
      </c>
      <c r="D1351" s="0" t="s">
        <v>81</v>
      </c>
      <c r="E1351" s="0" t="s">
        <v>803</v>
      </c>
      <c r="F1351" s="0" t="n">
        <v>4</v>
      </c>
      <c r="G1351" s="0" t="n">
        <v>3</v>
      </c>
      <c r="H1351" s="0" t="s">
        <v>122</v>
      </c>
      <c r="I1351" s="0" t="s">
        <v>2138</v>
      </c>
      <c r="K1351" s="0" t="s">
        <v>160</v>
      </c>
      <c r="L1351" s="0" t="s">
        <v>2533</v>
      </c>
    </row>
    <row r="1352" customFormat="false" ht="15" hidden="false" customHeight="false" outlineLevel="0" collapsed="false">
      <c r="A1352" s="0" t="s">
        <v>2134</v>
      </c>
      <c r="B1352" s="0" t="s">
        <v>154</v>
      </c>
      <c r="C1352" s="0" t="s">
        <v>805</v>
      </c>
      <c r="D1352" s="0" t="s">
        <v>528</v>
      </c>
      <c r="E1352" s="0" t="s">
        <v>806</v>
      </c>
      <c r="F1352" s="0" t="n">
        <v>0</v>
      </c>
      <c r="G1352" s="0" t="n">
        <v>0</v>
      </c>
      <c r="H1352" s="0" t="s">
        <v>117</v>
      </c>
      <c r="K1352" s="0" t="s">
        <v>118</v>
      </c>
      <c r="L1352" s="0" t="s">
        <v>2534</v>
      </c>
    </row>
    <row r="1353" customFormat="false" ht="15" hidden="false" customHeight="false" outlineLevel="0" collapsed="false">
      <c r="A1353" s="0" t="s">
        <v>2134</v>
      </c>
      <c r="B1353" s="0" t="s">
        <v>154</v>
      </c>
      <c r="C1353" s="0" t="s">
        <v>805</v>
      </c>
      <c r="D1353" s="0" t="s">
        <v>531</v>
      </c>
      <c r="E1353" s="0" t="s">
        <v>808</v>
      </c>
      <c r="F1353" s="0" t="n">
        <v>4</v>
      </c>
      <c r="G1353" s="0" t="n">
        <v>0</v>
      </c>
      <c r="H1353" s="0" t="s">
        <v>122</v>
      </c>
      <c r="K1353" s="0" t="s">
        <v>123</v>
      </c>
      <c r="L1353" s="0" t="s">
        <v>2535</v>
      </c>
    </row>
    <row r="1354" customFormat="false" ht="15" hidden="false" customHeight="false" outlineLevel="0" collapsed="false">
      <c r="A1354" s="0" t="s">
        <v>2134</v>
      </c>
      <c r="B1354" s="0" t="s">
        <v>154</v>
      </c>
      <c r="C1354" s="0" t="s">
        <v>805</v>
      </c>
      <c r="D1354" s="0" t="s">
        <v>534</v>
      </c>
      <c r="E1354" s="0" t="s">
        <v>810</v>
      </c>
      <c r="F1354" s="0" t="n">
        <v>4</v>
      </c>
      <c r="G1354" s="0" t="n">
        <v>2</v>
      </c>
      <c r="H1354" s="0" t="s">
        <v>122</v>
      </c>
      <c r="I1354" s="0" t="s">
        <v>2180</v>
      </c>
      <c r="K1354" s="0" t="s">
        <v>127</v>
      </c>
      <c r="L1354" s="0" t="s">
        <v>2536</v>
      </c>
    </row>
    <row r="1355" customFormat="false" ht="15" hidden="false" customHeight="false" outlineLevel="0" collapsed="false">
      <c r="A1355" s="0" t="s">
        <v>2134</v>
      </c>
      <c r="B1355" s="0" t="s">
        <v>154</v>
      </c>
      <c r="C1355" s="0" t="s">
        <v>805</v>
      </c>
      <c r="D1355" s="0" t="s">
        <v>52</v>
      </c>
      <c r="E1355" s="0" t="s">
        <v>812</v>
      </c>
      <c r="F1355" s="0" t="n">
        <v>4</v>
      </c>
      <c r="G1355" s="0" t="n">
        <v>0</v>
      </c>
      <c r="H1355" s="0" t="s">
        <v>122</v>
      </c>
      <c r="K1355" s="0" t="s">
        <v>132</v>
      </c>
      <c r="L1355" s="0" t="s">
        <v>2537</v>
      </c>
    </row>
    <row r="1356" customFormat="false" ht="15" hidden="false" customHeight="false" outlineLevel="0" collapsed="false">
      <c r="A1356" s="0" t="s">
        <v>2134</v>
      </c>
      <c r="B1356" s="0" t="s">
        <v>154</v>
      </c>
      <c r="C1356" s="0" t="s">
        <v>805</v>
      </c>
      <c r="D1356" s="0" t="s">
        <v>55</v>
      </c>
      <c r="E1356" s="0" t="s">
        <v>814</v>
      </c>
      <c r="F1356" s="0" t="n">
        <v>4</v>
      </c>
      <c r="G1356" s="0" t="n">
        <v>3</v>
      </c>
      <c r="H1356" s="0" t="s">
        <v>122</v>
      </c>
      <c r="I1356" s="0" t="s">
        <v>2260</v>
      </c>
      <c r="K1356" s="0" t="s">
        <v>135</v>
      </c>
      <c r="L1356" s="0" t="s">
        <v>2538</v>
      </c>
    </row>
    <row r="1357" customFormat="false" ht="15" hidden="false" customHeight="false" outlineLevel="0" collapsed="false">
      <c r="A1357" s="0" t="s">
        <v>2134</v>
      </c>
      <c r="B1357" s="0" t="s">
        <v>154</v>
      </c>
      <c r="C1357" s="0" t="s">
        <v>805</v>
      </c>
      <c r="D1357" s="0" t="s">
        <v>58</v>
      </c>
      <c r="E1357" s="0" t="s">
        <v>816</v>
      </c>
      <c r="F1357" s="0" t="n">
        <v>0</v>
      </c>
      <c r="G1357" s="0" t="n">
        <v>0</v>
      </c>
      <c r="H1357" s="0" t="s">
        <v>117</v>
      </c>
      <c r="K1357" s="0" t="s">
        <v>138</v>
      </c>
      <c r="L1357" s="0" t="s">
        <v>2539</v>
      </c>
    </row>
    <row r="1358" customFormat="false" ht="15" hidden="false" customHeight="false" outlineLevel="0" collapsed="false">
      <c r="A1358" s="0" t="s">
        <v>2134</v>
      </c>
      <c r="B1358" s="0" t="s">
        <v>154</v>
      </c>
      <c r="C1358" s="0" t="s">
        <v>805</v>
      </c>
      <c r="D1358" s="0" t="s">
        <v>65</v>
      </c>
      <c r="E1358" s="0" t="s">
        <v>818</v>
      </c>
      <c r="F1358" s="0" t="n">
        <v>4</v>
      </c>
      <c r="G1358" s="0" t="n">
        <v>0</v>
      </c>
      <c r="H1358" s="0" t="s">
        <v>122</v>
      </c>
      <c r="K1358" s="0" t="s">
        <v>143</v>
      </c>
      <c r="L1358" s="0" t="s">
        <v>2540</v>
      </c>
    </row>
    <row r="1359" customFormat="false" ht="15" hidden="false" customHeight="false" outlineLevel="0" collapsed="false">
      <c r="A1359" s="0" t="s">
        <v>2134</v>
      </c>
      <c r="B1359" s="0" t="s">
        <v>154</v>
      </c>
      <c r="C1359" s="0" t="s">
        <v>805</v>
      </c>
      <c r="D1359" s="0" t="s">
        <v>69</v>
      </c>
      <c r="E1359" s="0" t="s">
        <v>820</v>
      </c>
      <c r="F1359" s="0" t="n">
        <v>4</v>
      </c>
      <c r="G1359" s="0" t="n">
        <v>4</v>
      </c>
      <c r="H1359" s="0" t="s">
        <v>117</v>
      </c>
      <c r="I1359" s="0" t="s">
        <v>2439</v>
      </c>
      <c r="K1359" s="0" t="s">
        <v>146</v>
      </c>
      <c r="L1359" s="0" t="s">
        <v>2541</v>
      </c>
    </row>
    <row r="1360" customFormat="false" ht="15" hidden="false" customHeight="false" outlineLevel="0" collapsed="false">
      <c r="A1360" s="0" t="s">
        <v>2134</v>
      </c>
      <c r="B1360" s="0" t="s">
        <v>154</v>
      </c>
      <c r="C1360" s="0" t="s">
        <v>805</v>
      </c>
      <c r="D1360" s="0" t="s">
        <v>72</v>
      </c>
      <c r="E1360" s="0" t="s">
        <v>822</v>
      </c>
      <c r="F1360" s="0" t="n">
        <v>4</v>
      </c>
      <c r="G1360" s="0" t="n">
        <v>4</v>
      </c>
      <c r="H1360" s="0" t="s">
        <v>117</v>
      </c>
      <c r="I1360" s="0" t="s">
        <v>2223</v>
      </c>
      <c r="K1360" s="0" t="s">
        <v>149</v>
      </c>
      <c r="L1360" s="0" t="s">
        <v>2542</v>
      </c>
    </row>
    <row r="1361" customFormat="false" ht="15" hidden="false" customHeight="false" outlineLevel="0" collapsed="false">
      <c r="A1361" s="0" t="s">
        <v>2134</v>
      </c>
      <c r="B1361" s="0" t="s">
        <v>154</v>
      </c>
      <c r="C1361" s="0" t="s">
        <v>805</v>
      </c>
      <c r="D1361" s="0" t="s">
        <v>75</v>
      </c>
      <c r="E1361" s="0" t="s">
        <v>824</v>
      </c>
      <c r="F1361" s="0" t="n">
        <v>4</v>
      </c>
      <c r="G1361" s="0" t="n">
        <v>4</v>
      </c>
      <c r="H1361" s="0" t="s">
        <v>117</v>
      </c>
      <c r="I1361" s="0" t="s">
        <v>2439</v>
      </c>
      <c r="K1361" s="0" t="s">
        <v>152</v>
      </c>
      <c r="L1361" s="0" t="s">
        <v>2543</v>
      </c>
    </row>
    <row r="1362" customFormat="false" ht="15" hidden="false" customHeight="false" outlineLevel="0" collapsed="false">
      <c r="A1362" s="0" t="s">
        <v>2134</v>
      </c>
      <c r="B1362" s="0" t="s">
        <v>154</v>
      </c>
      <c r="C1362" s="0" t="s">
        <v>805</v>
      </c>
      <c r="D1362" s="0" t="s">
        <v>78</v>
      </c>
      <c r="E1362" s="0" t="s">
        <v>826</v>
      </c>
      <c r="F1362" s="0" t="n">
        <v>4</v>
      </c>
      <c r="G1362" s="0" t="n">
        <v>4</v>
      </c>
      <c r="H1362" s="0" t="s">
        <v>117</v>
      </c>
      <c r="I1362" s="0" t="s">
        <v>2260</v>
      </c>
      <c r="K1362" s="0" t="s">
        <v>156</v>
      </c>
      <c r="L1362" s="0" t="s">
        <v>2544</v>
      </c>
    </row>
    <row r="1363" customFormat="false" ht="15" hidden="false" customHeight="false" outlineLevel="0" collapsed="false">
      <c r="A1363" s="0" t="s">
        <v>2134</v>
      </c>
      <c r="B1363" s="0" t="s">
        <v>154</v>
      </c>
      <c r="C1363" s="0" t="s">
        <v>805</v>
      </c>
      <c r="D1363" s="0" t="s">
        <v>81</v>
      </c>
      <c r="E1363" s="0" t="s">
        <v>828</v>
      </c>
      <c r="F1363" s="0" t="n">
        <v>4</v>
      </c>
      <c r="G1363" s="0" t="n">
        <v>4</v>
      </c>
      <c r="H1363" s="0" t="s">
        <v>117</v>
      </c>
      <c r="I1363" s="0" t="s">
        <v>2439</v>
      </c>
      <c r="K1363" s="0" t="s">
        <v>160</v>
      </c>
      <c r="L1363" s="0" t="s">
        <v>2545</v>
      </c>
    </row>
    <row r="1364" customFormat="false" ht="15" hidden="false" customHeight="false" outlineLevel="0" collapsed="false">
      <c r="A1364" s="0" t="s">
        <v>2134</v>
      </c>
      <c r="B1364" s="0" t="s">
        <v>154</v>
      </c>
      <c r="C1364" s="0" t="s">
        <v>830</v>
      </c>
      <c r="D1364" s="0" t="s">
        <v>528</v>
      </c>
      <c r="E1364" s="0" t="s">
        <v>831</v>
      </c>
      <c r="F1364" s="0" t="n">
        <v>0</v>
      </c>
      <c r="G1364" s="0" t="n">
        <v>0</v>
      </c>
      <c r="H1364" s="0" t="s">
        <v>117</v>
      </c>
      <c r="K1364" s="0" t="s">
        <v>118</v>
      </c>
      <c r="L1364" s="0" t="s">
        <v>2546</v>
      </c>
    </row>
    <row r="1365" customFormat="false" ht="15" hidden="false" customHeight="false" outlineLevel="0" collapsed="false">
      <c r="A1365" s="0" t="s">
        <v>2134</v>
      </c>
      <c r="B1365" s="0" t="s">
        <v>154</v>
      </c>
      <c r="C1365" s="0" t="s">
        <v>830</v>
      </c>
      <c r="D1365" s="0" t="s">
        <v>531</v>
      </c>
      <c r="E1365" s="0" t="s">
        <v>833</v>
      </c>
      <c r="F1365" s="0" t="n">
        <v>4</v>
      </c>
      <c r="G1365" s="0" t="n">
        <v>4</v>
      </c>
      <c r="H1365" s="0" t="s">
        <v>117</v>
      </c>
      <c r="I1365" s="0" t="s">
        <v>2260</v>
      </c>
      <c r="K1365" s="0" t="s">
        <v>123</v>
      </c>
      <c r="L1365" s="0" t="s">
        <v>2547</v>
      </c>
    </row>
    <row r="1366" customFormat="false" ht="15" hidden="false" customHeight="false" outlineLevel="0" collapsed="false">
      <c r="A1366" s="0" t="s">
        <v>2134</v>
      </c>
      <c r="B1366" s="0" t="s">
        <v>154</v>
      </c>
      <c r="C1366" s="0" t="s">
        <v>830</v>
      </c>
      <c r="D1366" s="0" t="s">
        <v>534</v>
      </c>
      <c r="E1366" s="0" t="s">
        <v>835</v>
      </c>
      <c r="F1366" s="0" t="n">
        <v>4</v>
      </c>
      <c r="G1366" s="0" t="n">
        <v>4</v>
      </c>
      <c r="H1366" s="0" t="s">
        <v>117</v>
      </c>
      <c r="I1366" s="0" t="s">
        <v>2439</v>
      </c>
      <c r="K1366" s="0" t="s">
        <v>127</v>
      </c>
      <c r="L1366" s="0" t="s">
        <v>2548</v>
      </c>
    </row>
    <row r="1367" customFormat="false" ht="15" hidden="false" customHeight="false" outlineLevel="0" collapsed="false">
      <c r="A1367" s="0" t="s">
        <v>2134</v>
      </c>
      <c r="B1367" s="0" t="s">
        <v>154</v>
      </c>
      <c r="C1367" s="0" t="s">
        <v>830</v>
      </c>
      <c r="D1367" s="0" t="s">
        <v>52</v>
      </c>
      <c r="E1367" s="0" t="s">
        <v>837</v>
      </c>
      <c r="F1367" s="0" t="n">
        <v>4</v>
      </c>
      <c r="G1367" s="0" t="n">
        <v>4</v>
      </c>
      <c r="H1367" s="0" t="s">
        <v>117</v>
      </c>
      <c r="I1367" s="0" t="s">
        <v>2439</v>
      </c>
      <c r="K1367" s="0" t="s">
        <v>132</v>
      </c>
      <c r="L1367" s="0" t="s">
        <v>2549</v>
      </c>
    </row>
    <row r="1368" customFormat="false" ht="15" hidden="false" customHeight="false" outlineLevel="0" collapsed="false">
      <c r="A1368" s="0" t="s">
        <v>2134</v>
      </c>
      <c r="B1368" s="0" t="s">
        <v>154</v>
      </c>
      <c r="C1368" s="0" t="s">
        <v>830</v>
      </c>
      <c r="D1368" s="0" t="s">
        <v>55</v>
      </c>
      <c r="E1368" s="0" t="s">
        <v>839</v>
      </c>
      <c r="F1368" s="0" t="n">
        <v>4</v>
      </c>
      <c r="G1368" s="0" t="n">
        <v>4</v>
      </c>
      <c r="H1368" s="0" t="s">
        <v>117</v>
      </c>
      <c r="I1368" s="0" t="s">
        <v>2138</v>
      </c>
      <c r="K1368" s="0" t="s">
        <v>135</v>
      </c>
      <c r="L1368" s="0" t="s">
        <v>2550</v>
      </c>
    </row>
    <row r="1369" customFormat="false" ht="15" hidden="false" customHeight="false" outlineLevel="0" collapsed="false">
      <c r="A1369" s="0" t="s">
        <v>2134</v>
      </c>
      <c r="B1369" s="0" t="s">
        <v>154</v>
      </c>
      <c r="C1369" s="0" t="s">
        <v>830</v>
      </c>
      <c r="D1369" s="0" t="s">
        <v>58</v>
      </c>
      <c r="E1369" s="0" t="s">
        <v>841</v>
      </c>
      <c r="F1369" s="0" t="n">
        <v>4</v>
      </c>
      <c r="G1369" s="0" t="n">
        <v>3</v>
      </c>
      <c r="H1369" s="0" t="s">
        <v>122</v>
      </c>
      <c r="I1369" s="0" t="s">
        <v>2138</v>
      </c>
      <c r="K1369" s="0" t="s">
        <v>138</v>
      </c>
      <c r="L1369" s="0" t="s">
        <v>2551</v>
      </c>
    </row>
    <row r="1370" customFormat="false" ht="15" hidden="false" customHeight="false" outlineLevel="0" collapsed="false">
      <c r="A1370" s="0" t="s">
        <v>2134</v>
      </c>
      <c r="B1370" s="0" t="s">
        <v>154</v>
      </c>
      <c r="C1370" s="0" t="s">
        <v>830</v>
      </c>
      <c r="D1370" s="0" t="s">
        <v>65</v>
      </c>
      <c r="E1370" s="0" t="s">
        <v>843</v>
      </c>
      <c r="F1370" s="0" t="n">
        <v>4</v>
      </c>
      <c r="G1370" s="0" t="n">
        <v>0</v>
      </c>
      <c r="H1370" s="0" t="s">
        <v>122</v>
      </c>
      <c r="K1370" s="0" t="s">
        <v>143</v>
      </c>
      <c r="L1370" s="0" t="s">
        <v>2552</v>
      </c>
    </row>
    <row r="1371" customFormat="false" ht="15" hidden="false" customHeight="false" outlineLevel="0" collapsed="false">
      <c r="A1371" s="0" t="s">
        <v>2134</v>
      </c>
      <c r="B1371" s="0" t="s">
        <v>154</v>
      </c>
      <c r="C1371" s="0" t="s">
        <v>830</v>
      </c>
      <c r="D1371" s="0" t="s">
        <v>69</v>
      </c>
      <c r="E1371" s="0" t="s">
        <v>845</v>
      </c>
      <c r="F1371" s="0" t="n">
        <v>4</v>
      </c>
      <c r="G1371" s="0" t="n">
        <v>4</v>
      </c>
      <c r="H1371" s="0" t="s">
        <v>117</v>
      </c>
      <c r="I1371" s="0" t="s">
        <v>2260</v>
      </c>
      <c r="K1371" s="0" t="s">
        <v>146</v>
      </c>
      <c r="L1371" s="0" t="s">
        <v>2553</v>
      </c>
    </row>
    <row r="1372" customFormat="false" ht="15" hidden="false" customHeight="false" outlineLevel="0" collapsed="false">
      <c r="A1372" s="0" t="s">
        <v>2134</v>
      </c>
      <c r="B1372" s="0" t="s">
        <v>154</v>
      </c>
      <c r="C1372" s="0" t="s">
        <v>830</v>
      </c>
      <c r="D1372" s="0" t="s">
        <v>72</v>
      </c>
      <c r="E1372" s="0" t="s">
        <v>847</v>
      </c>
      <c r="F1372" s="0" t="n">
        <v>4</v>
      </c>
      <c r="G1372" s="0" t="n">
        <v>3</v>
      </c>
      <c r="H1372" s="0" t="s">
        <v>122</v>
      </c>
      <c r="I1372" s="0" t="s">
        <v>2439</v>
      </c>
      <c r="K1372" s="0" t="s">
        <v>149</v>
      </c>
      <c r="L1372" s="0" t="s">
        <v>2554</v>
      </c>
    </row>
    <row r="1373" customFormat="false" ht="15" hidden="false" customHeight="false" outlineLevel="0" collapsed="false">
      <c r="A1373" s="0" t="s">
        <v>2134</v>
      </c>
      <c r="B1373" s="0" t="s">
        <v>154</v>
      </c>
      <c r="C1373" s="0" t="s">
        <v>830</v>
      </c>
      <c r="D1373" s="0" t="s">
        <v>75</v>
      </c>
      <c r="E1373" s="0" t="s">
        <v>849</v>
      </c>
      <c r="F1373" s="0" t="n">
        <v>4</v>
      </c>
      <c r="G1373" s="0" t="n">
        <v>4</v>
      </c>
      <c r="H1373" s="0" t="s">
        <v>117</v>
      </c>
      <c r="I1373" s="0" t="s">
        <v>2223</v>
      </c>
      <c r="K1373" s="0" t="s">
        <v>152</v>
      </c>
      <c r="L1373" s="0" t="s">
        <v>2555</v>
      </c>
    </row>
    <row r="1374" customFormat="false" ht="15" hidden="false" customHeight="false" outlineLevel="0" collapsed="false">
      <c r="A1374" s="0" t="s">
        <v>2134</v>
      </c>
      <c r="B1374" s="0" t="s">
        <v>154</v>
      </c>
      <c r="C1374" s="0" t="s">
        <v>830</v>
      </c>
      <c r="D1374" s="0" t="s">
        <v>78</v>
      </c>
      <c r="E1374" s="0" t="s">
        <v>851</v>
      </c>
      <c r="F1374" s="0" t="n">
        <v>4</v>
      </c>
      <c r="G1374" s="0" t="n">
        <v>4</v>
      </c>
      <c r="H1374" s="0" t="s">
        <v>117</v>
      </c>
      <c r="I1374" s="0" t="s">
        <v>2180</v>
      </c>
      <c r="K1374" s="0" t="s">
        <v>156</v>
      </c>
      <c r="L1374" s="0" t="s">
        <v>2556</v>
      </c>
    </row>
    <row r="1375" customFormat="false" ht="15" hidden="false" customHeight="false" outlineLevel="0" collapsed="false">
      <c r="A1375" s="0" t="s">
        <v>2134</v>
      </c>
      <c r="B1375" s="0" t="s">
        <v>154</v>
      </c>
      <c r="C1375" s="0" t="s">
        <v>830</v>
      </c>
      <c r="D1375" s="0" t="s">
        <v>81</v>
      </c>
      <c r="E1375" s="0" t="s">
        <v>853</v>
      </c>
      <c r="F1375" s="0" t="n">
        <v>4</v>
      </c>
      <c r="G1375" s="0" t="n">
        <v>4</v>
      </c>
      <c r="H1375" s="0" t="s">
        <v>117</v>
      </c>
      <c r="I1375" s="0" t="s">
        <v>2223</v>
      </c>
      <c r="K1375" s="0" t="s">
        <v>160</v>
      </c>
      <c r="L1375" s="0" t="s">
        <v>2557</v>
      </c>
    </row>
    <row r="1376" customFormat="false" ht="15" hidden="false" customHeight="false" outlineLevel="0" collapsed="false">
      <c r="A1376" s="0" t="s">
        <v>2134</v>
      </c>
      <c r="B1376" s="0" t="s">
        <v>154</v>
      </c>
      <c r="C1376" s="0" t="s">
        <v>855</v>
      </c>
      <c r="D1376" s="0" t="s">
        <v>528</v>
      </c>
      <c r="E1376" s="0" t="s">
        <v>856</v>
      </c>
      <c r="F1376" s="0" t="n">
        <v>0</v>
      </c>
      <c r="G1376" s="0" t="n">
        <v>0</v>
      </c>
      <c r="H1376" s="0" t="s">
        <v>117</v>
      </c>
      <c r="K1376" s="0" t="s">
        <v>118</v>
      </c>
      <c r="L1376" s="0" t="s">
        <v>2558</v>
      </c>
    </row>
    <row r="1377" customFormat="false" ht="15" hidden="false" customHeight="false" outlineLevel="0" collapsed="false">
      <c r="A1377" s="0" t="s">
        <v>2134</v>
      </c>
      <c r="B1377" s="0" t="s">
        <v>154</v>
      </c>
      <c r="C1377" s="0" t="s">
        <v>855</v>
      </c>
      <c r="D1377" s="0" t="s">
        <v>531</v>
      </c>
      <c r="E1377" s="0" t="s">
        <v>858</v>
      </c>
      <c r="F1377" s="0" t="n">
        <v>4</v>
      </c>
      <c r="G1377" s="0" t="n">
        <v>4</v>
      </c>
      <c r="H1377" s="0" t="s">
        <v>117</v>
      </c>
      <c r="I1377" s="0" t="s">
        <v>2138</v>
      </c>
      <c r="K1377" s="0" t="s">
        <v>123</v>
      </c>
      <c r="L1377" s="0" t="s">
        <v>2559</v>
      </c>
    </row>
    <row r="1378" customFormat="false" ht="15" hidden="false" customHeight="false" outlineLevel="0" collapsed="false">
      <c r="A1378" s="0" t="s">
        <v>2134</v>
      </c>
      <c r="B1378" s="0" t="s">
        <v>154</v>
      </c>
      <c r="C1378" s="0" t="s">
        <v>855</v>
      </c>
      <c r="D1378" s="0" t="s">
        <v>534</v>
      </c>
      <c r="E1378" s="0" t="s">
        <v>860</v>
      </c>
      <c r="F1378" s="0" t="n">
        <v>4</v>
      </c>
      <c r="G1378" s="0" t="n">
        <v>4</v>
      </c>
      <c r="H1378" s="0" t="s">
        <v>117</v>
      </c>
      <c r="I1378" s="0" t="s">
        <v>2138</v>
      </c>
      <c r="K1378" s="0" t="s">
        <v>127</v>
      </c>
      <c r="L1378" s="0" t="s">
        <v>2560</v>
      </c>
    </row>
    <row r="1379" customFormat="false" ht="15" hidden="false" customHeight="false" outlineLevel="0" collapsed="false">
      <c r="A1379" s="0" t="s">
        <v>2134</v>
      </c>
      <c r="B1379" s="0" t="s">
        <v>154</v>
      </c>
      <c r="C1379" s="0" t="s">
        <v>855</v>
      </c>
      <c r="D1379" s="0" t="s">
        <v>52</v>
      </c>
      <c r="E1379" s="0" t="s">
        <v>862</v>
      </c>
      <c r="F1379" s="0" t="n">
        <v>4</v>
      </c>
      <c r="G1379" s="0" t="n">
        <v>4</v>
      </c>
      <c r="H1379" s="0" t="s">
        <v>117</v>
      </c>
      <c r="I1379" s="0" t="s">
        <v>2218</v>
      </c>
      <c r="K1379" s="0" t="s">
        <v>132</v>
      </c>
      <c r="L1379" s="0" t="s">
        <v>2561</v>
      </c>
    </row>
    <row r="1380" customFormat="false" ht="15" hidden="false" customHeight="false" outlineLevel="0" collapsed="false">
      <c r="A1380" s="0" t="s">
        <v>2134</v>
      </c>
      <c r="B1380" s="0" t="s">
        <v>154</v>
      </c>
      <c r="C1380" s="0" t="s">
        <v>855</v>
      </c>
      <c r="D1380" s="0" t="s">
        <v>55</v>
      </c>
      <c r="E1380" s="0" t="s">
        <v>864</v>
      </c>
      <c r="F1380" s="0" t="n">
        <v>4</v>
      </c>
      <c r="G1380" s="0" t="n">
        <v>0</v>
      </c>
      <c r="H1380" s="0" t="s">
        <v>122</v>
      </c>
      <c r="K1380" s="0" t="s">
        <v>135</v>
      </c>
      <c r="L1380" s="0" t="s">
        <v>2562</v>
      </c>
    </row>
    <row r="1381" customFormat="false" ht="15" hidden="false" customHeight="false" outlineLevel="0" collapsed="false">
      <c r="A1381" s="0" t="s">
        <v>2134</v>
      </c>
      <c r="B1381" s="0" t="s">
        <v>154</v>
      </c>
      <c r="C1381" s="0" t="s">
        <v>855</v>
      </c>
      <c r="D1381" s="0" t="s">
        <v>58</v>
      </c>
      <c r="E1381" s="0" t="s">
        <v>866</v>
      </c>
      <c r="F1381" s="0" t="n">
        <v>4</v>
      </c>
      <c r="G1381" s="0" t="n">
        <v>3</v>
      </c>
      <c r="H1381" s="0" t="s">
        <v>122</v>
      </c>
      <c r="I1381" s="0" t="s">
        <v>2439</v>
      </c>
      <c r="K1381" s="0" t="s">
        <v>138</v>
      </c>
      <c r="L1381" s="0" t="s">
        <v>2563</v>
      </c>
    </row>
    <row r="1382" customFormat="false" ht="15" hidden="false" customHeight="false" outlineLevel="0" collapsed="false">
      <c r="A1382" s="0" t="s">
        <v>2134</v>
      </c>
      <c r="B1382" s="0" t="s">
        <v>154</v>
      </c>
      <c r="C1382" s="0" t="s">
        <v>855</v>
      </c>
      <c r="D1382" s="0" t="s">
        <v>65</v>
      </c>
      <c r="E1382" s="0" t="s">
        <v>868</v>
      </c>
      <c r="F1382" s="0" t="n">
        <v>4</v>
      </c>
      <c r="G1382" s="0" t="n">
        <v>4</v>
      </c>
      <c r="H1382" s="0" t="s">
        <v>117</v>
      </c>
      <c r="I1382" s="0" t="s">
        <v>2260</v>
      </c>
      <c r="K1382" s="0" t="s">
        <v>143</v>
      </c>
      <c r="L1382" s="0" t="s">
        <v>2564</v>
      </c>
    </row>
    <row r="1383" customFormat="false" ht="15" hidden="false" customHeight="false" outlineLevel="0" collapsed="false">
      <c r="A1383" s="0" t="s">
        <v>2134</v>
      </c>
      <c r="B1383" s="0" t="s">
        <v>154</v>
      </c>
      <c r="C1383" s="0" t="s">
        <v>855</v>
      </c>
      <c r="D1383" s="0" t="s">
        <v>69</v>
      </c>
      <c r="E1383" s="0" t="s">
        <v>870</v>
      </c>
      <c r="F1383" s="0" t="n">
        <v>4</v>
      </c>
      <c r="G1383" s="0" t="n">
        <v>3</v>
      </c>
      <c r="H1383" s="0" t="s">
        <v>122</v>
      </c>
      <c r="I1383" s="0" t="s">
        <v>2223</v>
      </c>
      <c r="K1383" s="0" t="s">
        <v>146</v>
      </c>
      <c r="L1383" s="0" t="s">
        <v>2565</v>
      </c>
    </row>
    <row r="1384" customFormat="false" ht="15" hidden="false" customHeight="false" outlineLevel="0" collapsed="false">
      <c r="A1384" s="0" t="s">
        <v>2134</v>
      </c>
      <c r="B1384" s="0" t="s">
        <v>154</v>
      </c>
      <c r="C1384" s="0" t="s">
        <v>855</v>
      </c>
      <c r="D1384" s="0" t="s">
        <v>72</v>
      </c>
      <c r="E1384" s="0" t="s">
        <v>872</v>
      </c>
      <c r="F1384" s="0" t="n">
        <v>4</v>
      </c>
      <c r="G1384" s="0" t="n">
        <v>4</v>
      </c>
      <c r="H1384" s="0" t="s">
        <v>117</v>
      </c>
      <c r="I1384" s="0" t="s">
        <v>2138</v>
      </c>
      <c r="K1384" s="0" t="s">
        <v>149</v>
      </c>
      <c r="L1384" s="0" t="s">
        <v>2566</v>
      </c>
    </row>
    <row r="1385" customFormat="false" ht="15" hidden="false" customHeight="false" outlineLevel="0" collapsed="false">
      <c r="A1385" s="0" t="s">
        <v>2134</v>
      </c>
      <c r="B1385" s="0" t="s">
        <v>154</v>
      </c>
      <c r="C1385" s="0" t="s">
        <v>855</v>
      </c>
      <c r="D1385" s="0" t="s">
        <v>75</v>
      </c>
      <c r="E1385" s="0" t="s">
        <v>874</v>
      </c>
      <c r="F1385" s="0" t="n">
        <v>4</v>
      </c>
      <c r="G1385" s="0" t="n">
        <v>4</v>
      </c>
      <c r="H1385" s="0" t="s">
        <v>117</v>
      </c>
      <c r="I1385" s="0" t="s">
        <v>2439</v>
      </c>
      <c r="K1385" s="0" t="s">
        <v>152</v>
      </c>
      <c r="L1385" s="0" t="s">
        <v>2567</v>
      </c>
    </row>
    <row r="1386" customFormat="false" ht="15" hidden="false" customHeight="false" outlineLevel="0" collapsed="false">
      <c r="A1386" s="0" t="s">
        <v>2134</v>
      </c>
      <c r="B1386" s="0" t="s">
        <v>154</v>
      </c>
      <c r="C1386" s="0" t="s">
        <v>855</v>
      </c>
      <c r="D1386" s="0" t="s">
        <v>78</v>
      </c>
      <c r="E1386" s="0" t="s">
        <v>876</v>
      </c>
      <c r="F1386" s="0" t="n">
        <v>4</v>
      </c>
      <c r="G1386" s="0" t="n">
        <v>3</v>
      </c>
      <c r="H1386" s="0" t="s">
        <v>122</v>
      </c>
      <c r="I1386" s="0" t="s">
        <v>2218</v>
      </c>
      <c r="K1386" s="0" t="s">
        <v>156</v>
      </c>
      <c r="L1386" s="0" t="s">
        <v>2568</v>
      </c>
    </row>
    <row r="1387" customFormat="false" ht="15" hidden="false" customHeight="false" outlineLevel="0" collapsed="false">
      <c r="A1387" s="0" t="s">
        <v>2134</v>
      </c>
      <c r="C1387" s="0" t="s">
        <v>855</v>
      </c>
      <c r="D1387" s="0" t="s">
        <v>81</v>
      </c>
      <c r="E1387" s="0" t="s">
        <v>2569</v>
      </c>
      <c r="F1387" s="0" t="n">
        <v>0</v>
      </c>
      <c r="G1387" s="0" t="n">
        <v>0</v>
      </c>
      <c r="H1387" s="0" t="s">
        <v>117</v>
      </c>
      <c r="K1387" s="0" t="s">
        <v>160</v>
      </c>
      <c r="L1387" s="0" t="s">
        <v>2570</v>
      </c>
    </row>
    <row r="1388" customFormat="false" ht="15" hidden="false" customHeight="false" outlineLevel="0" collapsed="false">
      <c r="A1388" s="0" t="s">
        <v>2134</v>
      </c>
      <c r="C1388" s="0" t="s">
        <v>881</v>
      </c>
      <c r="D1388" s="0" t="s">
        <v>528</v>
      </c>
      <c r="E1388" s="0" t="s">
        <v>882</v>
      </c>
      <c r="F1388" s="0" t="n">
        <v>0</v>
      </c>
      <c r="G1388" s="0" t="n">
        <v>0</v>
      </c>
      <c r="H1388" s="0" t="s">
        <v>117</v>
      </c>
      <c r="K1388" s="0" t="s">
        <v>118</v>
      </c>
      <c r="L1388" s="0" t="s">
        <v>2571</v>
      </c>
    </row>
    <row r="1389" customFormat="false" ht="15" hidden="false" customHeight="false" outlineLevel="0" collapsed="false">
      <c r="A1389" s="0" t="s">
        <v>2134</v>
      </c>
      <c r="C1389" s="0" t="s">
        <v>881</v>
      </c>
      <c r="D1389" s="0" t="s">
        <v>531</v>
      </c>
      <c r="E1389" s="0" t="s">
        <v>884</v>
      </c>
      <c r="F1389" s="0" t="n">
        <v>0</v>
      </c>
      <c r="G1389" s="0" t="n">
        <v>0</v>
      </c>
      <c r="H1389" s="0" t="s">
        <v>117</v>
      </c>
      <c r="K1389" s="0" t="s">
        <v>123</v>
      </c>
      <c r="L1389" s="0" t="s">
        <v>2572</v>
      </c>
    </row>
    <row r="1390" customFormat="false" ht="15" hidden="false" customHeight="false" outlineLevel="0" collapsed="false">
      <c r="A1390" s="0" t="s">
        <v>2134</v>
      </c>
      <c r="C1390" s="0" t="s">
        <v>881</v>
      </c>
      <c r="D1390" s="0" t="s">
        <v>534</v>
      </c>
      <c r="E1390" s="0" t="s">
        <v>886</v>
      </c>
      <c r="F1390" s="0" t="n">
        <v>0</v>
      </c>
      <c r="G1390" s="0" t="n">
        <v>0</v>
      </c>
      <c r="H1390" s="0" t="s">
        <v>117</v>
      </c>
      <c r="K1390" s="0" t="s">
        <v>127</v>
      </c>
      <c r="L1390" s="0" t="s">
        <v>2573</v>
      </c>
    </row>
    <row r="1391" customFormat="false" ht="15" hidden="false" customHeight="false" outlineLevel="0" collapsed="false">
      <c r="A1391" s="0" t="s">
        <v>2134</v>
      </c>
      <c r="C1391" s="0" t="s">
        <v>881</v>
      </c>
      <c r="D1391" s="0" t="s">
        <v>52</v>
      </c>
      <c r="E1391" s="0" t="s">
        <v>888</v>
      </c>
      <c r="F1391" s="0" t="n">
        <v>0</v>
      </c>
      <c r="G1391" s="0" t="n">
        <v>0</v>
      </c>
      <c r="H1391" s="0" t="s">
        <v>117</v>
      </c>
      <c r="K1391" s="0" t="s">
        <v>132</v>
      </c>
      <c r="L1391" s="0" t="s">
        <v>2574</v>
      </c>
    </row>
    <row r="1392" customFormat="false" ht="15" hidden="false" customHeight="false" outlineLevel="0" collapsed="false">
      <c r="A1392" s="0" t="s">
        <v>2134</v>
      </c>
      <c r="C1392" s="0" t="s">
        <v>881</v>
      </c>
      <c r="D1392" s="0" t="s">
        <v>55</v>
      </c>
      <c r="E1392" s="0" t="s">
        <v>890</v>
      </c>
      <c r="F1392" s="0" t="n">
        <v>0</v>
      </c>
      <c r="G1392" s="0" t="n">
        <v>0</v>
      </c>
      <c r="H1392" s="0" t="s">
        <v>117</v>
      </c>
      <c r="K1392" s="0" t="s">
        <v>135</v>
      </c>
      <c r="L1392" s="0" t="s">
        <v>2575</v>
      </c>
    </row>
    <row r="1393" customFormat="false" ht="15" hidden="false" customHeight="false" outlineLevel="0" collapsed="false">
      <c r="A1393" s="0" t="s">
        <v>2134</v>
      </c>
      <c r="C1393" s="0" t="s">
        <v>881</v>
      </c>
      <c r="D1393" s="0" t="s">
        <v>58</v>
      </c>
      <c r="E1393" s="0" t="s">
        <v>892</v>
      </c>
      <c r="F1393" s="0" t="n">
        <v>0</v>
      </c>
      <c r="G1393" s="0" t="n">
        <v>0</v>
      </c>
      <c r="H1393" s="0" t="s">
        <v>117</v>
      </c>
      <c r="K1393" s="0" t="s">
        <v>138</v>
      </c>
      <c r="L1393" s="0" t="s">
        <v>2576</v>
      </c>
    </row>
    <row r="1394" customFormat="false" ht="15" hidden="false" customHeight="false" outlineLevel="0" collapsed="false">
      <c r="A1394" s="0" t="s">
        <v>2134</v>
      </c>
      <c r="C1394" s="0" t="s">
        <v>881</v>
      </c>
      <c r="D1394" s="0" t="s">
        <v>65</v>
      </c>
      <c r="E1394" s="0" t="s">
        <v>894</v>
      </c>
      <c r="F1394" s="0" t="n">
        <v>0</v>
      </c>
      <c r="G1394" s="0" t="n">
        <v>0</v>
      </c>
      <c r="H1394" s="0" t="s">
        <v>117</v>
      </c>
      <c r="K1394" s="0" t="s">
        <v>143</v>
      </c>
      <c r="L1394" s="0" t="s">
        <v>2577</v>
      </c>
    </row>
    <row r="1395" customFormat="false" ht="15" hidden="false" customHeight="false" outlineLevel="0" collapsed="false">
      <c r="A1395" s="0" t="s">
        <v>2134</v>
      </c>
      <c r="C1395" s="0" t="s">
        <v>881</v>
      </c>
      <c r="D1395" s="0" t="s">
        <v>69</v>
      </c>
      <c r="E1395" s="0" t="s">
        <v>1936</v>
      </c>
      <c r="F1395" s="0" t="n">
        <v>0</v>
      </c>
      <c r="G1395" s="0" t="n">
        <v>0</v>
      </c>
      <c r="H1395" s="0" t="s">
        <v>117</v>
      </c>
      <c r="K1395" s="0" t="s">
        <v>146</v>
      </c>
      <c r="L1395" s="0" t="s">
        <v>2578</v>
      </c>
    </row>
    <row r="1396" customFormat="false" ht="15" hidden="false" customHeight="false" outlineLevel="0" collapsed="false">
      <c r="A1396" s="0" t="s">
        <v>2134</v>
      </c>
      <c r="C1396" s="0" t="s">
        <v>881</v>
      </c>
      <c r="D1396" s="0" t="s">
        <v>72</v>
      </c>
      <c r="E1396" s="0" t="s">
        <v>1938</v>
      </c>
      <c r="F1396" s="0" t="n">
        <v>0</v>
      </c>
      <c r="G1396" s="0" t="n">
        <v>0</v>
      </c>
      <c r="H1396" s="0" t="s">
        <v>117</v>
      </c>
      <c r="K1396" s="0" t="s">
        <v>149</v>
      </c>
      <c r="L1396" s="0" t="s">
        <v>2579</v>
      </c>
    </row>
    <row r="1397" customFormat="false" ht="15" hidden="false" customHeight="false" outlineLevel="0" collapsed="false">
      <c r="A1397" s="0" t="s">
        <v>2134</v>
      </c>
      <c r="C1397" s="0" t="s">
        <v>881</v>
      </c>
      <c r="D1397" s="0" t="s">
        <v>75</v>
      </c>
      <c r="E1397" s="0" t="s">
        <v>2580</v>
      </c>
      <c r="F1397" s="0" t="n">
        <v>0</v>
      </c>
      <c r="G1397" s="0" t="n">
        <v>0</v>
      </c>
      <c r="H1397" s="0" t="s">
        <v>117</v>
      </c>
      <c r="K1397" s="0" t="s">
        <v>152</v>
      </c>
      <c r="L1397" s="0" t="s">
        <v>2581</v>
      </c>
    </row>
    <row r="1398" customFormat="false" ht="15" hidden="false" customHeight="false" outlineLevel="0" collapsed="false">
      <c r="A1398" s="0" t="s">
        <v>2134</v>
      </c>
      <c r="B1398" s="0" t="s">
        <v>487</v>
      </c>
      <c r="C1398" s="0" t="s">
        <v>881</v>
      </c>
      <c r="D1398" s="0" t="s">
        <v>78</v>
      </c>
      <c r="E1398" s="0" t="s">
        <v>2582</v>
      </c>
      <c r="F1398" s="0" t="n">
        <v>4</v>
      </c>
      <c r="G1398" s="0" t="n">
        <v>1</v>
      </c>
      <c r="H1398" s="0" t="s">
        <v>122</v>
      </c>
      <c r="I1398" s="0" t="s">
        <v>2400</v>
      </c>
      <c r="K1398" s="0" t="s">
        <v>156</v>
      </c>
      <c r="L1398" s="0" t="s">
        <v>2583</v>
      </c>
    </row>
    <row r="1399" customFormat="false" ht="15" hidden="false" customHeight="false" outlineLevel="0" collapsed="false">
      <c r="A1399" s="0" t="s">
        <v>2134</v>
      </c>
      <c r="B1399" s="0" t="s">
        <v>487</v>
      </c>
      <c r="C1399" s="0" t="s">
        <v>881</v>
      </c>
      <c r="D1399" s="0" t="s">
        <v>81</v>
      </c>
      <c r="E1399" s="0" t="s">
        <v>2584</v>
      </c>
      <c r="F1399" s="0" t="n">
        <v>4</v>
      </c>
      <c r="G1399" s="0" t="n">
        <v>1</v>
      </c>
      <c r="H1399" s="0" t="s">
        <v>122</v>
      </c>
      <c r="I1399" s="0" t="s">
        <v>2400</v>
      </c>
      <c r="K1399" s="0" t="s">
        <v>160</v>
      </c>
      <c r="L1399" s="0" t="s">
        <v>2585</v>
      </c>
    </row>
    <row r="1400" customFormat="false" ht="15" hidden="false" customHeight="false" outlineLevel="0" collapsed="false">
      <c r="A1400" s="0" t="s">
        <v>2134</v>
      </c>
      <c r="C1400" s="0" t="s">
        <v>906</v>
      </c>
      <c r="D1400" s="0" t="s">
        <v>528</v>
      </c>
      <c r="E1400" s="0" t="s">
        <v>907</v>
      </c>
      <c r="F1400" s="0" t="n">
        <v>0</v>
      </c>
      <c r="G1400" s="0" t="n">
        <v>0</v>
      </c>
      <c r="H1400" s="0" t="s">
        <v>117</v>
      </c>
      <c r="K1400" s="0" t="s">
        <v>118</v>
      </c>
      <c r="L1400" s="0" t="s">
        <v>2586</v>
      </c>
    </row>
    <row r="1401" customFormat="false" ht="15" hidden="false" customHeight="false" outlineLevel="0" collapsed="false">
      <c r="A1401" s="0" t="s">
        <v>2134</v>
      </c>
      <c r="C1401" s="0" t="s">
        <v>906</v>
      </c>
      <c r="D1401" s="0" t="s">
        <v>531</v>
      </c>
      <c r="E1401" s="0" t="s">
        <v>909</v>
      </c>
      <c r="F1401" s="0" t="n">
        <v>0</v>
      </c>
      <c r="G1401" s="0" t="n">
        <v>0</v>
      </c>
      <c r="H1401" s="0" t="s">
        <v>117</v>
      </c>
      <c r="K1401" s="0" t="s">
        <v>123</v>
      </c>
      <c r="L1401" s="0" t="s">
        <v>2587</v>
      </c>
    </row>
    <row r="1402" customFormat="false" ht="15" hidden="false" customHeight="false" outlineLevel="0" collapsed="false">
      <c r="A1402" s="0" t="s">
        <v>2134</v>
      </c>
      <c r="C1402" s="0" t="s">
        <v>906</v>
      </c>
      <c r="D1402" s="0" t="s">
        <v>534</v>
      </c>
      <c r="E1402" s="0" t="s">
        <v>911</v>
      </c>
      <c r="F1402" s="0" t="n">
        <v>0</v>
      </c>
      <c r="G1402" s="0" t="n">
        <v>0</v>
      </c>
      <c r="H1402" s="0" t="s">
        <v>117</v>
      </c>
      <c r="K1402" s="0" t="s">
        <v>127</v>
      </c>
      <c r="L1402" s="0" t="s">
        <v>2588</v>
      </c>
    </row>
    <row r="1403" customFormat="false" ht="15" hidden="false" customHeight="false" outlineLevel="0" collapsed="false">
      <c r="A1403" s="0" t="s">
        <v>2134</v>
      </c>
      <c r="C1403" s="0" t="s">
        <v>906</v>
      </c>
      <c r="D1403" s="0" t="s">
        <v>52</v>
      </c>
      <c r="E1403" s="0" t="s">
        <v>913</v>
      </c>
      <c r="F1403" s="0" t="n">
        <v>0</v>
      </c>
      <c r="G1403" s="0" t="n">
        <v>0</v>
      </c>
      <c r="H1403" s="0" t="s">
        <v>117</v>
      </c>
      <c r="K1403" s="0" t="s">
        <v>132</v>
      </c>
      <c r="L1403" s="0" t="s">
        <v>2589</v>
      </c>
    </row>
    <row r="1404" customFormat="false" ht="15" hidden="false" customHeight="false" outlineLevel="0" collapsed="false">
      <c r="A1404" s="0" t="s">
        <v>2134</v>
      </c>
      <c r="C1404" s="0" t="s">
        <v>906</v>
      </c>
      <c r="D1404" s="0" t="s">
        <v>55</v>
      </c>
      <c r="E1404" s="0" t="s">
        <v>915</v>
      </c>
      <c r="F1404" s="0" t="n">
        <v>0</v>
      </c>
      <c r="G1404" s="0" t="n">
        <v>0</v>
      </c>
      <c r="H1404" s="0" t="s">
        <v>117</v>
      </c>
      <c r="K1404" s="0" t="s">
        <v>135</v>
      </c>
      <c r="L1404" s="0" t="s">
        <v>2590</v>
      </c>
    </row>
    <row r="1405" customFormat="false" ht="15" hidden="false" customHeight="false" outlineLevel="0" collapsed="false">
      <c r="A1405" s="0" t="s">
        <v>2134</v>
      </c>
      <c r="C1405" s="0" t="s">
        <v>906</v>
      </c>
      <c r="D1405" s="0" t="s">
        <v>58</v>
      </c>
      <c r="E1405" s="0" t="s">
        <v>917</v>
      </c>
      <c r="F1405" s="0" t="n">
        <v>0</v>
      </c>
      <c r="G1405" s="0" t="n">
        <v>0</v>
      </c>
      <c r="H1405" s="0" t="s">
        <v>117</v>
      </c>
      <c r="K1405" s="0" t="s">
        <v>138</v>
      </c>
      <c r="L1405" s="0" t="s">
        <v>2591</v>
      </c>
    </row>
    <row r="1406" customFormat="false" ht="15" hidden="false" customHeight="false" outlineLevel="0" collapsed="false">
      <c r="A1406" s="0" t="s">
        <v>2134</v>
      </c>
      <c r="C1406" s="0" t="s">
        <v>906</v>
      </c>
      <c r="D1406" s="0" t="s">
        <v>65</v>
      </c>
      <c r="E1406" s="0" t="s">
        <v>919</v>
      </c>
      <c r="F1406" s="0" t="n">
        <v>0</v>
      </c>
      <c r="G1406" s="0" t="n">
        <v>0</v>
      </c>
      <c r="H1406" s="0" t="s">
        <v>117</v>
      </c>
      <c r="K1406" s="0" t="s">
        <v>143</v>
      </c>
      <c r="L1406" s="0" t="s">
        <v>2592</v>
      </c>
    </row>
    <row r="1407" customFormat="false" ht="15" hidden="false" customHeight="false" outlineLevel="0" collapsed="false">
      <c r="A1407" s="0" t="s">
        <v>2134</v>
      </c>
      <c r="C1407" s="0" t="s">
        <v>906</v>
      </c>
      <c r="D1407" s="0" t="s">
        <v>69</v>
      </c>
      <c r="E1407" s="0" t="s">
        <v>1952</v>
      </c>
      <c r="F1407" s="0" t="n">
        <v>0</v>
      </c>
      <c r="G1407" s="0" t="n">
        <v>0</v>
      </c>
      <c r="H1407" s="0" t="s">
        <v>117</v>
      </c>
      <c r="K1407" s="0" t="s">
        <v>146</v>
      </c>
      <c r="L1407" s="0" t="s">
        <v>2593</v>
      </c>
    </row>
    <row r="1408" customFormat="false" ht="15" hidden="false" customHeight="false" outlineLevel="0" collapsed="false">
      <c r="A1408" s="0" t="s">
        <v>2134</v>
      </c>
      <c r="C1408" s="0" t="s">
        <v>906</v>
      </c>
      <c r="D1408" s="0" t="s">
        <v>72</v>
      </c>
      <c r="E1408" s="0" t="s">
        <v>923</v>
      </c>
      <c r="F1408" s="0" t="n">
        <v>0</v>
      </c>
      <c r="G1408" s="0" t="n">
        <v>0</v>
      </c>
      <c r="H1408" s="0" t="s">
        <v>117</v>
      </c>
      <c r="K1408" s="0" t="s">
        <v>149</v>
      </c>
      <c r="L1408" s="0" t="s">
        <v>2594</v>
      </c>
    </row>
    <row r="1409" customFormat="false" ht="15" hidden="false" customHeight="false" outlineLevel="0" collapsed="false">
      <c r="A1409" s="0" t="s">
        <v>2134</v>
      </c>
      <c r="C1409" s="0" t="s">
        <v>906</v>
      </c>
      <c r="D1409" s="0" t="s">
        <v>75</v>
      </c>
      <c r="E1409" s="0" t="s">
        <v>1956</v>
      </c>
      <c r="F1409" s="0" t="n">
        <v>0</v>
      </c>
      <c r="G1409" s="0" t="n">
        <v>0</v>
      </c>
      <c r="H1409" s="0" t="s">
        <v>117</v>
      </c>
      <c r="K1409" s="0" t="s">
        <v>152</v>
      </c>
      <c r="L1409" s="0" t="s">
        <v>2595</v>
      </c>
    </row>
    <row r="1410" customFormat="false" ht="15" hidden="false" customHeight="false" outlineLevel="0" collapsed="false">
      <c r="A1410" s="0" t="s">
        <v>2134</v>
      </c>
      <c r="B1410" s="0" t="s">
        <v>487</v>
      </c>
      <c r="C1410" s="0" t="s">
        <v>906</v>
      </c>
      <c r="D1410" s="0" t="s">
        <v>78</v>
      </c>
      <c r="E1410" s="0" t="s">
        <v>2596</v>
      </c>
      <c r="F1410" s="0" t="n">
        <v>0</v>
      </c>
      <c r="G1410" s="0" t="n">
        <v>4</v>
      </c>
      <c r="H1410" s="0" t="s">
        <v>117</v>
      </c>
      <c r="I1410" s="0" t="s">
        <v>2218</v>
      </c>
      <c r="K1410" s="0" t="s">
        <v>156</v>
      </c>
      <c r="L1410" s="0" t="s">
        <v>2597</v>
      </c>
    </row>
    <row r="1411" customFormat="false" ht="15" hidden="false" customHeight="false" outlineLevel="0" collapsed="false">
      <c r="A1411" s="0" t="s">
        <v>2134</v>
      </c>
      <c r="B1411" s="0" t="s">
        <v>487</v>
      </c>
      <c r="C1411" s="0" t="s">
        <v>906</v>
      </c>
      <c r="D1411" s="0" t="s">
        <v>81</v>
      </c>
      <c r="E1411" s="0" t="s">
        <v>2598</v>
      </c>
      <c r="F1411" s="0" t="n">
        <v>0</v>
      </c>
      <c r="G1411" s="0" t="n">
        <v>1</v>
      </c>
      <c r="H1411" s="0" t="s">
        <v>117</v>
      </c>
      <c r="I1411" s="0" t="s">
        <v>2218</v>
      </c>
      <c r="K1411" s="0" t="s">
        <v>160</v>
      </c>
      <c r="L1411" s="0" t="s">
        <v>2599</v>
      </c>
    </row>
    <row r="1412" customFormat="false" ht="15" hidden="false" customHeight="false" outlineLevel="0" collapsed="false">
      <c r="A1412" s="0" t="s">
        <v>2134</v>
      </c>
      <c r="C1412" s="0" t="s">
        <v>931</v>
      </c>
      <c r="D1412" s="0" t="s">
        <v>528</v>
      </c>
      <c r="E1412" s="0" t="s">
        <v>932</v>
      </c>
      <c r="F1412" s="0" t="n">
        <v>0</v>
      </c>
      <c r="G1412" s="0" t="n">
        <v>0</v>
      </c>
      <c r="H1412" s="0" t="s">
        <v>117</v>
      </c>
      <c r="K1412" s="0" t="s">
        <v>118</v>
      </c>
      <c r="L1412" s="0" t="s">
        <v>2600</v>
      </c>
    </row>
    <row r="1413" customFormat="false" ht="15" hidden="false" customHeight="false" outlineLevel="0" collapsed="false">
      <c r="A1413" s="0" t="s">
        <v>2134</v>
      </c>
      <c r="C1413" s="0" t="s">
        <v>931</v>
      </c>
      <c r="D1413" s="0" t="s">
        <v>531</v>
      </c>
      <c r="E1413" s="0" t="s">
        <v>934</v>
      </c>
      <c r="F1413" s="0" t="n">
        <v>0</v>
      </c>
      <c r="G1413" s="0" t="n">
        <v>0</v>
      </c>
      <c r="H1413" s="0" t="s">
        <v>117</v>
      </c>
      <c r="K1413" s="0" t="s">
        <v>123</v>
      </c>
      <c r="L1413" s="0" t="s">
        <v>2601</v>
      </c>
    </row>
    <row r="1414" customFormat="false" ht="15" hidden="false" customHeight="false" outlineLevel="0" collapsed="false">
      <c r="A1414" s="0" t="s">
        <v>2134</v>
      </c>
      <c r="C1414" s="0" t="s">
        <v>931</v>
      </c>
      <c r="D1414" s="0" t="s">
        <v>534</v>
      </c>
      <c r="E1414" s="0" t="s">
        <v>936</v>
      </c>
      <c r="F1414" s="0" t="n">
        <v>0</v>
      </c>
      <c r="G1414" s="0" t="n">
        <v>0</v>
      </c>
      <c r="H1414" s="0" t="s">
        <v>117</v>
      </c>
      <c r="K1414" s="0" t="s">
        <v>127</v>
      </c>
      <c r="L1414" s="0" t="s">
        <v>2602</v>
      </c>
    </row>
    <row r="1415" customFormat="false" ht="15" hidden="false" customHeight="false" outlineLevel="0" collapsed="false">
      <c r="A1415" s="0" t="s">
        <v>2134</v>
      </c>
      <c r="C1415" s="0" t="s">
        <v>931</v>
      </c>
      <c r="D1415" s="0" t="s">
        <v>52</v>
      </c>
      <c r="E1415" s="0" t="s">
        <v>938</v>
      </c>
      <c r="F1415" s="0" t="n">
        <v>0</v>
      </c>
      <c r="G1415" s="0" t="n">
        <v>0</v>
      </c>
      <c r="H1415" s="0" t="s">
        <v>117</v>
      </c>
      <c r="K1415" s="0" t="s">
        <v>132</v>
      </c>
      <c r="L1415" s="0" t="s">
        <v>2603</v>
      </c>
    </row>
    <row r="1416" customFormat="false" ht="15" hidden="false" customHeight="false" outlineLevel="0" collapsed="false">
      <c r="A1416" s="0" t="s">
        <v>2134</v>
      </c>
      <c r="C1416" s="0" t="s">
        <v>931</v>
      </c>
      <c r="D1416" s="0" t="s">
        <v>55</v>
      </c>
      <c r="E1416" s="0" t="s">
        <v>940</v>
      </c>
      <c r="F1416" s="0" t="n">
        <v>0</v>
      </c>
      <c r="G1416" s="0" t="n">
        <v>0</v>
      </c>
      <c r="H1416" s="0" t="s">
        <v>117</v>
      </c>
      <c r="K1416" s="0" t="s">
        <v>135</v>
      </c>
      <c r="L1416" s="0" t="s">
        <v>2604</v>
      </c>
    </row>
    <row r="1417" customFormat="false" ht="15" hidden="false" customHeight="false" outlineLevel="0" collapsed="false">
      <c r="A1417" s="0" t="s">
        <v>2134</v>
      </c>
      <c r="C1417" s="0" t="s">
        <v>931</v>
      </c>
      <c r="D1417" s="0" t="s">
        <v>58</v>
      </c>
      <c r="E1417" s="0" t="s">
        <v>942</v>
      </c>
      <c r="F1417" s="0" t="n">
        <v>0</v>
      </c>
      <c r="G1417" s="0" t="n">
        <v>0</v>
      </c>
      <c r="H1417" s="0" t="s">
        <v>117</v>
      </c>
      <c r="K1417" s="0" t="s">
        <v>138</v>
      </c>
      <c r="L1417" s="0" t="s">
        <v>2605</v>
      </c>
    </row>
    <row r="1418" customFormat="false" ht="15" hidden="false" customHeight="false" outlineLevel="0" collapsed="false">
      <c r="A1418" s="0" t="s">
        <v>2134</v>
      </c>
      <c r="C1418" s="0" t="s">
        <v>931</v>
      </c>
      <c r="D1418" s="0" t="s">
        <v>65</v>
      </c>
      <c r="E1418" s="0" t="s">
        <v>1966</v>
      </c>
      <c r="F1418" s="0" t="n">
        <v>0</v>
      </c>
      <c r="G1418" s="0" t="n">
        <v>0</v>
      </c>
      <c r="H1418" s="0" t="s">
        <v>117</v>
      </c>
      <c r="K1418" s="0" t="s">
        <v>143</v>
      </c>
      <c r="L1418" s="0" t="s">
        <v>2606</v>
      </c>
    </row>
    <row r="1419" customFormat="false" ht="15" hidden="false" customHeight="false" outlineLevel="0" collapsed="false">
      <c r="A1419" s="0" t="s">
        <v>2134</v>
      </c>
      <c r="B1419" s="0" t="s">
        <v>487</v>
      </c>
      <c r="C1419" s="0" t="s">
        <v>931</v>
      </c>
      <c r="D1419" s="0" t="s">
        <v>69</v>
      </c>
      <c r="E1419" s="0" t="s">
        <v>2607</v>
      </c>
      <c r="F1419" s="0" t="n">
        <v>0</v>
      </c>
      <c r="G1419" s="0" t="n">
        <v>1</v>
      </c>
      <c r="H1419" s="0" t="s">
        <v>117</v>
      </c>
      <c r="I1419" s="0" t="s">
        <v>2400</v>
      </c>
      <c r="K1419" s="0" t="s">
        <v>146</v>
      </c>
      <c r="L1419" s="0" t="s">
        <v>2608</v>
      </c>
    </row>
    <row r="1420" customFormat="false" ht="15" hidden="false" customHeight="false" outlineLevel="0" collapsed="false">
      <c r="A1420" s="0" t="s">
        <v>2134</v>
      </c>
      <c r="B1420" s="0" t="s">
        <v>2609</v>
      </c>
      <c r="C1420" s="0" t="s">
        <v>931</v>
      </c>
      <c r="D1420" s="0" t="s">
        <v>72</v>
      </c>
      <c r="E1420" s="0" t="s">
        <v>2610</v>
      </c>
      <c r="F1420" s="0" t="n">
        <v>0</v>
      </c>
      <c r="G1420" s="0" t="n">
        <v>1</v>
      </c>
      <c r="H1420" s="0" t="s">
        <v>117</v>
      </c>
      <c r="I1420" s="0" t="s">
        <v>2180</v>
      </c>
      <c r="K1420" s="0" t="s">
        <v>149</v>
      </c>
      <c r="L1420" s="0" t="s">
        <v>2611</v>
      </c>
    </row>
    <row r="1421" customFormat="false" ht="15" hidden="false" customHeight="false" outlineLevel="0" collapsed="false">
      <c r="A1421" s="0" t="s">
        <v>2134</v>
      </c>
      <c r="B1421" s="0" t="s">
        <v>487</v>
      </c>
      <c r="C1421" s="0" t="s">
        <v>931</v>
      </c>
      <c r="D1421" s="0" t="s">
        <v>75</v>
      </c>
      <c r="E1421" s="0" t="s">
        <v>2612</v>
      </c>
      <c r="F1421" s="0" t="n">
        <v>4</v>
      </c>
      <c r="G1421" s="0" t="n">
        <v>4</v>
      </c>
      <c r="H1421" s="0" t="s">
        <v>117</v>
      </c>
      <c r="I1421" s="0" t="s">
        <v>2180</v>
      </c>
      <c r="K1421" s="0" t="s">
        <v>152</v>
      </c>
      <c r="L1421" s="0" t="s">
        <v>2613</v>
      </c>
    </row>
    <row r="1422" customFormat="false" ht="15" hidden="false" customHeight="false" outlineLevel="0" collapsed="false">
      <c r="A1422" s="0" t="s">
        <v>2134</v>
      </c>
      <c r="C1422" s="0" t="s">
        <v>931</v>
      </c>
      <c r="D1422" s="0" t="s">
        <v>78</v>
      </c>
      <c r="E1422" s="0" t="s">
        <v>1972</v>
      </c>
      <c r="F1422" s="0" t="n">
        <v>0</v>
      </c>
      <c r="G1422" s="0" t="n">
        <v>0</v>
      </c>
      <c r="H1422" s="0" t="s">
        <v>117</v>
      </c>
      <c r="K1422" s="0" t="s">
        <v>156</v>
      </c>
      <c r="L1422" s="0" t="s">
        <v>2614</v>
      </c>
    </row>
    <row r="1423" customFormat="false" ht="15" hidden="false" customHeight="false" outlineLevel="0" collapsed="false">
      <c r="A1423" s="0" t="s">
        <v>2134</v>
      </c>
      <c r="C1423" s="0" t="s">
        <v>931</v>
      </c>
      <c r="D1423" s="0" t="s">
        <v>81</v>
      </c>
      <c r="E1423" s="0" t="s">
        <v>2615</v>
      </c>
      <c r="F1423" s="0" t="n">
        <v>0</v>
      </c>
      <c r="G1423" s="0" t="n">
        <v>0</v>
      </c>
      <c r="H1423" s="0" t="s">
        <v>117</v>
      </c>
      <c r="K1423" s="0" t="s">
        <v>160</v>
      </c>
      <c r="L1423" s="0" t="s">
        <v>2616</v>
      </c>
    </row>
    <row r="1424" customFormat="false" ht="15" hidden="false" customHeight="false" outlineLevel="0" collapsed="false">
      <c r="A1424" s="0" t="s">
        <v>2134</v>
      </c>
      <c r="C1424" s="0" t="s">
        <v>956</v>
      </c>
      <c r="D1424" s="0" t="s">
        <v>528</v>
      </c>
      <c r="E1424" s="0" t="s">
        <v>957</v>
      </c>
      <c r="F1424" s="0" t="n">
        <v>0</v>
      </c>
      <c r="G1424" s="0" t="n">
        <v>0</v>
      </c>
      <c r="H1424" s="0" t="s">
        <v>117</v>
      </c>
      <c r="K1424" s="0" t="s">
        <v>118</v>
      </c>
      <c r="L1424" s="0" t="s">
        <v>2617</v>
      </c>
    </row>
    <row r="1425" customFormat="false" ht="15" hidden="false" customHeight="false" outlineLevel="0" collapsed="false">
      <c r="A1425" s="0" t="s">
        <v>2134</v>
      </c>
      <c r="C1425" s="0" t="s">
        <v>956</v>
      </c>
      <c r="D1425" s="0" t="s">
        <v>531</v>
      </c>
      <c r="E1425" s="0" t="s">
        <v>959</v>
      </c>
      <c r="F1425" s="0" t="n">
        <v>0</v>
      </c>
      <c r="G1425" s="0" t="n">
        <v>0</v>
      </c>
      <c r="H1425" s="0" t="s">
        <v>117</v>
      </c>
      <c r="K1425" s="0" t="s">
        <v>123</v>
      </c>
      <c r="L1425" s="0" t="s">
        <v>2618</v>
      </c>
    </row>
    <row r="1426" customFormat="false" ht="15" hidden="false" customHeight="false" outlineLevel="0" collapsed="false">
      <c r="A1426" s="0" t="s">
        <v>2134</v>
      </c>
      <c r="C1426" s="0" t="s">
        <v>956</v>
      </c>
      <c r="D1426" s="0" t="s">
        <v>534</v>
      </c>
      <c r="E1426" s="0" t="s">
        <v>961</v>
      </c>
      <c r="F1426" s="0" t="n">
        <v>0</v>
      </c>
      <c r="G1426" s="0" t="n">
        <v>0</v>
      </c>
      <c r="H1426" s="0" t="s">
        <v>117</v>
      </c>
      <c r="K1426" s="0" t="s">
        <v>127</v>
      </c>
      <c r="L1426" s="0" t="s">
        <v>2619</v>
      </c>
    </row>
    <row r="1427" customFormat="false" ht="15" hidden="false" customHeight="false" outlineLevel="0" collapsed="false">
      <c r="A1427" s="0" t="s">
        <v>2134</v>
      </c>
      <c r="C1427" s="0" t="s">
        <v>956</v>
      </c>
      <c r="D1427" s="0" t="s">
        <v>52</v>
      </c>
      <c r="E1427" s="0" t="s">
        <v>963</v>
      </c>
      <c r="F1427" s="0" t="n">
        <v>0</v>
      </c>
      <c r="G1427" s="0" t="n">
        <v>0</v>
      </c>
      <c r="H1427" s="0" t="s">
        <v>117</v>
      </c>
      <c r="K1427" s="0" t="s">
        <v>132</v>
      </c>
      <c r="L1427" s="0" t="s">
        <v>2620</v>
      </c>
    </row>
    <row r="1428" customFormat="false" ht="15" hidden="false" customHeight="false" outlineLevel="0" collapsed="false">
      <c r="A1428" s="0" t="s">
        <v>2134</v>
      </c>
      <c r="B1428" s="0" t="s">
        <v>2609</v>
      </c>
      <c r="C1428" s="0" t="s">
        <v>956</v>
      </c>
      <c r="D1428" s="0" t="s">
        <v>55</v>
      </c>
      <c r="E1428" s="0" t="s">
        <v>2621</v>
      </c>
      <c r="F1428" s="0" t="n">
        <v>0</v>
      </c>
      <c r="G1428" s="0" t="n">
        <v>1</v>
      </c>
      <c r="H1428" s="0" t="s">
        <v>117</v>
      </c>
      <c r="I1428" s="0" t="s">
        <v>2439</v>
      </c>
      <c r="K1428" s="0" t="s">
        <v>135</v>
      </c>
      <c r="L1428" s="0" t="s">
        <v>2622</v>
      </c>
    </row>
    <row r="1429" customFormat="false" ht="15" hidden="false" customHeight="false" outlineLevel="0" collapsed="false">
      <c r="A1429" s="0" t="s">
        <v>2134</v>
      </c>
      <c r="C1429" s="0" t="s">
        <v>956</v>
      </c>
      <c r="D1429" s="0" t="s">
        <v>58</v>
      </c>
      <c r="E1429" s="0" t="s">
        <v>967</v>
      </c>
      <c r="F1429" s="0" t="n">
        <v>0</v>
      </c>
      <c r="G1429" s="0" t="n">
        <v>0</v>
      </c>
      <c r="H1429" s="0" t="s">
        <v>117</v>
      </c>
      <c r="K1429" s="0" t="s">
        <v>138</v>
      </c>
      <c r="L1429" s="0" t="s">
        <v>2623</v>
      </c>
    </row>
    <row r="1430" customFormat="false" ht="15" hidden="false" customHeight="false" outlineLevel="0" collapsed="false">
      <c r="A1430" s="0" t="s">
        <v>2134</v>
      </c>
      <c r="C1430" s="0" t="s">
        <v>956</v>
      </c>
      <c r="D1430" s="0" t="s">
        <v>65</v>
      </c>
      <c r="E1430" s="0" t="s">
        <v>2624</v>
      </c>
      <c r="F1430" s="0" t="n">
        <v>0</v>
      </c>
      <c r="G1430" s="0" t="n">
        <v>0</v>
      </c>
      <c r="H1430" s="0" t="s">
        <v>117</v>
      </c>
      <c r="K1430" s="0" t="s">
        <v>143</v>
      </c>
      <c r="L1430" s="0" t="s">
        <v>2625</v>
      </c>
    </row>
    <row r="1431" customFormat="false" ht="15" hidden="false" customHeight="false" outlineLevel="0" collapsed="false">
      <c r="A1431" s="0" t="s">
        <v>2134</v>
      </c>
      <c r="C1431" s="0" t="s">
        <v>956</v>
      </c>
      <c r="D1431" s="0" t="s">
        <v>69</v>
      </c>
      <c r="E1431" s="0" t="s">
        <v>1982</v>
      </c>
      <c r="F1431" s="0" t="n">
        <v>0</v>
      </c>
      <c r="G1431" s="0" t="n">
        <v>0</v>
      </c>
      <c r="H1431" s="0" t="s">
        <v>117</v>
      </c>
      <c r="K1431" s="0" t="s">
        <v>146</v>
      </c>
      <c r="L1431" s="0" t="s">
        <v>2626</v>
      </c>
    </row>
    <row r="1432" customFormat="false" ht="15" hidden="false" customHeight="false" outlineLevel="0" collapsed="false">
      <c r="A1432" s="0" t="s">
        <v>2134</v>
      </c>
      <c r="C1432" s="0" t="s">
        <v>956</v>
      </c>
      <c r="D1432" s="0" t="s">
        <v>72</v>
      </c>
      <c r="E1432" s="0" t="s">
        <v>973</v>
      </c>
      <c r="F1432" s="0" t="n">
        <v>0</v>
      </c>
      <c r="G1432" s="0" t="n">
        <v>0</v>
      </c>
      <c r="H1432" s="0" t="s">
        <v>117</v>
      </c>
      <c r="K1432" s="0" t="s">
        <v>149</v>
      </c>
      <c r="L1432" s="0" t="s">
        <v>2627</v>
      </c>
    </row>
    <row r="1433" customFormat="false" ht="15" hidden="false" customHeight="false" outlineLevel="0" collapsed="false">
      <c r="A1433" s="0" t="s">
        <v>2134</v>
      </c>
      <c r="C1433" s="0" t="s">
        <v>956</v>
      </c>
      <c r="D1433" s="0" t="s">
        <v>75</v>
      </c>
      <c r="E1433" s="0" t="s">
        <v>1985</v>
      </c>
      <c r="F1433" s="0" t="n">
        <v>0</v>
      </c>
      <c r="G1433" s="0" t="n">
        <v>0</v>
      </c>
      <c r="H1433" s="0" t="s">
        <v>117</v>
      </c>
      <c r="K1433" s="0" t="s">
        <v>152</v>
      </c>
      <c r="L1433" s="0" t="s">
        <v>2628</v>
      </c>
    </row>
    <row r="1434" customFormat="false" ht="15" hidden="false" customHeight="false" outlineLevel="0" collapsed="false">
      <c r="A1434" s="0" t="s">
        <v>2134</v>
      </c>
      <c r="B1434" s="0" t="s">
        <v>487</v>
      </c>
      <c r="C1434" s="0" t="s">
        <v>956</v>
      </c>
      <c r="D1434" s="0" t="s">
        <v>78</v>
      </c>
      <c r="E1434" s="0" t="s">
        <v>2629</v>
      </c>
      <c r="F1434" s="0" t="n">
        <v>0</v>
      </c>
      <c r="G1434" s="0" t="n">
        <v>4</v>
      </c>
      <c r="H1434" s="0" t="s">
        <v>117</v>
      </c>
      <c r="I1434" s="0" t="s">
        <v>2260</v>
      </c>
      <c r="K1434" s="0" t="s">
        <v>156</v>
      </c>
      <c r="L1434" s="0" t="s">
        <v>2630</v>
      </c>
    </row>
    <row r="1435" customFormat="false" ht="15" hidden="false" customHeight="false" outlineLevel="0" collapsed="false">
      <c r="A1435" s="0" t="s">
        <v>2134</v>
      </c>
      <c r="B1435" s="0" t="s">
        <v>487</v>
      </c>
      <c r="C1435" s="0" t="s">
        <v>956</v>
      </c>
      <c r="D1435" s="0" t="s">
        <v>81</v>
      </c>
      <c r="E1435" s="0" t="s">
        <v>2631</v>
      </c>
      <c r="F1435" s="0" t="n">
        <v>0</v>
      </c>
      <c r="G1435" s="0" t="n">
        <v>4</v>
      </c>
      <c r="H1435" s="0" t="s">
        <v>117</v>
      </c>
      <c r="I1435" s="0" t="s">
        <v>2260</v>
      </c>
      <c r="K1435" s="0" t="s">
        <v>160</v>
      </c>
      <c r="L1435" s="0" t="s">
        <v>2632</v>
      </c>
    </row>
    <row r="1436" customFormat="false" ht="15" hidden="false" customHeight="false" outlineLevel="0" collapsed="false">
      <c r="A1436" s="0" t="s">
        <v>2134</v>
      </c>
      <c r="C1436" s="0" t="s">
        <v>981</v>
      </c>
      <c r="D1436" s="0" t="s">
        <v>528</v>
      </c>
      <c r="E1436" s="0" t="s">
        <v>982</v>
      </c>
      <c r="F1436" s="0" t="n">
        <v>0</v>
      </c>
      <c r="G1436" s="0" t="n">
        <v>0</v>
      </c>
      <c r="H1436" s="0" t="s">
        <v>117</v>
      </c>
      <c r="K1436" s="0" t="s">
        <v>118</v>
      </c>
      <c r="L1436" s="0" t="s">
        <v>2633</v>
      </c>
    </row>
    <row r="1437" customFormat="false" ht="15" hidden="false" customHeight="false" outlineLevel="0" collapsed="false">
      <c r="A1437" s="0" t="s">
        <v>2134</v>
      </c>
      <c r="B1437" s="0" t="s">
        <v>2634</v>
      </c>
      <c r="C1437" s="0" t="s">
        <v>981</v>
      </c>
      <c r="D1437" s="0" t="s">
        <v>531</v>
      </c>
      <c r="E1437" s="0" t="s">
        <v>2635</v>
      </c>
      <c r="F1437" s="0" t="n">
        <v>4</v>
      </c>
      <c r="G1437" s="0" t="n">
        <v>1</v>
      </c>
      <c r="H1437" s="0" t="s">
        <v>122</v>
      </c>
      <c r="I1437" s="0" t="s">
        <v>2218</v>
      </c>
      <c r="K1437" s="0" t="s">
        <v>123</v>
      </c>
      <c r="L1437" s="0" t="s">
        <v>2636</v>
      </c>
    </row>
    <row r="1438" customFormat="false" ht="15" hidden="false" customHeight="false" outlineLevel="0" collapsed="false">
      <c r="A1438" s="0" t="s">
        <v>2134</v>
      </c>
      <c r="C1438" s="0" t="s">
        <v>981</v>
      </c>
      <c r="D1438" s="0" t="s">
        <v>534</v>
      </c>
      <c r="E1438" s="0" t="s">
        <v>986</v>
      </c>
      <c r="F1438" s="0" t="n">
        <v>4</v>
      </c>
      <c r="G1438" s="0" t="n">
        <v>0</v>
      </c>
      <c r="H1438" s="0" t="s">
        <v>122</v>
      </c>
      <c r="K1438" s="0" t="s">
        <v>127</v>
      </c>
      <c r="L1438" s="0" t="s">
        <v>2637</v>
      </c>
    </row>
    <row r="1439" customFormat="false" ht="15" hidden="false" customHeight="false" outlineLevel="0" collapsed="false">
      <c r="A1439" s="0" t="s">
        <v>2134</v>
      </c>
      <c r="C1439" s="0" t="s">
        <v>981</v>
      </c>
      <c r="D1439" s="0" t="s">
        <v>52</v>
      </c>
      <c r="E1439" s="0" t="s">
        <v>988</v>
      </c>
      <c r="F1439" s="0" t="n">
        <v>4</v>
      </c>
      <c r="G1439" s="0" t="n">
        <v>0</v>
      </c>
      <c r="H1439" s="0" t="s">
        <v>122</v>
      </c>
      <c r="K1439" s="0" t="s">
        <v>132</v>
      </c>
      <c r="L1439" s="0" t="s">
        <v>2638</v>
      </c>
    </row>
    <row r="1440" customFormat="false" ht="15" hidden="false" customHeight="false" outlineLevel="0" collapsed="false">
      <c r="A1440" s="0" t="s">
        <v>2134</v>
      </c>
      <c r="C1440" s="0" t="s">
        <v>981</v>
      </c>
      <c r="D1440" s="0" t="s">
        <v>55</v>
      </c>
      <c r="E1440" s="0" t="s">
        <v>1995</v>
      </c>
      <c r="F1440" s="0" t="n">
        <v>4</v>
      </c>
      <c r="G1440" s="0" t="n">
        <v>0</v>
      </c>
      <c r="H1440" s="0" t="s">
        <v>122</v>
      </c>
      <c r="K1440" s="0" t="s">
        <v>135</v>
      </c>
      <c r="L1440" s="0" t="s">
        <v>2639</v>
      </c>
    </row>
    <row r="1441" customFormat="false" ht="15" hidden="false" customHeight="false" outlineLevel="0" collapsed="false">
      <c r="A1441" s="0" t="s">
        <v>2134</v>
      </c>
      <c r="C1441" s="0" t="s">
        <v>981</v>
      </c>
      <c r="D1441" s="0" t="s">
        <v>58</v>
      </c>
      <c r="E1441" s="0" t="s">
        <v>992</v>
      </c>
      <c r="F1441" s="0" t="n">
        <v>4</v>
      </c>
      <c r="G1441" s="0" t="n">
        <v>0</v>
      </c>
      <c r="H1441" s="0" t="s">
        <v>122</v>
      </c>
      <c r="K1441" s="0" t="s">
        <v>138</v>
      </c>
      <c r="L1441" s="0" t="s">
        <v>2640</v>
      </c>
    </row>
    <row r="1442" customFormat="false" ht="15" hidden="false" customHeight="false" outlineLevel="0" collapsed="false">
      <c r="A1442" s="0" t="s">
        <v>2134</v>
      </c>
      <c r="C1442" s="0" t="s">
        <v>981</v>
      </c>
      <c r="D1442" s="0" t="s">
        <v>65</v>
      </c>
      <c r="E1442" s="0" t="s">
        <v>2641</v>
      </c>
      <c r="F1442" s="0" t="n">
        <v>4</v>
      </c>
      <c r="G1442" s="0" t="n">
        <v>0</v>
      </c>
      <c r="H1442" s="0" t="s">
        <v>122</v>
      </c>
      <c r="K1442" s="0" t="s">
        <v>143</v>
      </c>
      <c r="L1442" s="0" t="s">
        <v>2642</v>
      </c>
    </row>
    <row r="1443" customFormat="false" ht="15" hidden="false" customHeight="false" outlineLevel="0" collapsed="false">
      <c r="A1443" s="0" t="s">
        <v>2134</v>
      </c>
      <c r="B1443" s="0" t="s">
        <v>487</v>
      </c>
      <c r="C1443" s="0" t="s">
        <v>981</v>
      </c>
      <c r="D1443" s="0" t="s">
        <v>69</v>
      </c>
      <c r="E1443" s="0" t="s">
        <v>2643</v>
      </c>
      <c r="F1443" s="0" t="n">
        <v>4</v>
      </c>
      <c r="G1443" s="0" t="n">
        <v>1</v>
      </c>
      <c r="H1443" s="0" t="s">
        <v>122</v>
      </c>
      <c r="I1443" s="0" t="s">
        <v>2218</v>
      </c>
      <c r="K1443" s="0" t="s">
        <v>146</v>
      </c>
      <c r="L1443" s="0" t="s">
        <v>2644</v>
      </c>
    </row>
    <row r="1444" customFormat="false" ht="15" hidden="false" customHeight="false" outlineLevel="0" collapsed="false">
      <c r="A1444" s="0" t="s">
        <v>2134</v>
      </c>
      <c r="B1444" s="0" t="s">
        <v>487</v>
      </c>
      <c r="C1444" s="0" t="s">
        <v>981</v>
      </c>
      <c r="D1444" s="0" t="s">
        <v>72</v>
      </c>
      <c r="E1444" s="0" t="s">
        <v>2645</v>
      </c>
      <c r="F1444" s="0" t="n">
        <v>4</v>
      </c>
      <c r="G1444" s="0" t="n">
        <v>4</v>
      </c>
      <c r="H1444" s="0" t="s">
        <v>117</v>
      </c>
      <c r="I1444" s="0" t="s">
        <v>2218</v>
      </c>
      <c r="K1444" s="0" t="s">
        <v>149</v>
      </c>
      <c r="L1444" s="0" t="s">
        <v>2646</v>
      </c>
    </row>
    <row r="1445" customFormat="false" ht="15" hidden="false" customHeight="false" outlineLevel="0" collapsed="false">
      <c r="A1445" s="0" t="s">
        <v>2134</v>
      </c>
      <c r="B1445" s="0" t="s">
        <v>487</v>
      </c>
      <c r="C1445" s="0" t="s">
        <v>981</v>
      </c>
      <c r="D1445" s="0" t="s">
        <v>75</v>
      </c>
      <c r="E1445" s="0" t="s">
        <v>2647</v>
      </c>
      <c r="F1445" s="0" t="n">
        <v>4</v>
      </c>
      <c r="G1445" s="0" t="n">
        <v>4</v>
      </c>
      <c r="H1445" s="0" t="s">
        <v>117</v>
      </c>
      <c r="I1445" s="0" t="s">
        <v>2180</v>
      </c>
      <c r="K1445" s="0" t="s">
        <v>152</v>
      </c>
      <c r="L1445" s="0" t="s">
        <v>2648</v>
      </c>
    </row>
    <row r="1446" customFormat="false" ht="15" hidden="false" customHeight="false" outlineLevel="0" collapsed="false">
      <c r="A1446" s="0" t="s">
        <v>2134</v>
      </c>
      <c r="B1446" s="0" t="s">
        <v>487</v>
      </c>
      <c r="C1446" s="0" t="s">
        <v>981</v>
      </c>
      <c r="D1446" s="0" t="s">
        <v>78</v>
      </c>
      <c r="E1446" s="0" t="s">
        <v>2649</v>
      </c>
      <c r="F1446" s="0" t="n">
        <v>4</v>
      </c>
      <c r="G1446" s="0" t="n">
        <v>4</v>
      </c>
      <c r="H1446" s="0" t="s">
        <v>117</v>
      </c>
      <c r="I1446" s="0" t="s">
        <v>2439</v>
      </c>
      <c r="K1446" s="0" t="s">
        <v>156</v>
      </c>
      <c r="L1446" s="0" t="s">
        <v>2650</v>
      </c>
    </row>
    <row r="1447" customFormat="false" ht="15" hidden="false" customHeight="false" outlineLevel="0" collapsed="false">
      <c r="A1447" s="0" t="s">
        <v>2134</v>
      </c>
      <c r="B1447" s="0" t="s">
        <v>487</v>
      </c>
      <c r="C1447" s="0" t="s">
        <v>981</v>
      </c>
      <c r="D1447" s="0" t="s">
        <v>81</v>
      </c>
      <c r="E1447" s="0" t="s">
        <v>2651</v>
      </c>
      <c r="F1447" s="0" t="n">
        <v>4</v>
      </c>
      <c r="G1447" s="0" t="n">
        <v>3</v>
      </c>
      <c r="H1447" s="0" t="s">
        <v>122</v>
      </c>
      <c r="I1447" s="0" t="s">
        <v>2138</v>
      </c>
      <c r="K1447" s="0" t="s">
        <v>160</v>
      </c>
      <c r="L1447" s="0" t="s">
        <v>2652</v>
      </c>
    </row>
    <row r="1448" customFormat="false" ht="15" hidden="false" customHeight="false" outlineLevel="0" collapsed="false">
      <c r="A1448" s="0" t="s">
        <v>2134</v>
      </c>
      <c r="C1448" s="0" t="s">
        <v>1006</v>
      </c>
      <c r="D1448" s="0" t="s">
        <v>528</v>
      </c>
      <c r="E1448" s="0" t="s">
        <v>1007</v>
      </c>
      <c r="F1448" s="0" t="n">
        <v>0</v>
      </c>
      <c r="G1448" s="0" t="n">
        <v>0</v>
      </c>
      <c r="H1448" s="0" t="s">
        <v>117</v>
      </c>
      <c r="K1448" s="0" t="s">
        <v>118</v>
      </c>
      <c r="L1448" s="0" t="s">
        <v>2653</v>
      </c>
    </row>
    <row r="1449" customFormat="false" ht="15" hidden="false" customHeight="false" outlineLevel="0" collapsed="false">
      <c r="A1449" s="0" t="s">
        <v>2134</v>
      </c>
      <c r="B1449" s="0" t="s">
        <v>487</v>
      </c>
      <c r="C1449" s="0" t="s">
        <v>1006</v>
      </c>
      <c r="D1449" s="0" t="s">
        <v>531</v>
      </c>
      <c r="E1449" s="0" t="s">
        <v>2654</v>
      </c>
      <c r="F1449" s="0" t="n">
        <v>4</v>
      </c>
      <c r="G1449" s="0" t="n">
        <v>4</v>
      </c>
      <c r="H1449" s="0" t="s">
        <v>117</v>
      </c>
      <c r="I1449" s="0" t="s">
        <v>2439</v>
      </c>
      <c r="K1449" s="0" t="s">
        <v>123</v>
      </c>
      <c r="L1449" s="0" t="s">
        <v>2655</v>
      </c>
    </row>
    <row r="1450" customFormat="false" ht="15" hidden="false" customHeight="false" outlineLevel="0" collapsed="false">
      <c r="A1450" s="0" t="s">
        <v>2134</v>
      </c>
      <c r="B1450" s="0" t="s">
        <v>487</v>
      </c>
      <c r="C1450" s="0" t="s">
        <v>1006</v>
      </c>
      <c r="D1450" s="0" t="s">
        <v>534</v>
      </c>
      <c r="E1450" s="0" t="s">
        <v>2656</v>
      </c>
      <c r="F1450" s="0" t="n">
        <v>4</v>
      </c>
      <c r="G1450" s="0" t="n">
        <v>4</v>
      </c>
      <c r="H1450" s="0" t="s">
        <v>117</v>
      </c>
      <c r="I1450" s="0" t="s">
        <v>2218</v>
      </c>
      <c r="K1450" s="0" t="s">
        <v>127</v>
      </c>
      <c r="L1450" s="0" t="s">
        <v>2657</v>
      </c>
    </row>
    <row r="1451" customFormat="false" ht="15" hidden="false" customHeight="false" outlineLevel="0" collapsed="false">
      <c r="A1451" s="0" t="s">
        <v>2134</v>
      </c>
      <c r="B1451" s="0" t="s">
        <v>487</v>
      </c>
      <c r="C1451" s="0" t="s">
        <v>1006</v>
      </c>
      <c r="D1451" s="0" t="s">
        <v>52</v>
      </c>
      <c r="E1451" s="0" t="s">
        <v>2658</v>
      </c>
      <c r="F1451" s="0" t="n">
        <v>4</v>
      </c>
      <c r="G1451" s="0" t="n">
        <v>4</v>
      </c>
      <c r="H1451" s="0" t="s">
        <v>117</v>
      </c>
      <c r="I1451" s="0" t="s">
        <v>2180</v>
      </c>
      <c r="K1451" s="0" t="s">
        <v>132</v>
      </c>
      <c r="L1451" s="0" t="s">
        <v>2659</v>
      </c>
    </row>
    <row r="1452" customFormat="false" ht="15" hidden="false" customHeight="false" outlineLevel="0" collapsed="false">
      <c r="A1452" s="0" t="s">
        <v>2134</v>
      </c>
      <c r="B1452" s="0" t="s">
        <v>2609</v>
      </c>
      <c r="C1452" s="0" t="s">
        <v>1006</v>
      </c>
      <c r="D1452" s="0" t="s">
        <v>55</v>
      </c>
      <c r="E1452" s="0" t="s">
        <v>2660</v>
      </c>
      <c r="F1452" s="0" t="n">
        <v>4</v>
      </c>
      <c r="G1452" s="0" t="n">
        <v>3</v>
      </c>
      <c r="H1452" s="0" t="s">
        <v>122</v>
      </c>
      <c r="I1452" s="0" t="s">
        <v>2218</v>
      </c>
      <c r="K1452" s="0" t="s">
        <v>135</v>
      </c>
      <c r="L1452" s="0" t="s">
        <v>2661</v>
      </c>
    </row>
    <row r="1453" customFormat="false" ht="15" hidden="false" customHeight="false" outlineLevel="0" collapsed="false">
      <c r="A1453" s="0" t="s">
        <v>2134</v>
      </c>
      <c r="B1453" s="0" t="s">
        <v>487</v>
      </c>
      <c r="C1453" s="0" t="s">
        <v>1006</v>
      </c>
      <c r="D1453" s="0" t="s">
        <v>58</v>
      </c>
      <c r="E1453" s="0" t="s">
        <v>2662</v>
      </c>
      <c r="F1453" s="0" t="n">
        <v>4</v>
      </c>
      <c r="G1453" s="0" t="n">
        <v>1</v>
      </c>
      <c r="H1453" s="0" t="s">
        <v>122</v>
      </c>
      <c r="I1453" s="0" t="s">
        <v>2400</v>
      </c>
      <c r="K1453" s="0" t="s">
        <v>138</v>
      </c>
      <c r="L1453" s="0" t="s">
        <v>2663</v>
      </c>
    </row>
    <row r="1454" customFormat="false" ht="15" hidden="false" customHeight="false" outlineLevel="0" collapsed="false">
      <c r="A1454" s="0" t="s">
        <v>2134</v>
      </c>
      <c r="C1454" s="0" t="s">
        <v>1006</v>
      </c>
      <c r="D1454" s="0" t="s">
        <v>65</v>
      </c>
      <c r="E1454" s="0" t="s">
        <v>2664</v>
      </c>
      <c r="F1454" s="0" t="n">
        <v>4</v>
      </c>
      <c r="G1454" s="0" t="n">
        <v>0</v>
      </c>
      <c r="H1454" s="0" t="s">
        <v>122</v>
      </c>
      <c r="K1454" s="0" t="s">
        <v>143</v>
      </c>
      <c r="L1454" s="0" t="s">
        <v>2665</v>
      </c>
    </row>
    <row r="1455" customFormat="false" ht="15" hidden="false" customHeight="false" outlineLevel="0" collapsed="false">
      <c r="A1455" s="0" t="s">
        <v>2134</v>
      </c>
      <c r="B1455" s="0" t="s">
        <v>487</v>
      </c>
      <c r="C1455" s="0" t="s">
        <v>1006</v>
      </c>
      <c r="D1455" s="0" t="s">
        <v>69</v>
      </c>
      <c r="E1455" s="0" t="s">
        <v>2666</v>
      </c>
      <c r="F1455" s="0" t="n">
        <v>4</v>
      </c>
      <c r="G1455" s="0" t="n">
        <v>4</v>
      </c>
      <c r="H1455" s="0" t="s">
        <v>117</v>
      </c>
      <c r="I1455" s="0" t="s">
        <v>2223</v>
      </c>
      <c r="K1455" s="0" t="s">
        <v>146</v>
      </c>
      <c r="L1455" s="0" t="s">
        <v>2667</v>
      </c>
    </row>
    <row r="1456" customFormat="false" ht="15" hidden="false" customHeight="false" outlineLevel="0" collapsed="false">
      <c r="A1456" s="0" t="s">
        <v>2134</v>
      </c>
      <c r="C1456" s="0" t="s">
        <v>1006</v>
      </c>
      <c r="D1456" s="0" t="s">
        <v>72</v>
      </c>
      <c r="E1456" s="0" t="s">
        <v>2668</v>
      </c>
      <c r="F1456" s="0" t="n">
        <v>4</v>
      </c>
      <c r="G1456" s="0" t="n">
        <v>0</v>
      </c>
      <c r="H1456" s="0" t="s">
        <v>122</v>
      </c>
      <c r="K1456" s="0" t="s">
        <v>149</v>
      </c>
      <c r="L1456" s="0" t="s">
        <v>2669</v>
      </c>
    </row>
    <row r="1457" customFormat="false" ht="15" hidden="false" customHeight="false" outlineLevel="0" collapsed="false">
      <c r="A1457" s="0" t="s">
        <v>2134</v>
      </c>
      <c r="B1457" s="0" t="s">
        <v>2609</v>
      </c>
      <c r="C1457" s="0" t="s">
        <v>1006</v>
      </c>
      <c r="D1457" s="0" t="s">
        <v>75</v>
      </c>
      <c r="E1457" s="0" t="s">
        <v>2670</v>
      </c>
      <c r="F1457" s="0" t="n">
        <v>4</v>
      </c>
      <c r="G1457" s="0" t="n">
        <v>1</v>
      </c>
      <c r="H1457" s="0" t="s">
        <v>122</v>
      </c>
      <c r="I1457" s="0" t="s">
        <v>2400</v>
      </c>
      <c r="K1457" s="0" t="s">
        <v>152</v>
      </c>
      <c r="L1457" s="0" t="s">
        <v>2671</v>
      </c>
    </row>
    <row r="1458" customFormat="false" ht="15" hidden="false" customHeight="false" outlineLevel="0" collapsed="false">
      <c r="A1458" s="0" t="s">
        <v>2134</v>
      </c>
      <c r="C1458" s="0" t="s">
        <v>1006</v>
      </c>
      <c r="D1458" s="0" t="s">
        <v>78</v>
      </c>
      <c r="E1458" s="0" t="s">
        <v>2672</v>
      </c>
      <c r="F1458" s="0" t="n">
        <v>4</v>
      </c>
      <c r="G1458" s="0" t="n">
        <v>0</v>
      </c>
      <c r="H1458" s="0" t="s">
        <v>122</v>
      </c>
      <c r="K1458" s="0" t="s">
        <v>156</v>
      </c>
      <c r="L1458" s="0" t="s">
        <v>2673</v>
      </c>
    </row>
    <row r="1459" customFormat="false" ht="15" hidden="false" customHeight="false" outlineLevel="0" collapsed="false">
      <c r="A1459" s="0" t="s">
        <v>2134</v>
      </c>
      <c r="B1459" s="0" t="s">
        <v>487</v>
      </c>
      <c r="C1459" s="0" t="s">
        <v>1006</v>
      </c>
      <c r="D1459" s="0" t="s">
        <v>81</v>
      </c>
      <c r="E1459" s="0" t="s">
        <v>2674</v>
      </c>
      <c r="F1459" s="0" t="n">
        <v>4</v>
      </c>
      <c r="G1459" s="0" t="n">
        <v>3</v>
      </c>
      <c r="H1459" s="0" t="s">
        <v>122</v>
      </c>
      <c r="I1459" s="0" t="s">
        <v>2400</v>
      </c>
      <c r="K1459" s="0" t="s">
        <v>160</v>
      </c>
      <c r="L1459" s="0" t="s">
        <v>2675</v>
      </c>
    </row>
    <row r="1460" customFormat="false" ht="15" hidden="false" customHeight="false" outlineLevel="0" collapsed="false">
      <c r="A1460" s="0" t="s">
        <v>2134</v>
      </c>
      <c r="C1460" s="0" t="s">
        <v>1031</v>
      </c>
      <c r="D1460" s="0" t="s">
        <v>528</v>
      </c>
      <c r="E1460" s="0" t="s">
        <v>1032</v>
      </c>
      <c r="F1460" s="0" t="n">
        <v>0</v>
      </c>
      <c r="G1460" s="0" t="n">
        <v>0</v>
      </c>
      <c r="H1460" s="0" t="s">
        <v>117</v>
      </c>
      <c r="K1460" s="0" t="s">
        <v>118</v>
      </c>
      <c r="L1460" s="0" t="s">
        <v>2676</v>
      </c>
    </row>
    <row r="1461" customFormat="false" ht="15" hidden="false" customHeight="false" outlineLevel="0" collapsed="false">
      <c r="A1461" s="0" t="s">
        <v>2134</v>
      </c>
      <c r="C1461" s="0" t="s">
        <v>1031</v>
      </c>
      <c r="D1461" s="0" t="s">
        <v>531</v>
      </c>
      <c r="E1461" s="0" t="s">
        <v>2677</v>
      </c>
      <c r="F1461" s="0" t="n">
        <v>4</v>
      </c>
      <c r="G1461" s="0" t="n">
        <v>0</v>
      </c>
      <c r="H1461" s="0" t="s">
        <v>122</v>
      </c>
      <c r="K1461" s="0" t="s">
        <v>123</v>
      </c>
      <c r="L1461" s="0" t="s">
        <v>2678</v>
      </c>
    </row>
    <row r="1462" customFormat="false" ht="15" hidden="false" customHeight="false" outlineLevel="0" collapsed="false">
      <c r="A1462" s="0" t="s">
        <v>2134</v>
      </c>
      <c r="B1462" s="0" t="s">
        <v>487</v>
      </c>
      <c r="C1462" s="0" t="s">
        <v>1031</v>
      </c>
      <c r="D1462" s="0" t="s">
        <v>534</v>
      </c>
      <c r="E1462" s="0" t="s">
        <v>2679</v>
      </c>
      <c r="F1462" s="0" t="n">
        <v>4</v>
      </c>
      <c r="G1462" s="0" t="n">
        <v>4</v>
      </c>
      <c r="H1462" s="0" t="s">
        <v>117</v>
      </c>
      <c r="I1462" s="0" t="s">
        <v>2180</v>
      </c>
      <c r="K1462" s="0" t="s">
        <v>127</v>
      </c>
      <c r="L1462" s="0" t="s">
        <v>2680</v>
      </c>
    </row>
    <row r="1463" customFormat="false" ht="15" hidden="false" customHeight="false" outlineLevel="0" collapsed="false">
      <c r="A1463" s="0" t="s">
        <v>2134</v>
      </c>
      <c r="B1463" s="0" t="s">
        <v>487</v>
      </c>
      <c r="C1463" s="0" t="s">
        <v>1031</v>
      </c>
      <c r="D1463" s="0" t="s">
        <v>52</v>
      </c>
      <c r="E1463" s="0" t="s">
        <v>2681</v>
      </c>
      <c r="F1463" s="0" t="n">
        <v>4</v>
      </c>
      <c r="G1463" s="0" t="n">
        <v>3</v>
      </c>
      <c r="H1463" s="0" t="s">
        <v>122</v>
      </c>
      <c r="I1463" s="0" t="s">
        <v>2260</v>
      </c>
      <c r="K1463" s="0" t="s">
        <v>132</v>
      </c>
      <c r="L1463" s="0" t="s">
        <v>2682</v>
      </c>
    </row>
    <row r="1464" customFormat="false" ht="15" hidden="false" customHeight="false" outlineLevel="0" collapsed="false">
      <c r="A1464" s="0" t="s">
        <v>2134</v>
      </c>
      <c r="C1464" s="0" t="s">
        <v>1031</v>
      </c>
      <c r="D1464" s="0" t="s">
        <v>55</v>
      </c>
      <c r="E1464" s="0" t="s">
        <v>2683</v>
      </c>
      <c r="F1464" s="0" t="n">
        <v>4</v>
      </c>
      <c r="G1464" s="0" t="n">
        <v>0</v>
      </c>
      <c r="H1464" s="0" t="s">
        <v>122</v>
      </c>
      <c r="K1464" s="0" t="s">
        <v>135</v>
      </c>
      <c r="L1464" s="0" t="s">
        <v>2684</v>
      </c>
    </row>
    <row r="1465" customFormat="false" ht="15" hidden="false" customHeight="false" outlineLevel="0" collapsed="false">
      <c r="A1465" s="0" t="s">
        <v>2134</v>
      </c>
      <c r="C1465" s="0" t="s">
        <v>1031</v>
      </c>
      <c r="D1465" s="0" t="s">
        <v>58</v>
      </c>
      <c r="E1465" s="0" t="s">
        <v>1042</v>
      </c>
      <c r="F1465" s="0" t="n">
        <v>4</v>
      </c>
      <c r="G1465" s="0" t="n">
        <v>0</v>
      </c>
      <c r="H1465" s="0" t="s">
        <v>122</v>
      </c>
      <c r="K1465" s="0" t="s">
        <v>138</v>
      </c>
      <c r="L1465" s="0" t="s">
        <v>2685</v>
      </c>
    </row>
    <row r="1466" customFormat="false" ht="15" hidden="false" customHeight="false" outlineLevel="0" collapsed="false">
      <c r="A1466" s="0" t="s">
        <v>2134</v>
      </c>
      <c r="C1466" s="0" t="s">
        <v>1031</v>
      </c>
      <c r="D1466" s="0" t="s">
        <v>65</v>
      </c>
      <c r="E1466" s="0" t="s">
        <v>2686</v>
      </c>
      <c r="F1466" s="0" t="n">
        <v>4</v>
      </c>
      <c r="G1466" s="0" t="n">
        <v>0</v>
      </c>
      <c r="H1466" s="0" t="s">
        <v>122</v>
      </c>
      <c r="K1466" s="0" t="s">
        <v>143</v>
      </c>
      <c r="L1466" s="0" t="s">
        <v>2687</v>
      </c>
    </row>
    <row r="1467" customFormat="false" ht="15" hidden="false" customHeight="false" outlineLevel="0" collapsed="false">
      <c r="A1467" s="0" t="s">
        <v>2134</v>
      </c>
      <c r="C1467" s="0" t="s">
        <v>1031</v>
      </c>
      <c r="D1467" s="0" t="s">
        <v>69</v>
      </c>
      <c r="E1467" s="0" t="s">
        <v>2688</v>
      </c>
      <c r="F1467" s="0" t="n">
        <v>4</v>
      </c>
      <c r="G1467" s="0" t="n">
        <v>0</v>
      </c>
      <c r="H1467" s="0" t="s">
        <v>122</v>
      </c>
      <c r="K1467" s="0" t="s">
        <v>146</v>
      </c>
      <c r="L1467" s="0" t="s">
        <v>2689</v>
      </c>
    </row>
    <row r="1468" customFormat="false" ht="15" hidden="false" customHeight="false" outlineLevel="0" collapsed="false">
      <c r="A1468" s="0" t="s">
        <v>2134</v>
      </c>
      <c r="C1468" s="0" t="s">
        <v>1031</v>
      </c>
      <c r="D1468" s="0" t="s">
        <v>72</v>
      </c>
      <c r="E1468" s="0" t="s">
        <v>2690</v>
      </c>
      <c r="F1468" s="0" t="n">
        <v>4</v>
      </c>
      <c r="G1468" s="0" t="n">
        <v>0</v>
      </c>
      <c r="H1468" s="0" t="s">
        <v>122</v>
      </c>
      <c r="K1468" s="0" t="s">
        <v>149</v>
      </c>
      <c r="L1468" s="0" t="s">
        <v>2691</v>
      </c>
    </row>
    <row r="1469" customFormat="false" ht="15" hidden="false" customHeight="false" outlineLevel="0" collapsed="false">
      <c r="A1469" s="0" t="s">
        <v>2134</v>
      </c>
      <c r="C1469" s="0" t="s">
        <v>1031</v>
      </c>
      <c r="D1469" s="0" t="s">
        <v>75</v>
      </c>
      <c r="E1469" s="0" t="s">
        <v>2692</v>
      </c>
      <c r="F1469" s="0" t="n">
        <v>4</v>
      </c>
      <c r="G1469" s="0" t="n">
        <v>0</v>
      </c>
      <c r="H1469" s="0" t="s">
        <v>122</v>
      </c>
      <c r="K1469" s="0" t="s">
        <v>152</v>
      </c>
      <c r="L1469" s="0" t="s">
        <v>2693</v>
      </c>
    </row>
    <row r="1470" customFormat="false" ht="15" hidden="false" customHeight="false" outlineLevel="0" collapsed="false">
      <c r="A1470" s="0" t="s">
        <v>2134</v>
      </c>
      <c r="B1470" s="0" t="s">
        <v>487</v>
      </c>
      <c r="C1470" s="0" t="s">
        <v>1031</v>
      </c>
      <c r="D1470" s="0" t="s">
        <v>78</v>
      </c>
      <c r="E1470" s="0" t="s">
        <v>2694</v>
      </c>
      <c r="F1470" s="0" t="n">
        <v>4</v>
      </c>
      <c r="G1470" s="0" t="n">
        <v>4</v>
      </c>
      <c r="H1470" s="0" t="s">
        <v>117</v>
      </c>
      <c r="I1470" s="0" t="s">
        <v>2260</v>
      </c>
      <c r="K1470" s="0" t="s">
        <v>156</v>
      </c>
      <c r="L1470" s="0" t="s">
        <v>2695</v>
      </c>
    </row>
    <row r="1471" customFormat="false" ht="15" hidden="false" customHeight="false" outlineLevel="0" collapsed="false">
      <c r="A1471" s="0" t="s">
        <v>2134</v>
      </c>
      <c r="C1471" s="0" t="s">
        <v>1031</v>
      </c>
      <c r="D1471" s="0" t="s">
        <v>81</v>
      </c>
      <c r="E1471" s="0" t="s">
        <v>1054</v>
      </c>
      <c r="F1471" s="0" t="n">
        <v>4</v>
      </c>
      <c r="G1471" s="0" t="n">
        <v>0</v>
      </c>
      <c r="H1471" s="0" t="s">
        <v>122</v>
      </c>
      <c r="K1471" s="0" t="s">
        <v>160</v>
      </c>
      <c r="L1471" s="0" t="s">
        <v>2696</v>
      </c>
    </row>
    <row r="1472" customFormat="false" ht="15" hidden="false" customHeight="false" outlineLevel="0" collapsed="false">
      <c r="A1472" s="0" t="s">
        <v>2134</v>
      </c>
      <c r="C1472" s="0" t="s">
        <v>1056</v>
      </c>
      <c r="D1472" s="0" t="s">
        <v>528</v>
      </c>
      <c r="E1472" s="0" t="s">
        <v>1057</v>
      </c>
      <c r="F1472" s="0" t="n">
        <v>0</v>
      </c>
      <c r="G1472" s="0" t="n">
        <v>0</v>
      </c>
      <c r="H1472" s="0" t="s">
        <v>117</v>
      </c>
      <c r="K1472" s="0" t="s">
        <v>118</v>
      </c>
      <c r="L1472" s="0" t="s">
        <v>2697</v>
      </c>
    </row>
    <row r="1473" customFormat="false" ht="15" hidden="false" customHeight="false" outlineLevel="0" collapsed="false">
      <c r="A1473" s="0" t="s">
        <v>2134</v>
      </c>
      <c r="C1473" s="0" t="s">
        <v>1056</v>
      </c>
      <c r="D1473" s="0" t="s">
        <v>531</v>
      </c>
      <c r="E1473" s="0" t="s">
        <v>1059</v>
      </c>
      <c r="F1473" s="0" t="n">
        <v>0</v>
      </c>
      <c r="G1473" s="0" t="n">
        <v>0</v>
      </c>
      <c r="H1473" s="0" t="s">
        <v>117</v>
      </c>
      <c r="K1473" s="0" t="s">
        <v>123</v>
      </c>
      <c r="L1473" s="0" t="s">
        <v>2698</v>
      </c>
    </row>
    <row r="1474" customFormat="false" ht="15" hidden="false" customHeight="false" outlineLevel="0" collapsed="false">
      <c r="A1474" s="0" t="s">
        <v>2134</v>
      </c>
      <c r="C1474" s="0" t="s">
        <v>1056</v>
      </c>
      <c r="D1474" s="0" t="s">
        <v>534</v>
      </c>
      <c r="E1474" s="0" t="s">
        <v>1061</v>
      </c>
      <c r="F1474" s="0" t="n">
        <v>0</v>
      </c>
      <c r="G1474" s="0" t="n">
        <v>0</v>
      </c>
      <c r="H1474" s="0" t="s">
        <v>117</v>
      </c>
      <c r="K1474" s="0" t="s">
        <v>127</v>
      </c>
      <c r="L1474" s="0" t="s">
        <v>2699</v>
      </c>
    </row>
    <row r="1475" customFormat="false" ht="15" hidden="false" customHeight="false" outlineLevel="0" collapsed="false">
      <c r="A1475" s="0" t="s">
        <v>2134</v>
      </c>
      <c r="C1475" s="0" t="s">
        <v>1056</v>
      </c>
      <c r="D1475" s="0" t="s">
        <v>52</v>
      </c>
      <c r="E1475" s="0" t="s">
        <v>1063</v>
      </c>
      <c r="F1475" s="0" t="n">
        <v>0</v>
      </c>
      <c r="G1475" s="0" t="n">
        <v>0</v>
      </c>
      <c r="H1475" s="0" t="s">
        <v>117</v>
      </c>
      <c r="K1475" s="0" t="s">
        <v>132</v>
      </c>
      <c r="L1475" s="0" t="s">
        <v>2700</v>
      </c>
    </row>
    <row r="1476" customFormat="false" ht="15" hidden="false" customHeight="false" outlineLevel="0" collapsed="false">
      <c r="A1476" s="0" t="s">
        <v>2134</v>
      </c>
      <c r="C1476" s="0" t="s">
        <v>1056</v>
      </c>
      <c r="D1476" s="0" t="s">
        <v>55</v>
      </c>
      <c r="E1476" s="0" t="s">
        <v>1065</v>
      </c>
      <c r="F1476" s="0" t="n">
        <v>0</v>
      </c>
      <c r="G1476" s="0" t="n">
        <v>0</v>
      </c>
      <c r="H1476" s="0" t="s">
        <v>117</v>
      </c>
      <c r="K1476" s="0" t="s">
        <v>135</v>
      </c>
      <c r="L1476" s="0" t="s">
        <v>2701</v>
      </c>
    </row>
    <row r="1477" customFormat="false" ht="15" hidden="false" customHeight="false" outlineLevel="0" collapsed="false">
      <c r="A1477" s="0" t="s">
        <v>2134</v>
      </c>
      <c r="C1477" s="0" t="s">
        <v>1056</v>
      </c>
      <c r="D1477" s="0" t="s">
        <v>58</v>
      </c>
      <c r="E1477" s="0" t="s">
        <v>1067</v>
      </c>
      <c r="F1477" s="0" t="n">
        <v>0</v>
      </c>
      <c r="G1477" s="0" t="n">
        <v>0</v>
      </c>
      <c r="H1477" s="0" t="s">
        <v>117</v>
      </c>
      <c r="K1477" s="0" t="s">
        <v>138</v>
      </c>
      <c r="L1477" s="0" t="s">
        <v>2702</v>
      </c>
    </row>
    <row r="1478" customFormat="false" ht="15" hidden="false" customHeight="false" outlineLevel="0" collapsed="false">
      <c r="A1478" s="0" t="s">
        <v>2134</v>
      </c>
      <c r="C1478" s="0" t="s">
        <v>1056</v>
      </c>
      <c r="D1478" s="0" t="s">
        <v>65</v>
      </c>
      <c r="E1478" s="0" t="s">
        <v>1069</v>
      </c>
      <c r="F1478" s="0" t="n">
        <v>0</v>
      </c>
      <c r="G1478" s="0" t="n">
        <v>0</v>
      </c>
      <c r="H1478" s="0" t="s">
        <v>117</v>
      </c>
      <c r="K1478" s="0" t="s">
        <v>143</v>
      </c>
      <c r="L1478" s="0" t="s">
        <v>2703</v>
      </c>
    </row>
    <row r="1479" customFormat="false" ht="15" hidden="false" customHeight="false" outlineLevel="0" collapsed="false">
      <c r="A1479" s="0" t="s">
        <v>2134</v>
      </c>
      <c r="C1479" s="0" t="s">
        <v>1056</v>
      </c>
      <c r="D1479" s="0" t="s">
        <v>69</v>
      </c>
      <c r="E1479" s="0" t="s">
        <v>1071</v>
      </c>
      <c r="F1479" s="0" t="n">
        <v>0</v>
      </c>
      <c r="G1479" s="0" t="n">
        <v>0</v>
      </c>
      <c r="H1479" s="0" t="s">
        <v>117</v>
      </c>
      <c r="K1479" s="0" t="s">
        <v>146</v>
      </c>
      <c r="L1479" s="0" t="s">
        <v>2704</v>
      </c>
    </row>
    <row r="1480" customFormat="false" ht="15" hidden="false" customHeight="false" outlineLevel="0" collapsed="false">
      <c r="A1480" s="0" t="s">
        <v>2134</v>
      </c>
      <c r="C1480" s="0" t="s">
        <v>1056</v>
      </c>
      <c r="D1480" s="0" t="s">
        <v>72</v>
      </c>
      <c r="E1480" s="0" t="s">
        <v>1073</v>
      </c>
      <c r="F1480" s="0" t="n">
        <v>0</v>
      </c>
      <c r="G1480" s="0" t="n">
        <v>0</v>
      </c>
      <c r="H1480" s="0" t="s">
        <v>117</v>
      </c>
      <c r="K1480" s="0" t="s">
        <v>149</v>
      </c>
      <c r="L1480" s="0" t="s">
        <v>2705</v>
      </c>
    </row>
    <row r="1481" customFormat="false" ht="15" hidden="false" customHeight="false" outlineLevel="0" collapsed="false">
      <c r="A1481" s="0" t="s">
        <v>2134</v>
      </c>
      <c r="C1481" s="0" t="s">
        <v>1056</v>
      </c>
      <c r="D1481" s="0" t="s">
        <v>75</v>
      </c>
      <c r="E1481" s="0" t="s">
        <v>2051</v>
      </c>
      <c r="F1481" s="0" t="n">
        <v>0</v>
      </c>
      <c r="G1481" s="0" t="n">
        <v>0</v>
      </c>
      <c r="H1481" s="0" t="s">
        <v>117</v>
      </c>
      <c r="K1481" s="0" t="s">
        <v>152</v>
      </c>
      <c r="L1481" s="0" t="s">
        <v>2706</v>
      </c>
    </row>
    <row r="1482" customFormat="false" ht="15" hidden="false" customHeight="false" outlineLevel="0" collapsed="false">
      <c r="A1482" s="0" t="s">
        <v>2134</v>
      </c>
      <c r="C1482" s="0" t="s">
        <v>1056</v>
      </c>
      <c r="D1482" s="0" t="s">
        <v>78</v>
      </c>
      <c r="E1482" s="0" t="s">
        <v>2053</v>
      </c>
      <c r="F1482" s="0" t="n">
        <v>0</v>
      </c>
      <c r="G1482" s="0" t="n">
        <v>0</v>
      </c>
      <c r="H1482" s="0" t="s">
        <v>117</v>
      </c>
      <c r="K1482" s="0" t="s">
        <v>156</v>
      </c>
      <c r="L1482" s="0" t="s">
        <v>2707</v>
      </c>
    </row>
    <row r="1483" customFormat="false" ht="15" hidden="false" customHeight="false" outlineLevel="0" collapsed="false">
      <c r="A1483" s="0" t="s">
        <v>2134</v>
      </c>
      <c r="C1483" s="0" t="s">
        <v>1056</v>
      </c>
      <c r="D1483" s="0" t="s">
        <v>81</v>
      </c>
      <c r="E1483" s="0" t="s">
        <v>2055</v>
      </c>
      <c r="F1483" s="0" t="n">
        <v>0</v>
      </c>
      <c r="G1483" s="0" t="n">
        <v>0</v>
      </c>
      <c r="H1483" s="0" t="s">
        <v>117</v>
      </c>
      <c r="K1483" s="0" t="s">
        <v>160</v>
      </c>
      <c r="L1483" s="0" t="s">
        <v>2708</v>
      </c>
    </row>
    <row r="1484" customFormat="false" ht="15" hidden="false" customHeight="false" outlineLevel="0" collapsed="false">
      <c r="A1484" s="0" t="s">
        <v>2134</v>
      </c>
      <c r="C1484" s="0" t="s">
        <v>1081</v>
      </c>
      <c r="D1484" s="0" t="s">
        <v>528</v>
      </c>
      <c r="E1484" s="0" t="s">
        <v>1082</v>
      </c>
      <c r="F1484" s="0" t="n">
        <v>0</v>
      </c>
      <c r="G1484" s="0" t="n">
        <v>0</v>
      </c>
      <c r="H1484" s="0" t="s">
        <v>117</v>
      </c>
      <c r="K1484" s="0" t="s">
        <v>118</v>
      </c>
      <c r="L1484" s="0" t="s">
        <v>2709</v>
      </c>
    </row>
    <row r="1485" customFormat="false" ht="15" hidden="false" customHeight="false" outlineLevel="0" collapsed="false">
      <c r="A1485" s="0" t="s">
        <v>2134</v>
      </c>
      <c r="C1485" s="0" t="s">
        <v>1081</v>
      </c>
      <c r="D1485" s="0" t="s">
        <v>531</v>
      </c>
      <c r="E1485" s="0" t="s">
        <v>1084</v>
      </c>
      <c r="F1485" s="0" t="n">
        <v>0</v>
      </c>
      <c r="G1485" s="0" t="n">
        <v>0</v>
      </c>
      <c r="H1485" s="0" t="s">
        <v>117</v>
      </c>
      <c r="K1485" s="0" t="s">
        <v>123</v>
      </c>
      <c r="L1485" s="0" t="s">
        <v>2710</v>
      </c>
    </row>
    <row r="1486" customFormat="false" ht="15" hidden="false" customHeight="false" outlineLevel="0" collapsed="false">
      <c r="A1486" s="0" t="s">
        <v>2134</v>
      </c>
      <c r="C1486" s="0" t="s">
        <v>1081</v>
      </c>
      <c r="D1486" s="0" t="s">
        <v>534</v>
      </c>
      <c r="E1486" s="0" t="s">
        <v>1086</v>
      </c>
      <c r="F1486" s="0" t="n">
        <v>0</v>
      </c>
      <c r="G1486" s="0" t="n">
        <v>0</v>
      </c>
      <c r="H1486" s="0" t="s">
        <v>117</v>
      </c>
      <c r="K1486" s="0" t="s">
        <v>127</v>
      </c>
      <c r="L1486" s="0" t="s">
        <v>2711</v>
      </c>
    </row>
    <row r="1487" customFormat="false" ht="15" hidden="false" customHeight="false" outlineLevel="0" collapsed="false">
      <c r="A1487" s="0" t="s">
        <v>2134</v>
      </c>
      <c r="C1487" s="0" t="s">
        <v>1081</v>
      </c>
      <c r="D1487" s="0" t="s">
        <v>52</v>
      </c>
      <c r="E1487" s="0" t="s">
        <v>1088</v>
      </c>
      <c r="F1487" s="0" t="n">
        <v>0</v>
      </c>
      <c r="G1487" s="0" t="n">
        <v>0</v>
      </c>
      <c r="H1487" s="0" t="s">
        <v>117</v>
      </c>
      <c r="K1487" s="0" t="s">
        <v>132</v>
      </c>
      <c r="L1487" s="0" t="s">
        <v>2712</v>
      </c>
    </row>
    <row r="1488" customFormat="false" ht="15" hidden="false" customHeight="false" outlineLevel="0" collapsed="false">
      <c r="A1488" s="0" t="s">
        <v>2134</v>
      </c>
      <c r="C1488" s="0" t="s">
        <v>1081</v>
      </c>
      <c r="D1488" s="0" t="s">
        <v>55</v>
      </c>
      <c r="E1488" s="0" t="s">
        <v>1090</v>
      </c>
      <c r="F1488" s="0" t="n">
        <v>0</v>
      </c>
      <c r="G1488" s="0" t="n">
        <v>0</v>
      </c>
      <c r="H1488" s="0" t="s">
        <v>117</v>
      </c>
      <c r="K1488" s="0" t="s">
        <v>135</v>
      </c>
      <c r="L1488" s="0" t="s">
        <v>2713</v>
      </c>
    </row>
    <row r="1489" customFormat="false" ht="15" hidden="false" customHeight="false" outlineLevel="0" collapsed="false">
      <c r="A1489" s="0" t="s">
        <v>2134</v>
      </c>
      <c r="C1489" s="0" t="s">
        <v>1081</v>
      </c>
      <c r="D1489" s="0" t="s">
        <v>58</v>
      </c>
      <c r="E1489" s="0" t="s">
        <v>1092</v>
      </c>
      <c r="F1489" s="0" t="n">
        <v>0</v>
      </c>
      <c r="G1489" s="0" t="n">
        <v>0</v>
      </c>
      <c r="H1489" s="0" t="s">
        <v>117</v>
      </c>
      <c r="K1489" s="0" t="s">
        <v>138</v>
      </c>
      <c r="L1489" s="0" t="s">
        <v>2714</v>
      </c>
    </row>
    <row r="1490" customFormat="false" ht="15" hidden="false" customHeight="false" outlineLevel="0" collapsed="false">
      <c r="A1490" s="0" t="s">
        <v>2134</v>
      </c>
      <c r="C1490" s="0" t="s">
        <v>1081</v>
      </c>
      <c r="D1490" s="0" t="s">
        <v>65</v>
      </c>
      <c r="E1490" s="0" t="s">
        <v>1094</v>
      </c>
      <c r="F1490" s="0" t="n">
        <v>0</v>
      </c>
      <c r="G1490" s="0" t="n">
        <v>0</v>
      </c>
      <c r="H1490" s="0" t="s">
        <v>117</v>
      </c>
      <c r="K1490" s="0" t="s">
        <v>143</v>
      </c>
      <c r="L1490" s="0" t="s">
        <v>2715</v>
      </c>
    </row>
    <row r="1491" customFormat="false" ht="15" hidden="false" customHeight="false" outlineLevel="0" collapsed="false">
      <c r="A1491" s="0" t="s">
        <v>2134</v>
      </c>
      <c r="C1491" s="0" t="s">
        <v>1081</v>
      </c>
      <c r="D1491" s="0" t="s">
        <v>69</v>
      </c>
      <c r="E1491" s="0" t="s">
        <v>1096</v>
      </c>
      <c r="F1491" s="0" t="n">
        <v>0</v>
      </c>
      <c r="G1491" s="0" t="n">
        <v>0</v>
      </c>
      <c r="H1491" s="0" t="s">
        <v>117</v>
      </c>
      <c r="K1491" s="0" t="s">
        <v>146</v>
      </c>
      <c r="L1491" s="0" t="s">
        <v>2716</v>
      </c>
    </row>
    <row r="1492" customFormat="false" ht="15" hidden="false" customHeight="false" outlineLevel="0" collapsed="false">
      <c r="A1492" s="0" t="s">
        <v>2134</v>
      </c>
      <c r="C1492" s="0" t="s">
        <v>1081</v>
      </c>
      <c r="D1492" s="0" t="s">
        <v>72</v>
      </c>
      <c r="E1492" s="0" t="s">
        <v>1098</v>
      </c>
      <c r="F1492" s="0" t="n">
        <v>0</v>
      </c>
      <c r="G1492" s="0" t="n">
        <v>0</v>
      </c>
      <c r="H1492" s="0" t="s">
        <v>117</v>
      </c>
      <c r="K1492" s="0" t="s">
        <v>149</v>
      </c>
      <c r="L1492" s="0" t="s">
        <v>2717</v>
      </c>
    </row>
    <row r="1493" customFormat="false" ht="15" hidden="false" customHeight="false" outlineLevel="0" collapsed="false">
      <c r="A1493" s="0" t="s">
        <v>2134</v>
      </c>
      <c r="C1493" s="0" t="s">
        <v>1081</v>
      </c>
      <c r="D1493" s="0" t="s">
        <v>75</v>
      </c>
      <c r="E1493" s="0" t="s">
        <v>1100</v>
      </c>
      <c r="F1493" s="0" t="n">
        <v>0</v>
      </c>
      <c r="G1493" s="0" t="n">
        <v>0</v>
      </c>
      <c r="H1493" s="0" t="s">
        <v>117</v>
      </c>
      <c r="K1493" s="0" t="s">
        <v>152</v>
      </c>
      <c r="L1493" s="0" t="s">
        <v>2718</v>
      </c>
    </row>
    <row r="1494" customFormat="false" ht="15" hidden="false" customHeight="false" outlineLevel="0" collapsed="false">
      <c r="A1494" s="0" t="s">
        <v>2134</v>
      </c>
      <c r="C1494" s="0" t="s">
        <v>1081</v>
      </c>
      <c r="D1494" s="0" t="s">
        <v>78</v>
      </c>
      <c r="E1494" s="0" t="s">
        <v>1102</v>
      </c>
      <c r="F1494" s="0" t="n">
        <v>0</v>
      </c>
      <c r="G1494" s="0" t="n">
        <v>0</v>
      </c>
      <c r="H1494" s="0" t="s">
        <v>117</v>
      </c>
      <c r="K1494" s="0" t="s">
        <v>156</v>
      </c>
      <c r="L1494" s="0" t="s">
        <v>2719</v>
      </c>
    </row>
    <row r="1495" customFormat="false" ht="15" hidden="false" customHeight="false" outlineLevel="0" collapsed="false">
      <c r="A1495" s="0" t="s">
        <v>2134</v>
      </c>
      <c r="C1495" s="0" t="s">
        <v>1081</v>
      </c>
      <c r="D1495" s="0" t="s">
        <v>81</v>
      </c>
      <c r="E1495" s="0" t="s">
        <v>1104</v>
      </c>
      <c r="F1495" s="0" t="n">
        <v>0</v>
      </c>
      <c r="G1495" s="0" t="n">
        <v>0</v>
      </c>
      <c r="H1495" s="0" t="s">
        <v>117</v>
      </c>
      <c r="K1495" s="0" t="s">
        <v>160</v>
      </c>
      <c r="L1495" s="0" t="s">
        <v>2720</v>
      </c>
    </row>
    <row r="1496" customFormat="false" ht="15" hidden="false" customHeight="false" outlineLevel="0" collapsed="false">
      <c r="A1496" s="0" t="s">
        <v>2134</v>
      </c>
      <c r="C1496" s="0" t="s">
        <v>1106</v>
      </c>
      <c r="D1496" s="0" t="s">
        <v>528</v>
      </c>
      <c r="E1496" s="0" t="s">
        <v>1107</v>
      </c>
      <c r="F1496" s="0" t="n">
        <v>0</v>
      </c>
      <c r="G1496" s="0" t="n">
        <v>0</v>
      </c>
      <c r="H1496" s="0" t="s">
        <v>117</v>
      </c>
      <c r="K1496" s="0" t="s">
        <v>118</v>
      </c>
      <c r="L1496" s="0" t="s">
        <v>2721</v>
      </c>
    </row>
    <row r="1497" customFormat="false" ht="15" hidden="false" customHeight="false" outlineLevel="0" collapsed="false">
      <c r="A1497" s="0" t="s">
        <v>2134</v>
      </c>
      <c r="C1497" s="0" t="s">
        <v>1106</v>
      </c>
      <c r="D1497" s="0" t="s">
        <v>531</v>
      </c>
      <c r="E1497" s="0" t="s">
        <v>1109</v>
      </c>
      <c r="F1497" s="0" t="n">
        <v>0</v>
      </c>
      <c r="G1497" s="0" t="n">
        <v>0</v>
      </c>
      <c r="H1497" s="0" t="s">
        <v>117</v>
      </c>
      <c r="K1497" s="0" t="s">
        <v>123</v>
      </c>
      <c r="L1497" s="0" t="s">
        <v>2722</v>
      </c>
    </row>
    <row r="1498" customFormat="false" ht="15" hidden="false" customHeight="false" outlineLevel="0" collapsed="false">
      <c r="A1498" s="0" t="s">
        <v>2134</v>
      </c>
      <c r="C1498" s="0" t="s">
        <v>1106</v>
      </c>
      <c r="D1498" s="0" t="s">
        <v>534</v>
      </c>
      <c r="E1498" s="0" t="s">
        <v>1111</v>
      </c>
      <c r="F1498" s="0" t="n">
        <v>0</v>
      </c>
      <c r="G1498" s="0" t="n">
        <v>0</v>
      </c>
      <c r="H1498" s="0" t="s">
        <v>117</v>
      </c>
      <c r="K1498" s="0" t="s">
        <v>127</v>
      </c>
      <c r="L1498" s="0" t="s">
        <v>2723</v>
      </c>
    </row>
    <row r="1499" customFormat="false" ht="15" hidden="false" customHeight="false" outlineLevel="0" collapsed="false">
      <c r="A1499" s="0" t="s">
        <v>2134</v>
      </c>
      <c r="C1499" s="0" t="s">
        <v>1106</v>
      </c>
      <c r="D1499" s="0" t="s">
        <v>52</v>
      </c>
      <c r="E1499" s="0" t="s">
        <v>1113</v>
      </c>
      <c r="F1499" s="0" t="n">
        <v>0</v>
      </c>
      <c r="G1499" s="0" t="n">
        <v>0</v>
      </c>
      <c r="H1499" s="0" t="s">
        <v>117</v>
      </c>
      <c r="K1499" s="0" t="s">
        <v>132</v>
      </c>
      <c r="L1499" s="0" t="s">
        <v>2724</v>
      </c>
    </row>
    <row r="1500" customFormat="false" ht="15" hidden="false" customHeight="false" outlineLevel="0" collapsed="false">
      <c r="A1500" s="0" t="s">
        <v>2134</v>
      </c>
      <c r="C1500" s="0" t="s">
        <v>1106</v>
      </c>
      <c r="D1500" s="0" t="s">
        <v>55</v>
      </c>
      <c r="E1500" s="0" t="s">
        <v>1115</v>
      </c>
      <c r="F1500" s="0" t="n">
        <v>0</v>
      </c>
      <c r="G1500" s="0" t="n">
        <v>0</v>
      </c>
      <c r="H1500" s="0" t="s">
        <v>117</v>
      </c>
      <c r="K1500" s="0" t="s">
        <v>135</v>
      </c>
      <c r="L1500" s="0" t="s">
        <v>2725</v>
      </c>
    </row>
    <row r="1501" customFormat="false" ht="15" hidden="false" customHeight="false" outlineLevel="0" collapsed="false">
      <c r="A1501" s="0" t="s">
        <v>2134</v>
      </c>
      <c r="C1501" s="0" t="s">
        <v>1106</v>
      </c>
      <c r="D1501" s="0" t="s">
        <v>58</v>
      </c>
      <c r="E1501" s="0" t="s">
        <v>1117</v>
      </c>
      <c r="F1501" s="0" t="n">
        <v>0</v>
      </c>
      <c r="G1501" s="0" t="n">
        <v>0</v>
      </c>
      <c r="H1501" s="0" t="s">
        <v>117</v>
      </c>
      <c r="K1501" s="0" t="s">
        <v>138</v>
      </c>
      <c r="L1501" s="0" t="s">
        <v>2726</v>
      </c>
    </row>
    <row r="1502" customFormat="false" ht="15" hidden="false" customHeight="false" outlineLevel="0" collapsed="false">
      <c r="A1502" s="0" t="s">
        <v>2134</v>
      </c>
      <c r="C1502" s="0" t="s">
        <v>1106</v>
      </c>
      <c r="D1502" s="0" t="s">
        <v>65</v>
      </c>
      <c r="E1502" s="0" t="s">
        <v>1119</v>
      </c>
      <c r="F1502" s="0" t="n">
        <v>0</v>
      </c>
      <c r="G1502" s="0" t="n">
        <v>0</v>
      </c>
      <c r="H1502" s="0" t="s">
        <v>117</v>
      </c>
      <c r="K1502" s="0" t="s">
        <v>143</v>
      </c>
      <c r="L1502" s="0" t="s">
        <v>2727</v>
      </c>
    </row>
    <row r="1503" customFormat="false" ht="15" hidden="false" customHeight="false" outlineLevel="0" collapsed="false">
      <c r="A1503" s="0" t="s">
        <v>2134</v>
      </c>
      <c r="C1503" s="0" t="s">
        <v>1106</v>
      </c>
      <c r="D1503" s="0" t="s">
        <v>69</v>
      </c>
      <c r="E1503" s="0" t="s">
        <v>1121</v>
      </c>
      <c r="F1503" s="0" t="n">
        <v>0</v>
      </c>
      <c r="G1503" s="0" t="n">
        <v>0</v>
      </c>
      <c r="H1503" s="0" t="s">
        <v>117</v>
      </c>
      <c r="K1503" s="0" t="s">
        <v>146</v>
      </c>
      <c r="L1503" s="0" t="s">
        <v>2728</v>
      </c>
    </row>
    <row r="1504" customFormat="false" ht="15" hidden="false" customHeight="false" outlineLevel="0" collapsed="false">
      <c r="A1504" s="0" t="s">
        <v>2134</v>
      </c>
      <c r="C1504" s="0" t="s">
        <v>1106</v>
      </c>
      <c r="D1504" s="0" t="s">
        <v>72</v>
      </c>
      <c r="E1504" s="0" t="s">
        <v>1123</v>
      </c>
      <c r="F1504" s="0" t="n">
        <v>0</v>
      </c>
      <c r="G1504" s="0" t="n">
        <v>0</v>
      </c>
      <c r="H1504" s="0" t="s">
        <v>117</v>
      </c>
      <c r="K1504" s="0" t="s">
        <v>149</v>
      </c>
      <c r="L1504" s="0" t="s">
        <v>2729</v>
      </c>
    </row>
    <row r="1505" customFormat="false" ht="15" hidden="false" customHeight="false" outlineLevel="0" collapsed="false">
      <c r="A1505" s="0" t="s">
        <v>2134</v>
      </c>
      <c r="C1505" s="0" t="s">
        <v>1106</v>
      </c>
      <c r="D1505" s="0" t="s">
        <v>75</v>
      </c>
      <c r="E1505" s="0" t="s">
        <v>1125</v>
      </c>
      <c r="F1505" s="0" t="n">
        <v>0</v>
      </c>
      <c r="G1505" s="0" t="n">
        <v>0</v>
      </c>
      <c r="H1505" s="0" t="s">
        <v>117</v>
      </c>
      <c r="K1505" s="0" t="s">
        <v>152</v>
      </c>
      <c r="L1505" s="0" t="s">
        <v>2730</v>
      </c>
    </row>
    <row r="1506" customFormat="false" ht="15" hidden="false" customHeight="false" outlineLevel="0" collapsed="false">
      <c r="A1506" s="0" t="s">
        <v>2134</v>
      </c>
      <c r="C1506" s="0" t="s">
        <v>1106</v>
      </c>
      <c r="D1506" s="0" t="s">
        <v>78</v>
      </c>
      <c r="E1506" s="0" t="s">
        <v>1127</v>
      </c>
      <c r="F1506" s="0" t="n">
        <v>0</v>
      </c>
      <c r="G1506" s="0" t="n">
        <v>0</v>
      </c>
      <c r="H1506" s="0" t="s">
        <v>117</v>
      </c>
      <c r="K1506" s="0" t="s">
        <v>156</v>
      </c>
      <c r="L1506" s="0" t="s">
        <v>2731</v>
      </c>
    </row>
    <row r="1507" customFormat="false" ht="15" hidden="false" customHeight="false" outlineLevel="0" collapsed="false">
      <c r="A1507" s="0" t="s">
        <v>2134</v>
      </c>
      <c r="C1507" s="0" t="s">
        <v>1106</v>
      </c>
      <c r="D1507" s="0" t="s">
        <v>81</v>
      </c>
      <c r="E1507" s="0" t="s">
        <v>1129</v>
      </c>
      <c r="F1507" s="0" t="n">
        <v>0</v>
      </c>
      <c r="G1507" s="0" t="n">
        <v>0</v>
      </c>
      <c r="H1507" s="0" t="s">
        <v>117</v>
      </c>
      <c r="K1507" s="0" t="s">
        <v>160</v>
      </c>
      <c r="L1507" s="0" t="s">
        <v>2732</v>
      </c>
    </row>
    <row r="1508" customFormat="false" ht="15" hidden="false" customHeight="false" outlineLevel="0" collapsed="false">
      <c r="A1508" s="0" t="s">
        <v>2134</v>
      </c>
      <c r="C1508" s="0" t="s">
        <v>1131</v>
      </c>
      <c r="D1508" s="0" t="s">
        <v>528</v>
      </c>
      <c r="E1508" s="0" t="s">
        <v>1132</v>
      </c>
      <c r="F1508" s="0" t="n">
        <v>0</v>
      </c>
      <c r="G1508" s="0" t="n">
        <v>0</v>
      </c>
      <c r="H1508" s="0" t="s">
        <v>117</v>
      </c>
      <c r="K1508" s="0" t="s">
        <v>118</v>
      </c>
      <c r="L1508" s="0" t="s">
        <v>2733</v>
      </c>
    </row>
    <row r="1509" customFormat="false" ht="15" hidden="false" customHeight="false" outlineLevel="0" collapsed="false">
      <c r="A1509" s="0" t="s">
        <v>2134</v>
      </c>
      <c r="C1509" s="0" t="s">
        <v>1131</v>
      </c>
      <c r="D1509" s="0" t="s">
        <v>531</v>
      </c>
      <c r="E1509" s="0" t="s">
        <v>1134</v>
      </c>
      <c r="F1509" s="0" t="n">
        <v>0</v>
      </c>
      <c r="G1509" s="0" t="n">
        <v>0</v>
      </c>
      <c r="H1509" s="0" t="s">
        <v>117</v>
      </c>
      <c r="K1509" s="0" t="s">
        <v>123</v>
      </c>
      <c r="L1509" s="0" t="s">
        <v>2734</v>
      </c>
    </row>
    <row r="1510" customFormat="false" ht="15" hidden="false" customHeight="false" outlineLevel="0" collapsed="false">
      <c r="A1510" s="0" t="s">
        <v>2134</v>
      </c>
      <c r="C1510" s="0" t="s">
        <v>1131</v>
      </c>
      <c r="D1510" s="0" t="s">
        <v>534</v>
      </c>
      <c r="E1510" s="0" t="s">
        <v>1136</v>
      </c>
      <c r="F1510" s="0" t="n">
        <v>0</v>
      </c>
      <c r="G1510" s="0" t="n">
        <v>0</v>
      </c>
      <c r="H1510" s="0" t="s">
        <v>117</v>
      </c>
      <c r="K1510" s="0" t="s">
        <v>127</v>
      </c>
      <c r="L1510" s="0" t="s">
        <v>2735</v>
      </c>
    </row>
    <row r="1511" customFormat="false" ht="15" hidden="false" customHeight="false" outlineLevel="0" collapsed="false">
      <c r="A1511" s="0" t="s">
        <v>2134</v>
      </c>
      <c r="C1511" s="0" t="s">
        <v>1131</v>
      </c>
      <c r="D1511" s="0" t="s">
        <v>52</v>
      </c>
      <c r="E1511" s="0" t="s">
        <v>1138</v>
      </c>
      <c r="F1511" s="0" t="n">
        <v>0</v>
      </c>
      <c r="G1511" s="0" t="n">
        <v>0</v>
      </c>
      <c r="H1511" s="0" t="s">
        <v>117</v>
      </c>
      <c r="K1511" s="0" t="s">
        <v>132</v>
      </c>
      <c r="L1511" s="0" t="s">
        <v>2736</v>
      </c>
    </row>
    <row r="1512" customFormat="false" ht="15" hidden="false" customHeight="false" outlineLevel="0" collapsed="false">
      <c r="A1512" s="0" t="s">
        <v>2134</v>
      </c>
      <c r="C1512" s="0" t="s">
        <v>1131</v>
      </c>
      <c r="D1512" s="0" t="s">
        <v>55</v>
      </c>
      <c r="E1512" s="0" t="s">
        <v>1140</v>
      </c>
      <c r="F1512" s="0" t="n">
        <v>0</v>
      </c>
      <c r="G1512" s="0" t="n">
        <v>0</v>
      </c>
      <c r="H1512" s="0" t="s">
        <v>117</v>
      </c>
      <c r="K1512" s="0" t="s">
        <v>135</v>
      </c>
      <c r="L1512" s="0" t="s">
        <v>2737</v>
      </c>
    </row>
    <row r="1513" customFormat="false" ht="15" hidden="false" customHeight="false" outlineLevel="0" collapsed="false">
      <c r="A1513" s="0" t="s">
        <v>2134</v>
      </c>
      <c r="C1513" s="0" t="s">
        <v>1131</v>
      </c>
      <c r="D1513" s="0" t="s">
        <v>58</v>
      </c>
      <c r="E1513" s="0" t="s">
        <v>1142</v>
      </c>
      <c r="F1513" s="0" t="n">
        <v>0</v>
      </c>
      <c r="G1513" s="0" t="n">
        <v>0</v>
      </c>
      <c r="H1513" s="0" t="s">
        <v>117</v>
      </c>
      <c r="K1513" s="0" t="s">
        <v>138</v>
      </c>
      <c r="L1513" s="0" t="s">
        <v>2738</v>
      </c>
    </row>
    <row r="1514" customFormat="false" ht="15" hidden="false" customHeight="false" outlineLevel="0" collapsed="false">
      <c r="A1514" s="0" t="s">
        <v>2134</v>
      </c>
      <c r="C1514" s="0" t="s">
        <v>1131</v>
      </c>
      <c r="D1514" s="0" t="s">
        <v>65</v>
      </c>
      <c r="E1514" s="0" t="s">
        <v>1144</v>
      </c>
      <c r="F1514" s="0" t="n">
        <v>0</v>
      </c>
      <c r="G1514" s="0" t="n">
        <v>0</v>
      </c>
      <c r="H1514" s="0" t="s">
        <v>117</v>
      </c>
      <c r="K1514" s="0" t="s">
        <v>143</v>
      </c>
      <c r="L1514" s="0" t="s">
        <v>2739</v>
      </c>
    </row>
    <row r="1515" customFormat="false" ht="15" hidden="false" customHeight="false" outlineLevel="0" collapsed="false">
      <c r="A1515" s="0" t="s">
        <v>2134</v>
      </c>
      <c r="C1515" s="0" t="s">
        <v>1131</v>
      </c>
      <c r="D1515" s="0" t="s">
        <v>69</v>
      </c>
      <c r="E1515" s="0" t="s">
        <v>1146</v>
      </c>
      <c r="F1515" s="0" t="n">
        <v>0</v>
      </c>
      <c r="G1515" s="0" t="n">
        <v>0</v>
      </c>
      <c r="H1515" s="0" t="s">
        <v>117</v>
      </c>
      <c r="K1515" s="0" t="s">
        <v>146</v>
      </c>
      <c r="L1515" s="0" t="s">
        <v>2740</v>
      </c>
    </row>
    <row r="1516" customFormat="false" ht="15" hidden="false" customHeight="false" outlineLevel="0" collapsed="false">
      <c r="A1516" s="0" t="s">
        <v>2134</v>
      </c>
      <c r="C1516" s="0" t="s">
        <v>1131</v>
      </c>
      <c r="D1516" s="0" t="s">
        <v>72</v>
      </c>
      <c r="E1516" s="0" t="s">
        <v>1148</v>
      </c>
      <c r="F1516" s="0" t="n">
        <v>0</v>
      </c>
      <c r="G1516" s="0" t="n">
        <v>0</v>
      </c>
      <c r="H1516" s="0" t="s">
        <v>117</v>
      </c>
      <c r="K1516" s="0" t="s">
        <v>149</v>
      </c>
      <c r="L1516" s="0" t="s">
        <v>2741</v>
      </c>
    </row>
    <row r="1517" customFormat="false" ht="15" hidden="false" customHeight="false" outlineLevel="0" collapsed="false">
      <c r="A1517" s="0" t="s">
        <v>2134</v>
      </c>
      <c r="C1517" s="0" t="s">
        <v>1131</v>
      </c>
      <c r="D1517" s="0" t="s">
        <v>75</v>
      </c>
      <c r="E1517" s="0" t="s">
        <v>1150</v>
      </c>
      <c r="F1517" s="0" t="n">
        <v>0</v>
      </c>
      <c r="G1517" s="0" t="n">
        <v>0</v>
      </c>
      <c r="H1517" s="0" t="s">
        <v>117</v>
      </c>
      <c r="K1517" s="0" t="s">
        <v>152</v>
      </c>
      <c r="L1517" s="0" t="s">
        <v>2742</v>
      </c>
    </row>
    <row r="1518" customFormat="false" ht="15" hidden="false" customHeight="false" outlineLevel="0" collapsed="false">
      <c r="A1518" s="0" t="s">
        <v>2134</v>
      </c>
      <c r="C1518" s="0" t="s">
        <v>1131</v>
      </c>
      <c r="D1518" s="0" t="s">
        <v>78</v>
      </c>
      <c r="E1518" s="0" t="s">
        <v>1152</v>
      </c>
      <c r="F1518" s="0" t="n">
        <v>0</v>
      </c>
      <c r="G1518" s="0" t="n">
        <v>0</v>
      </c>
      <c r="H1518" s="0" t="s">
        <v>117</v>
      </c>
      <c r="K1518" s="0" t="s">
        <v>156</v>
      </c>
      <c r="L1518" s="0" t="s">
        <v>2743</v>
      </c>
    </row>
    <row r="1519" customFormat="false" ht="15" hidden="false" customHeight="false" outlineLevel="0" collapsed="false">
      <c r="A1519" s="0" t="s">
        <v>2134</v>
      </c>
      <c r="C1519" s="0" t="s">
        <v>1131</v>
      </c>
      <c r="D1519" s="0" t="s">
        <v>81</v>
      </c>
      <c r="E1519" s="0" t="s">
        <v>1154</v>
      </c>
      <c r="F1519" s="0" t="n">
        <v>0</v>
      </c>
      <c r="G1519" s="0" t="n">
        <v>0</v>
      </c>
      <c r="H1519" s="0" t="s">
        <v>117</v>
      </c>
      <c r="K1519" s="0" t="s">
        <v>160</v>
      </c>
      <c r="L1519" s="0" t="s">
        <v>2744</v>
      </c>
    </row>
    <row r="1520" customFormat="false" ht="15" hidden="false" customHeight="false" outlineLevel="0" collapsed="false">
      <c r="A1520" s="0" t="s">
        <v>2134</v>
      </c>
      <c r="C1520" s="0" t="s">
        <v>1156</v>
      </c>
      <c r="D1520" s="0" t="s">
        <v>528</v>
      </c>
      <c r="E1520" s="0" t="s">
        <v>1157</v>
      </c>
      <c r="F1520" s="0" t="n">
        <v>0</v>
      </c>
      <c r="G1520" s="0" t="n">
        <v>0</v>
      </c>
      <c r="H1520" s="0" t="s">
        <v>117</v>
      </c>
      <c r="K1520" s="0" t="s">
        <v>118</v>
      </c>
      <c r="L1520" s="0" t="s">
        <v>2745</v>
      </c>
    </row>
    <row r="1521" customFormat="false" ht="15" hidden="false" customHeight="false" outlineLevel="0" collapsed="false">
      <c r="A1521" s="0" t="s">
        <v>2134</v>
      </c>
      <c r="C1521" s="0" t="s">
        <v>1156</v>
      </c>
      <c r="D1521" s="0" t="s">
        <v>531</v>
      </c>
      <c r="E1521" s="0" t="s">
        <v>1159</v>
      </c>
      <c r="F1521" s="0" t="n">
        <v>0</v>
      </c>
      <c r="G1521" s="0" t="n">
        <v>0</v>
      </c>
      <c r="H1521" s="0" t="s">
        <v>117</v>
      </c>
      <c r="K1521" s="0" t="s">
        <v>123</v>
      </c>
      <c r="L1521" s="0" t="s">
        <v>2746</v>
      </c>
    </row>
    <row r="1522" customFormat="false" ht="15" hidden="false" customHeight="false" outlineLevel="0" collapsed="false">
      <c r="A1522" s="0" t="s">
        <v>2134</v>
      </c>
      <c r="C1522" s="0" t="s">
        <v>1156</v>
      </c>
      <c r="D1522" s="0" t="s">
        <v>534</v>
      </c>
      <c r="E1522" s="0" t="s">
        <v>1161</v>
      </c>
      <c r="F1522" s="0" t="n">
        <v>0</v>
      </c>
      <c r="G1522" s="0" t="n">
        <v>0</v>
      </c>
      <c r="H1522" s="0" t="s">
        <v>117</v>
      </c>
      <c r="K1522" s="0" t="s">
        <v>127</v>
      </c>
      <c r="L1522" s="0" t="s">
        <v>2747</v>
      </c>
    </row>
    <row r="1523" customFormat="false" ht="15" hidden="false" customHeight="false" outlineLevel="0" collapsed="false">
      <c r="A1523" s="0" t="s">
        <v>2134</v>
      </c>
      <c r="C1523" s="0" t="s">
        <v>1156</v>
      </c>
      <c r="D1523" s="0" t="s">
        <v>52</v>
      </c>
      <c r="E1523" s="0" t="s">
        <v>1163</v>
      </c>
      <c r="F1523" s="0" t="n">
        <v>0</v>
      </c>
      <c r="G1523" s="0" t="n">
        <v>0</v>
      </c>
      <c r="H1523" s="0" t="s">
        <v>117</v>
      </c>
      <c r="K1523" s="0" t="s">
        <v>132</v>
      </c>
      <c r="L1523" s="0" t="s">
        <v>2748</v>
      </c>
    </row>
    <row r="1524" customFormat="false" ht="15" hidden="false" customHeight="false" outlineLevel="0" collapsed="false">
      <c r="A1524" s="0" t="s">
        <v>2134</v>
      </c>
      <c r="C1524" s="0" t="s">
        <v>1156</v>
      </c>
      <c r="D1524" s="0" t="s">
        <v>55</v>
      </c>
      <c r="E1524" s="0" t="s">
        <v>1165</v>
      </c>
      <c r="F1524" s="0" t="n">
        <v>0</v>
      </c>
      <c r="G1524" s="0" t="n">
        <v>0</v>
      </c>
      <c r="H1524" s="0" t="s">
        <v>117</v>
      </c>
      <c r="K1524" s="0" t="s">
        <v>135</v>
      </c>
      <c r="L1524" s="0" t="s">
        <v>2749</v>
      </c>
    </row>
    <row r="1525" customFormat="false" ht="15" hidden="false" customHeight="false" outlineLevel="0" collapsed="false">
      <c r="A1525" s="0" t="s">
        <v>2134</v>
      </c>
      <c r="C1525" s="0" t="s">
        <v>1156</v>
      </c>
      <c r="D1525" s="0" t="s">
        <v>58</v>
      </c>
      <c r="E1525" s="0" t="s">
        <v>1167</v>
      </c>
      <c r="F1525" s="0" t="n">
        <v>0</v>
      </c>
      <c r="G1525" s="0" t="n">
        <v>0</v>
      </c>
      <c r="H1525" s="0" t="s">
        <v>117</v>
      </c>
      <c r="K1525" s="0" t="s">
        <v>138</v>
      </c>
      <c r="L1525" s="0" t="s">
        <v>2750</v>
      </c>
    </row>
    <row r="1526" customFormat="false" ht="15" hidden="false" customHeight="false" outlineLevel="0" collapsed="false">
      <c r="A1526" s="0" t="s">
        <v>2134</v>
      </c>
      <c r="C1526" s="0" t="s">
        <v>1156</v>
      </c>
      <c r="D1526" s="0" t="s">
        <v>65</v>
      </c>
      <c r="E1526" s="0" t="s">
        <v>1169</v>
      </c>
      <c r="F1526" s="0" t="n">
        <v>0</v>
      </c>
      <c r="G1526" s="0" t="n">
        <v>0</v>
      </c>
      <c r="H1526" s="0" t="s">
        <v>117</v>
      </c>
      <c r="K1526" s="0" t="s">
        <v>143</v>
      </c>
      <c r="L1526" s="0" t="s">
        <v>2751</v>
      </c>
    </row>
    <row r="1527" customFormat="false" ht="15" hidden="false" customHeight="false" outlineLevel="0" collapsed="false">
      <c r="A1527" s="0" t="s">
        <v>2134</v>
      </c>
      <c r="C1527" s="0" t="s">
        <v>1156</v>
      </c>
      <c r="D1527" s="0" t="s">
        <v>69</v>
      </c>
      <c r="E1527" s="0" t="s">
        <v>1171</v>
      </c>
      <c r="F1527" s="0" t="n">
        <v>0</v>
      </c>
      <c r="G1527" s="0" t="n">
        <v>0</v>
      </c>
      <c r="H1527" s="0" t="s">
        <v>117</v>
      </c>
      <c r="K1527" s="0" t="s">
        <v>146</v>
      </c>
      <c r="L1527" s="0" t="s">
        <v>2752</v>
      </c>
    </row>
    <row r="1528" customFormat="false" ht="15" hidden="false" customHeight="false" outlineLevel="0" collapsed="false">
      <c r="A1528" s="0" t="s">
        <v>2134</v>
      </c>
      <c r="C1528" s="0" t="s">
        <v>1156</v>
      </c>
      <c r="D1528" s="0" t="s">
        <v>72</v>
      </c>
      <c r="E1528" s="0" t="s">
        <v>1173</v>
      </c>
      <c r="F1528" s="0" t="n">
        <v>0</v>
      </c>
      <c r="G1528" s="0" t="n">
        <v>0</v>
      </c>
      <c r="H1528" s="0" t="s">
        <v>117</v>
      </c>
      <c r="K1528" s="0" t="s">
        <v>149</v>
      </c>
      <c r="L1528" s="0" t="s">
        <v>2753</v>
      </c>
    </row>
    <row r="1529" customFormat="false" ht="15" hidden="false" customHeight="false" outlineLevel="0" collapsed="false">
      <c r="A1529" s="0" t="s">
        <v>2134</v>
      </c>
      <c r="C1529" s="0" t="s">
        <v>1156</v>
      </c>
      <c r="D1529" s="0" t="s">
        <v>75</v>
      </c>
      <c r="E1529" s="0" t="s">
        <v>1175</v>
      </c>
      <c r="F1529" s="0" t="n">
        <v>0</v>
      </c>
      <c r="G1529" s="0" t="n">
        <v>0</v>
      </c>
      <c r="H1529" s="0" t="s">
        <v>117</v>
      </c>
      <c r="K1529" s="0" t="s">
        <v>152</v>
      </c>
      <c r="L1529" s="0" t="s">
        <v>2754</v>
      </c>
    </row>
    <row r="1530" customFormat="false" ht="15" hidden="false" customHeight="false" outlineLevel="0" collapsed="false">
      <c r="A1530" s="0" t="s">
        <v>2134</v>
      </c>
      <c r="C1530" s="0" t="s">
        <v>1156</v>
      </c>
      <c r="D1530" s="0" t="s">
        <v>78</v>
      </c>
      <c r="E1530" s="0" t="s">
        <v>1177</v>
      </c>
      <c r="F1530" s="0" t="n">
        <v>0</v>
      </c>
      <c r="G1530" s="0" t="n">
        <v>0</v>
      </c>
      <c r="H1530" s="0" t="s">
        <v>117</v>
      </c>
      <c r="K1530" s="0" t="s">
        <v>156</v>
      </c>
      <c r="L1530" s="0" t="s">
        <v>2755</v>
      </c>
    </row>
    <row r="1531" customFormat="false" ht="15" hidden="false" customHeight="false" outlineLevel="0" collapsed="false">
      <c r="A1531" s="0" t="s">
        <v>2134</v>
      </c>
      <c r="C1531" s="0" t="s">
        <v>1156</v>
      </c>
      <c r="D1531" s="0" t="s">
        <v>81</v>
      </c>
      <c r="E1531" s="0" t="s">
        <v>2104</v>
      </c>
      <c r="F1531" s="0" t="n">
        <v>0</v>
      </c>
      <c r="G1531" s="0" t="n">
        <v>0</v>
      </c>
      <c r="H1531" s="0" t="s">
        <v>117</v>
      </c>
      <c r="K1531" s="0" t="s">
        <v>160</v>
      </c>
      <c r="L1531" s="0" t="s">
        <v>2756</v>
      </c>
    </row>
    <row r="1532" customFormat="false" ht="15" hidden="false" customHeight="false" outlineLevel="0" collapsed="false">
      <c r="A1532" s="0" t="s">
        <v>2134</v>
      </c>
      <c r="C1532" s="0" t="s">
        <v>1181</v>
      </c>
      <c r="D1532" s="0" t="s">
        <v>528</v>
      </c>
      <c r="E1532" s="0" t="s">
        <v>1182</v>
      </c>
      <c r="F1532" s="0" t="n">
        <v>0</v>
      </c>
      <c r="G1532" s="0" t="n">
        <v>0</v>
      </c>
      <c r="H1532" s="0" t="s">
        <v>117</v>
      </c>
      <c r="K1532" s="0" t="s">
        <v>118</v>
      </c>
      <c r="L1532" s="0" t="s">
        <v>2757</v>
      </c>
    </row>
    <row r="1533" customFormat="false" ht="15" hidden="false" customHeight="false" outlineLevel="0" collapsed="false">
      <c r="A1533" s="0" t="s">
        <v>2134</v>
      </c>
      <c r="B1533" s="0" t="s">
        <v>2609</v>
      </c>
      <c r="C1533" s="0" t="s">
        <v>1181</v>
      </c>
      <c r="D1533" s="0" t="s">
        <v>531</v>
      </c>
      <c r="E1533" s="0" t="s">
        <v>2758</v>
      </c>
      <c r="F1533" s="0" t="n">
        <v>0</v>
      </c>
      <c r="G1533" s="0" t="n">
        <v>3</v>
      </c>
      <c r="H1533" s="0" t="s">
        <v>117</v>
      </c>
      <c r="I1533" s="0" t="s">
        <v>2400</v>
      </c>
      <c r="K1533" s="0" t="s">
        <v>123</v>
      </c>
      <c r="L1533" s="0" t="s">
        <v>2759</v>
      </c>
    </row>
    <row r="1534" customFormat="false" ht="15" hidden="false" customHeight="false" outlineLevel="0" collapsed="false">
      <c r="A1534" s="0" t="s">
        <v>2134</v>
      </c>
      <c r="C1534" s="0" t="s">
        <v>1181</v>
      </c>
      <c r="D1534" s="0" t="s">
        <v>534</v>
      </c>
      <c r="E1534" s="0" t="s">
        <v>2109</v>
      </c>
      <c r="F1534" s="0" t="n">
        <v>0</v>
      </c>
      <c r="G1534" s="0" t="n">
        <v>0</v>
      </c>
      <c r="H1534" s="0" t="s">
        <v>117</v>
      </c>
      <c r="K1534" s="0" t="s">
        <v>127</v>
      </c>
      <c r="L1534" s="0" t="s">
        <v>2760</v>
      </c>
    </row>
    <row r="1535" customFormat="false" ht="15" hidden="false" customHeight="false" outlineLevel="0" collapsed="false">
      <c r="A1535" s="0" t="s">
        <v>2134</v>
      </c>
      <c r="C1535" s="0" t="s">
        <v>1181</v>
      </c>
      <c r="D1535" s="0" t="s">
        <v>52</v>
      </c>
      <c r="E1535" s="0" t="s">
        <v>2111</v>
      </c>
      <c r="F1535" s="0" t="n">
        <v>0</v>
      </c>
      <c r="G1535" s="0" t="n">
        <v>0</v>
      </c>
      <c r="H1535" s="0" t="s">
        <v>117</v>
      </c>
      <c r="K1535" s="0" t="s">
        <v>132</v>
      </c>
      <c r="L1535" s="0" t="s">
        <v>2761</v>
      </c>
    </row>
    <row r="1536" customFormat="false" ht="15" hidden="false" customHeight="false" outlineLevel="0" collapsed="false">
      <c r="A1536" s="0" t="s">
        <v>2134</v>
      </c>
      <c r="C1536" s="0" t="s">
        <v>1181</v>
      </c>
      <c r="D1536" s="0" t="s">
        <v>55</v>
      </c>
      <c r="E1536" s="0" t="s">
        <v>1190</v>
      </c>
      <c r="F1536" s="0" t="n">
        <v>0</v>
      </c>
      <c r="G1536" s="0" t="n">
        <v>0</v>
      </c>
      <c r="H1536" s="0" t="s">
        <v>117</v>
      </c>
      <c r="K1536" s="0" t="s">
        <v>135</v>
      </c>
      <c r="L1536" s="0" t="s">
        <v>2762</v>
      </c>
    </row>
    <row r="1537" customFormat="false" ht="15" hidden="false" customHeight="false" outlineLevel="0" collapsed="false">
      <c r="A1537" s="0" t="s">
        <v>2134</v>
      </c>
      <c r="C1537" s="0" t="s">
        <v>1181</v>
      </c>
      <c r="D1537" s="0" t="s">
        <v>58</v>
      </c>
      <c r="E1537" s="0" t="s">
        <v>1192</v>
      </c>
      <c r="F1537" s="0" t="n">
        <v>0</v>
      </c>
      <c r="G1537" s="0" t="n">
        <v>0</v>
      </c>
      <c r="H1537" s="0" t="s">
        <v>117</v>
      </c>
      <c r="K1537" s="0" t="s">
        <v>138</v>
      </c>
      <c r="L1537" s="0" t="s">
        <v>2763</v>
      </c>
    </row>
    <row r="1538" customFormat="false" ht="15" hidden="false" customHeight="false" outlineLevel="0" collapsed="false">
      <c r="A1538" s="0" t="s">
        <v>2134</v>
      </c>
      <c r="C1538" s="0" t="s">
        <v>1181</v>
      </c>
      <c r="D1538" s="0" t="s">
        <v>65</v>
      </c>
      <c r="E1538" s="0" t="s">
        <v>1194</v>
      </c>
      <c r="F1538" s="0" t="n">
        <v>0</v>
      </c>
      <c r="G1538" s="0" t="n">
        <v>0</v>
      </c>
      <c r="H1538" s="0" t="s">
        <v>117</v>
      </c>
      <c r="K1538" s="0" t="s">
        <v>143</v>
      </c>
      <c r="L1538" s="0" t="s">
        <v>2764</v>
      </c>
    </row>
    <row r="1539" customFormat="false" ht="15" hidden="false" customHeight="false" outlineLevel="0" collapsed="false">
      <c r="A1539" s="0" t="s">
        <v>2134</v>
      </c>
      <c r="C1539" s="0" t="s">
        <v>1181</v>
      </c>
      <c r="D1539" s="0" t="s">
        <v>69</v>
      </c>
      <c r="E1539" s="0" t="s">
        <v>1196</v>
      </c>
      <c r="F1539" s="0" t="n">
        <v>0</v>
      </c>
      <c r="G1539" s="0" t="n">
        <v>0</v>
      </c>
      <c r="H1539" s="0" t="s">
        <v>117</v>
      </c>
      <c r="K1539" s="0" t="s">
        <v>146</v>
      </c>
      <c r="L1539" s="0" t="s">
        <v>2765</v>
      </c>
    </row>
    <row r="1540" customFormat="false" ht="15" hidden="false" customHeight="false" outlineLevel="0" collapsed="false">
      <c r="A1540" s="0" t="s">
        <v>2134</v>
      </c>
      <c r="C1540" s="0" t="s">
        <v>1181</v>
      </c>
      <c r="D1540" s="0" t="s">
        <v>72</v>
      </c>
      <c r="E1540" s="0" t="s">
        <v>1198</v>
      </c>
      <c r="F1540" s="0" t="n">
        <v>0</v>
      </c>
      <c r="G1540" s="0" t="n">
        <v>0</v>
      </c>
      <c r="H1540" s="0" t="s">
        <v>117</v>
      </c>
      <c r="K1540" s="0" t="s">
        <v>149</v>
      </c>
      <c r="L1540" s="0" t="s">
        <v>2766</v>
      </c>
    </row>
    <row r="1541" customFormat="false" ht="15" hidden="false" customHeight="false" outlineLevel="0" collapsed="false">
      <c r="A1541" s="0" t="s">
        <v>2134</v>
      </c>
      <c r="C1541" s="0" t="s">
        <v>1181</v>
      </c>
      <c r="D1541" s="0" t="s">
        <v>75</v>
      </c>
      <c r="E1541" s="0" t="s">
        <v>1200</v>
      </c>
      <c r="F1541" s="0" t="n">
        <v>0</v>
      </c>
      <c r="G1541" s="0" t="n">
        <v>0</v>
      </c>
      <c r="H1541" s="0" t="s">
        <v>117</v>
      </c>
      <c r="K1541" s="0" t="s">
        <v>152</v>
      </c>
      <c r="L1541" s="0" t="s">
        <v>2767</v>
      </c>
    </row>
    <row r="1542" customFormat="false" ht="15" hidden="false" customHeight="false" outlineLevel="0" collapsed="false">
      <c r="A1542" s="0" t="s">
        <v>2134</v>
      </c>
      <c r="C1542" s="0" t="s">
        <v>1181</v>
      </c>
      <c r="D1542" s="0" t="s">
        <v>78</v>
      </c>
      <c r="E1542" s="0" t="s">
        <v>1202</v>
      </c>
      <c r="F1542" s="0" t="n">
        <v>0</v>
      </c>
      <c r="G1542" s="0" t="n">
        <v>0</v>
      </c>
      <c r="H1542" s="0" t="s">
        <v>117</v>
      </c>
      <c r="K1542" s="0" t="s">
        <v>156</v>
      </c>
      <c r="L1542" s="0" t="s">
        <v>2768</v>
      </c>
    </row>
    <row r="1543" customFormat="false" ht="15" hidden="false" customHeight="false" outlineLevel="0" collapsed="false">
      <c r="A1543" s="0" t="s">
        <v>2134</v>
      </c>
      <c r="C1543" s="0" t="s">
        <v>1181</v>
      </c>
      <c r="D1543" s="0" t="s">
        <v>81</v>
      </c>
      <c r="E1543" s="0" t="s">
        <v>1204</v>
      </c>
      <c r="F1543" s="0" t="n">
        <v>0</v>
      </c>
      <c r="G1543" s="0" t="n">
        <v>0</v>
      </c>
      <c r="H1543" s="0" t="s">
        <v>117</v>
      </c>
      <c r="K1543" s="0" t="s">
        <v>160</v>
      </c>
      <c r="L1543" s="0" t="s">
        <v>2769</v>
      </c>
    </row>
    <row r="1544" customFormat="false" ht="15" hidden="false" customHeight="false" outlineLevel="0" collapsed="false">
      <c r="A1544" s="0" t="s">
        <v>2134</v>
      </c>
      <c r="C1544" s="0" t="s">
        <v>1206</v>
      </c>
      <c r="D1544" s="0" t="s">
        <v>528</v>
      </c>
      <c r="E1544" s="0" t="s">
        <v>1207</v>
      </c>
      <c r="F1544" s="0" t="n">
        <v>0</v>
      </c>
      <c r="G1544" s="0" t="n">
        <v>0</v>
      </c>
      <c r="H1544" s="0" t="s">
        <v>117</v>
      </c>
      <c r="K1544" s="0" t="s">
        <v>118</v>
      </c>
      <c r="L1544" s="0" t="s">
        <v>2770</v>
      </c>
    </row>
    <row r="1545" customFormat="false" ht="15" hidden="false" customHeight="false" outlineLevel="0" collapsed="false">
      <c r="A1545" s="0" t="s">
        <v>2134</v>
      </c>
      <c r="C1545" s="0" t="s">
        <v>1206</v>
      </c>
      <c r="D1545" s="0" t="s">
        <v>531</v>
      </c>
      <c r="E1545" s="0" t="s">
        <v>1209</v>
      </c>
      <c r="F1545" s="0" t="n">
        <v>0</v>
      </c>
      <c r="G1545" s="0" t="n">
        <v>0</v>
      </c>
      <c r="H1545" s="0" t="s">
        <v>117</v>
      </c>
      <c r="K1545" s="0" t="s">
        <v>123</v>
      </c>
      <c r="L1545" s="0" t="s">
        <v>2771</v>
      </c>
    </row>
    <row r="1546" customFormat="false" ht="15" hidden="false" customHeight="false" outlineLevel="0" collapsed="false">
      <c r="A1546" s="0" t="s">
        <v>2134</v>
      </c>
      <c r="C1546" s="0" t="s">
        <v>1206</v>
      </c>
      <c r="D1546" s="0" t="s">
        <v>534</v>
      </c>
      <c r="E1546" s="0" t="s">
        <v>1211</v>
      </c>
      <c r="F1546" s="0" t="n">
        <v>0</v>
      </c>
      <c r="G1546" s="0" t="n">
        <v>0</v>
      </c>
      <c r="H1546" s="0" t="s">
        <v>117</v>
      </c>
      <c r="K1546" s="0" t="s">
        <v>127</v>
      </c>
      <c r="L1546" s="0" t="s">
        <v>2772</v>
      </c>
    </row>
    <row r="1547" customFormat="false" ht="15" hidden="false" customHeight="false" outlineLevel="0" collapsed="false">
      <c r="A1547" s="0" t="s">
        <v>2134</v>
      </c>
      <c r="C1547" s="0" t="s">
        <v>1206</v>
      </c>
      <c r="D1547" s="0" t="s">
        <v>52</v>
      </c>
      <c r="E1547" s="0" t="s">
        <v>1213</v>
      </c>
      <c r="F1547" s="0" t="n">
        <v>0</v>
      </c>
      <c r="G1547" s="0" t="n">
        <v>0</v>
      </c>
      <c r="H1547" s="0" t="s">
        <v>117</v>
      </c>
      <c r="K1547" s="0" t="s">
        <v>132</v>
      </c>
      <c r="L1547" s="0" t="s">
        <v>2773</v>
      </c>
    </row>
    <row r="1548" customFormat="false" ht="15" hidden="false" customHeight="false" outlineLevel="0" collapsed="false">
      <c r="A1548" s="0" t="s">
        <v>2134</v>
      </c>
      <c r="C1548" s="0" t="s">
        <v>1206</v>
      </c>
      <c r="D1548" s="0" t="s">
        <v>55</v>
      </c>
      <c r="E1548" s="0" t="s">
        <v>1215</v>
      </c>
      <c r="F1548" s="0" t="n">
        <v>0</v>
      </c>
      <c r="G1548" s="0" t="n">
        <v>0</v>
      </c>
      <c r="H1548" s="0" t="s">
        <v>117</v>
      </c>
      <c r="K1548" s="0" t="s">
        <v>135</v>
      </c>
      <c r="L1548" s="0" t="s">
        <v>2774</v>
      </c>
    </row>
    <row r="1549" customFormat="false" ht="15" hidden="false" customHeight="false" outlineLevel="0" collapsed="false">
      <c r="A1549" s="0" t="s">
        <v>2134</v>
      </c>
      <c r="C1549" s="0" t="s">
        <v>1206</v>
      </c>
      <c r="D1549" s="0" t="s">
        <v>58</v>
      </c>
      <c r="E1549" s="0" t="s">
        <v>1217</v>
      </c>
      <c r="F1549" s="0" t="n">
        <v>0</v>
      </c>
      <c r="G1549" s="0" t="n">
        <v>0</v>
      </c>
      <c r="H1549" s="0" t="s">
        <v>117</v>
      </c>
      <c r="K1549" s="0" t="s">
        <v>138</v>
      </c>
      <c r="L1549" s="0" t="s">
        <v>2775</v>
      </c>
    </row>
    <row r="1550" customFormat="false" ht="15" hidden="false" customHeight="false" outlineLevel="0" collapsed="false">
      <c r="A1550" s="0" t="s">
        <v>2134</v>
      </c>
      <c r="C1550" s="0" t="s">
        <v>1206</v>
      </c>
      <c r="D1550" s="0" t="s">
        <v>65</v>
      </c>
      <c r="E1550" s="0" t="s">
        <v>1219</v>
      </c>
      <c r="F1550" s="0" t="n">
        <v>0</v>
      </c>
      <c r="G1550" s="0" t="n">
        <v>0</v>
      </c>
      <c r="H1550" s="0" t="s">
        <v>117</v>
      </c>
      <c r="K1550" s="0" t="s">
        <v>143</v>
      </c>
      <c r="L1550" s="0" t="s">
        <v>2776</v>
      </c>
    </row>
    <row r="1551" customFormat="false" ht="15" hidden="false" customHeight="false" outlineLevel="0" collapsed="false">
      <c r="A1551" s="0" t="s">
        <v>2134</v>
      </c>
      <c r="C1551" s="0" t="s">
        <v>1206</v>
      </c>
      <c r="D1551" s="0" t="s">
        <v>69</v>
      </c>
      <c r="E1551" s="0" t="s">
        <v>1221</v>
      </c>
      <c r="F1551" s="0" t="n">
        <v>0</v>
      </c>
      <c r="G1551" s="0" t="n">
        <v>0</v>
      </c>
      <c r="H1551" s="0" t="s">
        <v>117</v>
      </c>
      <c r="K1551" s="0" t="s">
        <v>146</v>
      </c>
      <c r="L1551" s="0" t="s">
        <v>2777</v>
      </c>
    </row>
    <row r="1552" customFormat="false" ht="15" hidden="false" customHeight="false" outlineLevel="0" collapsed="false">
      <c r="A1552" s="0" t="s">
        <v>2134</v>
      </c>
      <c r="C1552" s="0" t="s">
        <v>1206</v>
      </c>
      <c r="D1552" s="0" t="s">
        <v>72</v>
      </c>
      <c r="E1552" s="0" t="s">
        <v>1223</v>
      </c>
      <c r="F1552" s="0" t="n">
        <v>0</v>
      </c>
      <c r="G1552" s="0" t="n">
        <v>0</v>
      </c>
      <c r="H1552" s="0" t="s">
        <v>117</v>
      </c>
      <c r="K1552" s="0" t="s">
        <v>149</v>
      </c>
      <c r="L1552" s="0" t="s">
        <v>2778</v>
      </c>
    </row>
    <row r="1553" customFormat="false" ht="15" hidden="false" customHeight="false" outlineLevel="0" collapsed="false">
      <c r="A1553" s="0" t="s">
        <v>2134</v>
      </c>
      <c r="C1553" s="0" t="s">
        <v>1206</v>
      </c>
      <c r="D1553" s="0" t="s">
        <v>75</v>
      </c>
      <c r="E1553" s="0" t="s">
        <v>1225</v>
      </c>
      <c r="F1553" s="0" t="n">
        <v>0</v>
      </c>
      <c r="G1553" s="0" t="n">
        <v>0</v>
      </c>
      <c r="H1553" s="0" t="s">
        <v>117</v>
      </c>
      <c r="K1553" s="0" t="s">
        <v>152</v>
      </c>
      <c r="L1553" s="0" t="s">
        <v>2779</v>
      </c>
    </row>
    <row r="1554" customFormat="false" ht="15" hidden="false" customHeight="false" outlineLevel="0" collapsed="false">
      <c r="A1554" s="0" t="s">
        <v>2134</v>
      </c>
      <c r="C1554" s="0" t="s">
        <v>1206</v>
      </c>
      <c r="D1554" s="0" t="s">
        <v>78</v>
      </c>
      <c r="E1554" s="0" t="s">
        <v>2131</v>
      </c>
      <c r="F1554" s="0" t="n">
        <v>0</v>
      </c>
      <c r="G1554" s="0" t="n">
        <v>0</v>
      </c>
      <c r="H1554" s="0" t="s">
        <v>117</v>
      </c>
      <c r="K1554" s="0" t="s">
        <v>156</v>
      </c>
      <c r="L1554" s="0" t="s">
        <v>2780</v>
      </c>
    </row>
    <row r="1555" customFormat="false" ht="15" hidden="false" customHeight="false" outlineLevel="0" collapsed="false">
      <c r="A1555" s="0" t="s">
        <v>2134</v>
      </c>
      <c r="C1555" s="0" t="s">
        <v>1206</v>
      </c>
      <c r="D1555" s="0" t="s">
        <v>81</v>
      </c>
      <c r="E1555" s="0" t="s">
        <v>1229</v>
      </c>
      <c r="F1555" s="0" t="n">
        <v>0</v>
      </c>
      <c r="G1555" s="0" t="n">
        <v>0</v>
      </c>
      <c r="H1555" s="0" t="s">
        <v>117</v>
      </c>
      <c r="K1555" s="0" t="s">
        <v>160</v>
      </c>
      <c r="L1555" s="0" t="s">
        <v>2781</v>
      </c>
    </row>
    <row r="1556" customFormat="false" ht="15" hidden="false" customHeight="false" outlineLevel="0" collapsed="false">
      <c r="A1556" s="0" t="s">
        <v>2782</v>
      </c>
      <c r="B1556" s="0" t="s">
        <v>350</v>
      </c>
      <c r="C1556" s="0" t="s">
        <v>114</v>
      </c>
      <c r="D1556" s="0" t="s">
        <v>528</v>
      </c>
      <c r="E1556" s="0" t="s">
        <v>2783</v>
      </c>
      <c r="F1556" s="0" t="n">
        <v>5</v>
      </c>
      <c r="G1556" s="0" t="n">
        <v>0</v>
      </c>
      <c r="H1556" s="0" t="s">
        <v>122</v>
      </c>
      <c r="K1556" s="0" t="s">
        <v>118</v>
      </c>
      <c r="L1556" s="0" t="s">
        <v>2784</v>
      </c>
    </row>
    <row r="1557" customFormat="false" ht="15" hidden="false" customHeight="false" outlineLevel="0" collapsed="false">
      <c r="A1557" s="0" t="s">
        <v>2782</v>
      </c>
      <c r="B1557" s="0" t="s">
        <v>129</v>
      </c>
      <c r="C1557" s="0" t="s">
        <v>114</v>
      </c>
      <c r="D1557" s="0" t="s">
        <v>531</v>
      </c>
      <c r="E1557" s="0" t="s">
        <v>1234</v>
      </c>
      <c r="F1557" s="0" t="n">
        <v>5</v>
      </c>
      <c r="G1557" s="0" t="n">
        <v>0</v>
      </c>
      <c r="H1557" s="0" t="s">
        <v>122</v>
      </c>
      <c r="K1557" s="0" t="s">
        <v>123</v>
      </c>
      <c r="L1557" s="0" t="s">
        <v>2785</v>
      </c>
    </row>
    <row r="1558" customFormat="false" ht="15" hidden="false" customHeight="false" outlineLevel="0" collapsed="false">
      <c r="A1558" s="0" t="s">
        <v>2782</v>
      </c>
      <c r="B1558" s="0" t="s">
        <v>350</v>
      </c>
      <c r="C1558" s="0" t="s">
        <v>114</v>
      </c>
      <c r="D1558" s="0" t="s">
        <v>534</v>
      </c>
      <c r="E1558" s="0" t="s">
        <v>2786</v>
      </c>
      <c r="F1558" s="0" t="n">
        <v>5</v>
      </c>
      <c r="G1558" s="0" t="n">
        <v>0</v>
      </c>
      <c r="H1558" s="0" t="s">
        <v>122</v>
      </c>
      <c r="K1558" s="0" t="s">
        <v>127</v>
      </c>
      <c r="L1558" s="0" t="s">
        <v>2787</v>
      </c>
    </row>
    <row r="1559" customFormat="false" ht="15" hidden="false" customHeight="false" outlineLevel="0" collapsed="false">
      <c r="A1559" s="0" t="s">
        <v>2782</v>
      </c>
      <c r="B1559" s="0" t="s">
        <v>129</v>
      </c>
      <c r="C1559" s="0" t="s">
        <v>114</v>
      </c>
      <c r="D1559" s="0" t="s">
        <v>52</v>
      </c>
      <c r="E1559" s="0" t="s">
        <v>1239</v>
      </c>
      <c r="F1559" s="0" t="n">
        <v>5</v>
      </c>
      <c r="G1559" s="0" t="n">
        <v>0</v>
      </c>
      <c r="H1559" s="0" t="s">
        <v>122</v>
      </c>
      <c r="K1559" s="0" t="s">
        <v>132</v>
      </c>
      <c r="L1559" s="0" t="s">
        <v>2788</v>
      </c>
    </row>
    <row r="1560" customFormat="false" ht="15" hidden="false" customHeight="false" outlineLevel="0" collapsed="false">
      <c r="A1560" s="0" t="s">
        <v>2782</v>
      </c>
      <c r="B1560" s="0" t="s">
        <v>350</v>
      </c>
      <c r="C1560" s="0" t="s">
        <v>114</v>
      </c>
      <c r="D1560" s="0" t="s">
        <v>55</v>
      </c>
      <c r="E1560" s="0" t="s">
        <v>2789</v>
      </c>
      <c r="F1560" s="0" t="n">
        <v>5</v>
      </c>
      <c r="G1560" s="0" t="n">
        <v>0</v>
      </c>
      <c r="H1560" s="0" t="s">
        <v>122</v>
      </c>
      <c r="K1560" s="0" t="s">
        <v>135</v>
      </c>
      <c r="L1560" s="0" t="s">
        <v>2790</v>
      </c>
    </row>
    <row r="1561" customFormat="false" ht="15" hidden="false" customHeight="false" outlineLevel="0" collapsed="false">
      <c r="A1561" s="0" t="s">
        <v>2782</v>
      </c>
      <c r="B1561" s="0" t="s">
        <v>129</v>
      </c>
      <c r="C1561" s="0" t="s">
        <v>114</v>
      </c>
      <c r="D1561" s="0" t="s">
        <v>58</v>
      </c>
      <c r="E1561" s="0" t="s">
        <v>1243</v>
      </c>
      <c r="F1561" s="0" t="n">
        <v>5</v>
      </c>
      <c r="G1561" s="0" t="n">
        <v>0</v>
      </c>
      <c r="H1561" s="0" t="s">
        <v>122</v>
      </c>
      <c r="K1561" s="0" t="s">
        <v>138</v>
      </c>
      <c r="L1561" s="0" t="s">
        <v>2791</v>
      </c>
    </row>
    <row r="1562" customFormat="false" ht="15" hidden="false" customHeight="false" outlineLevel="0" collapsed="false">
      <c r="A1562" s="0" t="s">
        <v>2782</v>
      </c>
      <c r="B1562" s="0" t="s">
        <v>350</v>
      </c>
      <c r="C1562" s="0" t="s">
        <v>114</v>
      </c>
      <c r="D1562" s="0" t="s">
        <v>65</v>
      </c>
      <c r="E1562" s="0" t="s">
        <v>2792</v>
      </c>
      <c r="F1562" s="0" t="n">
        <v>5</v>
      </c>
      <c r="G1562" s="0" t="n">
        <v>0</v>
      </c>
      <c r="H1562" s="0" t="s">
        <v>122</v>
      </c>
      <c r="K1562" s="0" t="s">
        <v>143</v>
      </c>
      <c r="L1562" s="0" t="s">
        <v>2793</v>
      </c>
    </row>
    <row r="1563" customFormat="false" ht="15" hidden="false" customHeight="false" outlineLevel="0" collapsed="false">
      <c r="A1563" s="0" t="s">
        <v>2782</v>
      </c>
      <c r="B1563" s="0" t="s">
        <v>129</v>
      </c>
      <c r="C1563" s="0" t="s">
        <v>114</v>
      </c>
      <c r="D1563" s="0" t="s">
        <v>69</v>
      </c>
      <c r="E1563" s="0" t="s">
        <v>1247</v>
      </c>
      <c r="F1563" s="0" t="n">
        <v>5</v>
      </c>
      <c r="G1563" s="0" t="n">
        <v>0</v>
      </c>
      <c r="H1563" s="0" t="s">
        <v>122</v>
      </c>
      <c r="K1563" s="0" t="s">
        <v>146</v>
      </c>
      <c r="L1563" s="0" t="s">
        <v>2794</v>
      </c>
    </row>
    <row r="1564" customFormat="false" ht="15" hidden="false" customHeight="false" outlineLevel="0" collapsed="false">
      <c r="A1564" s="0" t="s">
        <v>2782</v>
      </c>
      <c r="B1564" s="0" t="s">
        <v>350</v>
      </c>
      <c r="C1564" s="0" t="s">
        <v>114</v>
      </c>
      <c r="D1564" s="0" t="s">
        <v>72</v>
      </c>
      <c r="E1564" s="0" t="s">
        <v>2795</v>
      </c>
      <c r="F1564" s="0" t="n">
        <v>5</v>
      </c>
      <c r="G1564" s="0" t="n">
        <v>0</v>
      </c>
      <c r="H1564" s="0" t="s">
        <v>122</v>
      </c>
      <c r="K1564" s="0" t="s">
        <v>149</v>
      </c>
      <c r="L1564" s="0" t="s">
        <v>2796</v>
      </c>
    </row>
    <row r="1565" customFormat="false" ht="15" hidden="false" customHeight="false" outlineLevel="0" collapsed="false">
      <c r="A1565" s="0" t="s">
        <v>2782</v>
      </c>
      <c r="B1565" s="0" t="s">
        <v>129</v>
      </c>
      <c r="C1565" s="0" t="s">
        <v>114</v>
      </c>
      <c r="D1565" s="0" t="s">
        <v>75</v>
      </c>
      <c r="E1565" s="0" t="s">
        <v>1251</v>
      </c>
      <c r="F1565" s="0" t="n">
        <v>5</v>
      </c>
      <c r="G1565" s="0" t="n">
        <v>0</v>
      </c>
      <c r="H1565" s="0" t="s">
        <v>122</v>
      </c>
      <c r="K1565" s="0" t="s">
        <v>152</v>
      </c>
      <c r="L1565" s="0" t="s">
        <v>2797</v>
      </c>
    </row>
    <row r="1566" customFormat="false" ht="15" hidden="false" customHeight="false" outlineLevel="0" collapsed="false">
      <c r="A1566" s="0" t="s">
        <v>2782</v>
      </c>
      <c r="B1566" s="0" t="s">
        <v>350</v>
      </c>
      <c r="C1566" s="0" t="s">
        <v>114</v>
      </c>
      <c r="D1566" s="0" t="s">
        <v>78</v>
      </c>
      <c r="E1566" s="0" t="s">
        <v>2798</v>
      </c>
      <c r="F1566" s="0" t="n">
        <v>5</v>
      </c>
      <c r="G1566" s="0" t="n">
        <v>0</v>
      </c>
      <c r="H1566" s="0" t="s">
        <v>122</v>
      </c>
      <c r="K1566" s="0" t="s">
        <v>156</v>
      </c>
      <c r="L1566" s="0" t="s">
        <v>2799</v>
      </c>
    </row>
    <row r="1567" customFormat="false" ht="15" hidden="false" customHeight="false" outlineLevel="0" collapsed="false">
      <c r="A1567" s="0" t="s">
        <v>2782</v>
      </c>
      <c r="B1567" s="0" t="s">
        <v>129</v>
      </c>
      <c r="C1567" s="0" t="s">
        <v>114</v>
      </c>
      <c r="D1567" s="0" t="s">
        <v>81</v>
      </c>
      <c r="E1567" s="0" t="s">
        <v>1255</v>
      </c>
      <c r="F1567" s="0" t="n">
        <v>5</v>
      </c>
      <c r="G1567" s="0" t="n">
        <v>0</v>
      </c>
      <c r="H1567" s="0" t="s">
        <v>122</v>
      </c>
      <c r="K1567" s="0" t="s">
        <v>160</v>
      </c>
      <c r="L1567" s="0" t="s">
        <v>2800</v>
      </c>
    </row>
    <row r="1568" customFormat="false" ht="15" hidden="false" customHeight="false" outlineLevel="0" collapsed="false">
      <c r="A1568" s="0" t="s">
        <v>2782</v>
      </c>
      <c r="B1568" s="0" t="s">
        <v>350</v>
      </c>
      <c r="C1568" s="0" t="s">
        <v>162</v>
      </c>
      <c r="D1568" s="0" t="s">
        <v>528</v>
      </c>
      <c r="E1568" s="0" t="s">
        <v>2801</v>
      </c>
      <c r="F1568" s="0" t="n">
        <v>5</v>
      </c>
      <c r="G1568" s="0" t="n">
        <v>0</v>
      </c>
      <c r="H1568" s="0" t="s">
        <v>122</v>
      </c>
      <c r="K1568" s="0" t="s">
        <v>118</v>
      </c>
      <c r="L1568" s="0" t="s">
        <v>2802</v>
      </c>
    </row>
    <row r="1569" customFormat="false" ht="15" hidden="false" customHeight="false" outlineLevel="0" collapsed="false">
      <c r="A1569" s="0" t="s">
        <v>2782</v>
      </c>
      <c r="B1569" s="0" t="s">
        <v>129</v>
      </c>
      <c r="C1569" s="0" t="s">
        <v>162</v>
      </c>
      <c r="D1569" s="0" t="s">
        <v>531</v>
      </c>
      <c r="E1569" s="0" t="s">
        <v>1259</v>
      </c>
      <c r="F1569" s="0" t="n">
        <v>5</v>
      </c>
      <c r="G1569" s="0" t="n">
        <v>0</v>
      </c>
      <c r="H1569" s="0" t="s">
        <v>122</v>
      </c>
      <c r="K1569" s="0" t="s">
        <v>123</v>
      </c>
      <c r="L1569" s="0" t="s">
        <v>2803</v>
      </c>
    </row>
    <row r="1570" customFormat="false" ht="15" hidden="false" customHeight="false" outlineLevel="0" collapsed="false">
      <c r="A1570" s="0" t="s">
        <v>2782</v>
      </c>
      <c r="B1570" s="0" t="s">
        <v>350</v>
      </c>
      <c r="C1570" s="0" t="s">
        <v>162</v>
      </c>
      <c r="D1570" s="0" t="s">
        <v>534</v>
      </c>
      <c r="E1570" s="0" t="s">
        <v>2804</v>
      </c>
      <c r="F1570" s="0" t="n">
        <v>5</v>
      </c>
      <c r="G1570" s="0" t="n">
        <v>0</v>
      </c>
      <c r="H1570" s="0" t="s">
        <v>122</v>
      </c>
      <c r="K1570" s="0" t="s">
        <v>127</v>
      </c>
      <c r="L1570" s="0" t="s">
        <v>2805</v>
      </c>
    </row>
    <row r="1571" customFormat="false" ht="15" hidden="false" customHeight="false" outlineLevel="0" collapsed="false">
      <c r="A1571" s="0" t="s">
        <v>2782</v>
      </c>
      <c r="B1571" s="0" t="s">
        <v>129</v>
      </c>
      <c r="C1571" s="0" t="s">
        <v>162</v>
      </c>
      <c r="D1571" s="0" t="s">
        <v>52</v>
      </c>
      <c r="E1571" s="0" t="s">
        <v>1264</v>
      </c>
      <c r="F1571" s="0" t="n">
        <v>5</v>
      </c>
      <c r="G1571" s="0" t="n">
        <v>2</v>
      </c>
      <c r="H1571" s="0" t="s">
        <v>122</v>
      </c>
      <c r="I1571" s="0" t="s">
        <v>2806</v>
      </c>
      <c r="K1571" s="0" t="s">
        <v>132</v>
      </c>
      <c r="L1571" s="0" t="s">
        <v>2807</v>
      </c>
    </row>
    <row r="1572" customFormat="false" ht="15" hidden="false" customHeight="false" outlineLevel="0" collapsed="false">
      <c r="A1572" s="0" t="s">
        <v>2782</v>
      </c>
      <c r="B1572" s="0" t="s">
        <v>350</v>
      </c>
      <c r="C1572" s="0" t="s">
        <v>162</v>
      </c>
      <c r="D1572" s="0" t="s">
        <v>55</v>
      </c>
      <c r="E1572" s="0" t="s">
        <v>2808</v>
      </c>
      <c r="F1572" s="0" t="n">
        <v>5</v>
      </c>
      <c r="G1572" s="0" t="n">
        <v>0</v>
      </c>
      <c r="H1572" s="0" t="s">
        <v>122</v>
      </c>
      <c r="K1572" s="0" t="s">
        <v>135</v>
      </c>
      <c r="L1572" s="0" t="s">
        <v>2809</v>
      </c>
    </row>
    <row r="1573" customFormat="false" ht="15" hidden="false" customHeight="false" outlineLevel="0" collapsed="false">
      <c r="A1573" s="0" t="s">
        <v>2782</v>
      </c>
      <c r="B1573" s="0" t="s">
        <v>129</v>
      </c>
      <c r="C1573" s="0" t="s">
        <v>162</v>
      </c>
      <c r="D1573" s="0" t="s">
        <v>58</v>
      </c>
      <c r="E1573" s="0" t="s">
        <v>1268</v>
      </c>
      <c r="F1573" s="0" t="n">
        <v>5</v>
      </c>
      <c r="G1573" s="0" t="n">
        <v>0</v>
      </c>
      <c r="H1573" s="0" t="s">
        <v>122</v>
      </c>
      <c r="K1573" s="0" t="s">
        <v>138</v>
      </c>
      <c r="L1573" s="0" t="s">
        <v>2810</v>
      </c>
    </row>
    <row r="1574" customFormat="false" ht="15" hidden="false" customHeight="false" outlineLevel="0" collapsed="false">
      <c r="A1574" s="0" t="s">
        <v>2782</v>
      </c>
      <c r="B1574" s="0" t="s">
        <v>350</v>
      </c>
      <c r="C1574" s="0" t="s">
        <v>162</v>
      </c>
      <c r="D1574" s="0" t="s">
        <v>65</v>
      </c>
      <c r="E1574" s="0" t="s">
        <v>2811</v>
      </c>
      <c r="F1574" s="0" t="n">
        <v>5</v>
      </c>
      <c r="G1574" s="0" t="n">
        <v>0</v>
      </c>
      <c r="H1574" s="0" t="s">
        <v>122</v>
      </c>
      <c r="K1574" s="0" t="s">
        <v>143</v>
      </c>
      <c r="L1574" s="0" t="s">
        <v>2812</v>
      </c>
    </row>
    <row r="1575" customFormat="false" ht="15" hidden="false" customHeight="false" outlineLevel="0" collapsed="false">
      <c r="A1575" s="0" t="s">
        <v>2782</v>
      </c>
      <c r="B1575" s="0" t="s">
        <v>129</v>
      </c>
      <c r="C1575" s="0" t="s">
        <v>162</v>
      </c>
      <c r="D1575" s="0" t="s">
        <v>69</v>
      </c>
      <c r="E1575" s="0" t="s">
        <v>1272</v>
      </c>
      <c r="F1575" s="0" t="n">
        <v>5</v>
      </c>
      <c r="G1575" s="0" t="n">
        <v>0</v>
      </c>
      <c r="H1575" s="0" t="s">
        <v>122</v>
      </c>
      <c r="K1575" s="0" t="s">
        <v>146</v>
      </c>
      <c r="L1575" s="0" t="s">
        <v>2813</v>
      </c>
    </row>
    <row r="1576" customFormat="false" ht="15" hidden="false" customHeight="false" outlineLevel="0" collapsed="false">
      <c r="A1576" s="0" t="s">
        <v>2782</v>
      </c>
      <c r="B1576" s="0" t="s">
        <v>350</v>
      </c>
      <c r="C1576" s="0" t="s">
        <v>162</v>
      </c>
      <c r="D1576" s="0" t="s">
        <v>72</v>
      </c>
      <c r="E1576" s="0" t="s">
        <v>2814</v>
      </c>
      <c r="F1576" s="0" t="n">
        <v>5</v>
      </c>
      <c r="G1576" s="0" t="n">
        <v>0</v>
      </c>
      <c r="H1576" s="0" t="s">
        <v>122</v>
      </c>
      <c r="K1576" s="0" t="s">
        <v>149</v>
      </c>
      <c r="L1576" s="0" t="s">
        <v>2815</v>
      </c>
    </row>
    <row r="1577" customFormat="false" ht="15" hidden="false" customHeight="false" outlineLevel="0" collapsed="false">
      <c r="A1577" s="0" t="s">
        <v>2782</v>
      </c>
      <c r="B1577" s="0" t="s">
        <v>129</v>
      </c>
      <c r="C1577" s="0" t="s">
        <v>162</v>
      </c>
      <c r="D1577" s="0" t="s">
        <v>75</v>
      </c>
      <c r="E1577" s="0" t="s">
        <v>1276</v>
      </c>
      <c r="F1577" s="0" t="n">
        <v>5</v>
      </c>
      <c r="G1577" s="0" t="n">
        <v>0</v>
      </c>
      <c r="H1577" s="0" t="s">
        <v>122</v>
      </c>
      <c r="K1577" s="0" t="s">
        <v>152</v>
      </c>
      <c r="L1577" s="0" t="s">
        <v>2816</v>
      </c>
    </row>
    <row r="1578" customFormat="false" ht="15" hidden="false" customHeight="false" outlineLevel="0" collapsed="false">
      <c r="A1578" s="0" t="s">
        <v>2782</v>
      </c>
      <c r="B1578" s="0" t="s">
        <v>350</v>
      </c>
      <c r="C1578" s="0" t="s">
        <v>162</v>
      </c>
      <c r="D1578" s="0" t="s">
        <v>78</v>
      </c>
      <c r="E1578" s="0" t="s">
        <v>2817</v>
      </c>
      <c r="F1578" s="0" t="n">
        <v>5</v>
      </c>
      <c r="G1578" s="0" t="n">
        <v>0</v>
      </c>
      <c r="H1578" s="0" t="s">
        <v>122</v>
      </c>
      <c r="K1578" s="0" t="s">
        <v>156</v>
      </c>
      <c r="L1578" s="0" t="s">
        <v>2818</v>
      </c>
    </row>
    <row r="1579" customFormat="false" ht="15" hidden="false" customHeight="false" outlineLevel="0" collapsed="false">
      <c r="A1579" s="0" t="s">
        <v>2782</v>
      </c>
      <c r="B1579" s="0" t="s">
        <v>129</v>
      </c>
      <c r="C1579" s="0" t="s">
        <v>162</v>
      </c>
      <c r="D1579" s="0" t="s">
        <v>81</v>
      </c>
      <c r="E1579" s="0" t="s">
        <v>1280</v>
      </c>
      <c r="F1579" s="0" t="n">
        <v>5</v>
      </c>
      <c r="G1579" s="0" t="n">
        <v>0</v>
      </c>
      <c r="H1579" s="0" t="s">
        <v>122</v>
      </c>
      <c r="K1579" s="0" t="s">
        <v>160</v>
      </c>
      <c r="L1579" s="0" t="s">
        <v>2819</v>
      </c>
    </row>
    <row r="1580" customFormat="false" ht="15" hidden="false" customHeight="false" outlineLevel="0" collapsed="false">
      <c r="A1580" s="0" t="s">
        <v>2782</v>
      </c>
      <c r="B1580" s="0" t="s">
        <v>350</v>
      </c>
      <c r="C1580" s="0" t="s">
        <v>189</v>
      </c>
      <c r="D1580" s="0" t="s">
        <v>528</v>
      </c>
      <c r="E1580" s="0" t="s">
        <v>2820</v>
      </c>
      <c r="F1580" s="0" t="n">
        <v>5</v>
      </c>
      <c r="G1580" s="0" t="n">
        <v>0</v>
      </c>
      <c r="H1580" s="0" t="s">
        <v>122</v>
      </c>
      <c r="K1580" s="0" t="s">
        <v>118</v>
      </c>
      <c r="L1580" s="0" t="s">
        <v>2821</v>
      </c>
    </row>
    <row r="1581" customFormat="false" ht="15" hidden="false" customHeight="false" outlineLevel="0" collapsed="false">
      <c r="A1581" s="0" t="s">
        <v>2782</v>
      </c>
      <c r="B1581" s="0" t="s">
        <v>129</v>
      </c>
      <c r="C1581" s="0" t="s">
        <v>189</v>
      </c>
      <c r="D1581" s="0" t="s">
        <v>531</v>
      </c>
      <c r="E1581" s="0" t="s">
        <v>1284</v>
      </c>
      <c r="F1581" s="0" t="n">
        <v>5</v>
      </c>
      <c r="G1581" s="0" t="n">
        <v>2</v>
      </c>
      <c r="H1581" s="0" t="s">
        <v>122</v>
      </c>
      <c r="I1581" s="0" t="s">
        <v>2822</v>
      </c>
      <c r="K1581" s="0" t="s">
        <v>123</v>
      </c>
      <c r="L1581" s="0" t="s">
        <v>2823</v>
      </c>
    </row>
    <row r="1582" customFormat="false" ht="15" hidden="false" customHeight="false" outlineLevel="0" collapsed="false">
      <c r="A1582" s="0" t="s">
        <v>2782</v>
      </c>
      <c r="B1582" s="0" t="s">
        <v>350</v>
      </c>
      <c r="C1582" s="0" t="s">
        <v>189</v>
      </c>
      <c r="D1582" s="0" t="s">
        <v>534</v>
      </c>
      <c r="E1582" s="0" t="s">
        <v>2824</v>
      </c>
      <c r="F1582" s="0" t="n">
        <v>5</v>
      </c>
      <c r="G1582" s="0" t="n">
        <v>2</v>
      </c>
      <c r="H1582" s="0" t="s">
        <v>122</v>
      </c>
      <c r="I1582" s="0" t="s">
        <v>2822</v>
      </c>
      <c r="K1582" s="0" t="s">
        <v>127</v>
      </c>
      <c r="L1582" s="0" t="s">
        <v>2825</v>
      </c>
    </row>
    <row r="1583" customFormat="false" ht="15" hidden="false" customHeight="false" outlineLevel="0" collapsed="false">
      <c r="A1583" s="0" t="s">
        <v>2782</v>
      </c>
      <c r="B1583" s="0" t="s">
        <v>129</v>
      </c>
      <c r="C1583" s="0" t="s">
        <v>189</v>
      </c>
      <c r="D1583" s="0" t="s">
        <v>52</v>
      </c>
      <c r="E1583" s="0" t="s">
        <v>1289</v>
      </c>
      <c r="F1583" s="0" t="n">
        <v>5</v>
      </c>
      <c r="G1583" s="0" t="n">
        <v>0</v>
      </c>
      <c r="H1583" s="0" t="s">
        <v>122</v>
      </c>
      <c r="K1583" s="0" t="s">
        <v>132</v>
      </c>
      <c r="L1583" s="0" t="s">
        <v>2826</v>
      </c>
    </row>
    <row r="1584" customFormat="false" ht="15" hidden="false" customHeight="false" outlineLevel="0" collapsed="false">
      <c r="A1584" s="0" t="s">
        <v>2782</v>
      </c>
      <c r="B1584" s="0" t="s">
        <v>350</v>
      </c>
      <c r="C1584" s="0" t="s">
        <v>189</v>
      </c>
      <c r="D1584" s="0" t="s">
        <v>55</v>
      </c>
      <c r="E1584" s="0" t="s">
        <v>2827</v>
      </c>
      <c r="F1584" s="0" t="n">
        <v>5</v>
      </c>
      <c r="G1584" s="0" t="n">
        <v>0</v>
      </c>
      <c r="H1584" s="0" t="s">
        <v>122</v>
      </c>
      <c r="K1584" s="0" t="s">
        <v>135</v>
      </c>
      <c r="L1584" s="0" t="s">
        <v>2828</v>
      </c>
    </row>
    <row r="1585" customFormat="false" ht="15" hidden="false" customHeight="false" outlineLevel="0" collapsed="false">
      <c r="A1585" s="0" t="s">
        <v>2782</v>
      </c>
      <c r="B1585" s="0" t="s">
        <v>129</v>
      </c>
      <c r="C1585" s="0" t="s">
        <v>189</v>
      </c>
      <c r="D1585" s="0" t="s">
        <v>58</v>
      </c>
      <c r="E1585" s="0" t="s">
        <v>1294</v>
      </c>
      <c r="F1585" s="0" t="n">
        <v>5</v>
      </c>
      <c r="G1585" s="0" t="n">
        <v>0</v>
      </c>
      <c r="H1585" s="0" t="s">
        <v>122</v>
      </c>
      <c r="K1585" s="0" t="s">
        <v>138</v>
      </c>
      <c r="L1585" s="0" t="s">
        <v>2829</v>
      </c>
    </row>
    <row r="1586" customFormat="false" ht="15" hidden="false" customHeight="false" outlineLevel="0" collapsed="false">
      <c r="A1586" s="0" t="s">
        <v>2782</v>
      </c>
      <c r="B1586" s="0" t="s">
        <v>350</v>
      </c>
      <c r="C1586" s="0" t="s">
        <v>189</v>
      </c>
      <c r="D1586" s="0" t="s">
        <v>65</v>
      </c>
      <c r="E1586" s="0" t="s">
        <v>2830</v>
      </c>
      <c r="F1586" s="0" t="n">
        <v>5</v>
      </c>
      <c r="G1586" s="0" t="n">
        <v>0</v>
      </c>
      <c r="H1586" s="0" t="s">
        <v>122</v>
      </c>
      <c r="K1586" s="0" t="s">
        <v>143</v>
      </c>
      <c r="L1586" s="0" t="s">
        <v>2831</v>
      </c>
    </row>
    <row r="1587" customFormat="false" ht="15" hidden="false" customHeight="false" outlineLevel="0" collapsed="false">
      <c r="A1587" s="0" t="s">
        <v>2782</v>
      </c>
      <c r="B1587" s="0" t="s">
        <v>129</v>
      </c>
      <c r="C1587" s="0" t="s">
        <v>189</v>
      </c>
      <c r="D1587" s="0" t="s">
        <v>69</v>
      </c>
      <c r="E1587" s="0" t="s">
        <v>1298</v>
      </c>
      <c r="F1587" s="0" t="n">
        <v>5</v>
      </c>
      <c r="G1587" s="0" t="n">
        <v>0</v>
      </c>
      <c r="H1587" s="0" t="s">
        <v>122</v>
      </c>
      <c r="K1587" s="0" t="s">
        <v>146</v>
      </c>
      <c r="L1587" s="0" t="s">
        <v>2832</v>
      </c>
    </row>
    <row r="1588" customFormat="false" ht="15" hidden="false" customHeight="false" outlineLevel="0" collapsed="false">
      <c r="A1588" s="0" t="s">
        <v>2782</v>
      </c>
      <c r="B1588" s="0" t="s">
        <v>350</v>
      </c>
      <c r="C1588" s="0" t="s">
        <v>189</v>
      </c>
      <c r="D1588" s="0" t="s">
        <v>72</v>
      </c>
      <c r="E1588" s="0" t="s">
        <v>2833</v>
      </c>
      <c r="F1588" s="0" t="n">
        <v>5</v>
      </c>
      <c r="G1588" s="0" t="n">
        <v>0</v>
      </c>
      <c r="H1588" s="0" t="s">
        <v>122</v>
      </c>
      <c r="K1588" s="0" t="s">
        <v>149</v>
      </c>
      <c r="L1588" s="0" t="s">
        <v>2834</v>
      </c>
    </row>
    <row r="1589" customFormat="false" ht="15" hidden="false" customHeight="false" outlineLevel="0" collapsed="false">
      <c r="A1589" s="0" t="s">
        <v>2782</v>
      </c>
      <c r="B1589" s="0" t="s">
        <v>129</v>
      </c>
      <c r="C1589" s="0" t="s">
        <v>189</v>
      </c>
      <c r="D1589" s="0" t="s">
        <v>75</v>
      </c>
      <c r="E1589" s="0" t="s">
        <v>1302</v>
      </c>
      <c r="F1589" s="0" t="n">
        <v>5</v>
      </c>
      <c r="G1589" s="0" t="n">
        <v>0</v>
      </c>
      <c r="H1589" s="0" t="s">
        <v>122</v>
      </c>
      <c r="K1589" s="0" t="s">
        <v>152</v>
      </c>
      <c r="L1589" s="0" t="s">
        <v>2835</v>
      </c>
    </row>
    <row r="1590" customFormat="false" ht="15" hidden="false" customHeight="false" outlineLevel="0" collapsed="false">
      <c r="A1590" s="0" t="s">
        <v>2782</v>
      </c>
      <c r="B1590" s="0" t="s">
        <v>350</v>
      </c>
      <c r="C1590" s="0" t="s">
        <v>189</v>
      </c>
      <c r="D1590" s="0" t="s">
        <v>78</v>
      </c>
      <c r="E1590" s="0" t="s">
        <v>2836</v>
      </c>
      <c r="F1590" s="0" t="n">
        <v>5</v>
      </c>
      <c r="G1590" s="0" t="n">
        <v>1</v>
      </c>
      <c r="H1590" s="0" t="s">
        <v>122</v>
      </c>
      <c r="I1590" s="0" t="s">
        <v>2822</v>
      </c>
      <c r="K1590" s="0" t="s">
        <v>156</v>
      </c>
      <c r="L1590" s="0" t="s">
        <v>2837</v>
      </c>
    </row>
    <row r="1591" customFormat="false" ht="15" hidden="false" customHeight="false" outlineLevel="0" collapsed="false">
      <c r="A1591" s="0" t="s">
        <v>2782</v>
      </c>
      <c r="B1591" s="0" t="s">
        <v>129</v>
      </c>
      <c r="C1591" s="0" t="s">
        <v>189</v>
      </c>
      <c r="D1591" s="0" t="s">
        <v>81</v>
      </c>
      <c r="E1591" s="0" t="s">
        <v>1306</v>
      </c>
      <c r="F1591" s="0" t="n">
        <v>5</v>
      </c>
      <c r="G1591" s="0" t="n">
        <v>0</v>
      </c>
      <c r="H1591" s="0" t="s">
        <v>122</v>
      </c>
      <c r="K1591" s="0" t="s">
        <v>160</v>
      </c>
      <c r="L1591" s="0" t="s">
        <v>2838</v>
      </c>
    </row>
    <row r="1592" customFormat="false" ht="15" hidden="false" customHeight="false" outlineLevel="0" collapsed="false">
      <c r="A1592" s="0" t="s">
        <v>2782</v>
      </c>
      <c r="B1592" s="0" t="s">
        <v>350</v>
      </c>
      <c r="C1592" s="0" t="s">
        <v>215</v>
      </c>
      <c r="D1592" s="0" t="s">
        <v>528</v>
      </c>
      <c r="E1592" s="0" t="s">
        <v>2839</v>
      </c>
      <c r="F1592" s="0" t="n">
        <v>5</v>
      </c>
      <c r="G1592" s="0" t="n">
        <v>0</v>
      </c>
      <c r="H1592" s="0" t="s">
        <v>122</v>
      </c>
      <c r="K1592" s="0" t="s">
        <v>118</v>
      </c>
      <c r="L1592" s="0" t="s">
        <v>2840</v>
      </c>
    </row>
    <row r="1593" customFormat="false" ht="15" hidden="false" customHeight="false" outlineLevel="0" collapsed="false">
      <c r="A1593" s="0" t="s">
        <v>2782</v>
      </c>
      <c r="B1593" s="0" t="s">
        <v>129</v>
      </c>
      <c r="C1593" s="0" t="s">
        <v>215</v>
      </c>
      <c r="D1593" s="0" t="s">
        <v>531</v>
      </c>
      <c r="E1593" s="0" t="s">
        <v>1310</v>
      </c>
      <c r="F1593" s="0" t="n">
        <v>5</v>
      </c>
      <c r="G1593" s="0" t="n">
        <v>0</v>
      </c>
      <c r="H1593" s="0" t="s">
        <v>122</v>
      </c>
      <c r="K1593" s="0" t="s">
        <v>123</v>
      </c>
      <c r="L1593" s="0" t="s">
        <v>2841</v>
      </c>
    </row>
    <row r="1594" customFormat="false" ht="15" hidden="false" customHeight="false" outlineLevel="0" collapsed="false">
      <c r="A1594" s="0" t="s">
        <v>2782</v>
      </c>
      <c r="B1594" s="0" t="s">
        <v>350</v>
      </c>
      <c r="C1594" s="0" t="s">
        <v>215</v>
      </c>
      <c r="D1594" s="0" t="s">
        <v>534</v>
      </c>
      <c r="E1594" s="0" t="s">
        <v>2842</v>
      </c>
      <c r="F1594" s="0" t="n">
        <v>5</v>
      </c>
      <c r="G1594" s="0" t="n">
        <v>0</v>
      </c>
      <c r="H1594" s="0" t="s">
        <v>122</v>
      </c>
      <c r="K1594" s="0" t="s">
        <v>127</v>
      </c>
      <c r="L1594" s="0" t="s">
        <v>2843</v>
      </c>
    </row>
    <row r="1595" customFormat="false" ht="15" hidden="false" customHeight="false" outlineLevel="0" collapsed="false">
      <c r="A1595" s="0" t="s">
        <v>2782</v>
      </c>
      <c r="B1595" s="0" t="s">
        <v>129</v>
      </c>
      <c r="C1595" s="0" t="s">
        <v>215</v>
      </c>
      <c r="D1595" s="0" t="s">
        <v>52</v>
      </c>
      <c r="E1595" s="0" t="s">
        <v>1314</v>
      </c>
      <c r="F1595" s="0" t="n">
        <v>5</v>
      </c>
      <c r="G1595" s="0" t="n">
        <v>0</v>
      </c>
      <c r="H1595" s="0" t="s">
        <v>122</v>
      </c>
      <c r="K1595" s="0" t="s">
        <v>132</v>
      </c>
      <c r="L1595" s="0" t="s">
        <v>2844</v>
      </c>
    </row>
    <row r="1596" customFormat="false" ht="15" hidden="false" customHeight="false" outlineLevel="0" collapsed="false">
      <c r="A1596" s="0" t="s">
        <v>2782</v>
      </c>
      <c r="B1596" s="0" t="s">
        <v>350</v>
      </c>
      <c r="C1596" s="0" t="s">
        <v>215</v>
      </c>
      <c r="D1596" s="0" t="s">
        <v>55</v>
      </c>
      <c r="E1596" s="0" t="s">
        <v>2845</v>
      </c>
      <c r="F1596" s="0" t="n">
        <v>5</v>
      </c>
      <c r="G1596" s="0" t="n">
        <v>1</v>
      </c>
      <c r="H1596" s="0" t="s">
        <v>122</v>
      </c>
      <c r="I1596" s="0" t="s">
        <v>2822</v>
      </c>
      <c r="K1596" s="0" t="s">
        <v>135</v>
      </c>
      <c r="L1596" s="0" t="s">
        <v>2846</v>
      </c>
    </row>
    <row r="1597" customFormat="false" ht="15" hidden="false" customHeight="false" outlineLevel="0" collapsed="false">
      <c r="A1597" s="0" t="s">
        <v>2782</v>
      </c>
      <c r="B1597" s="0" t="s">
        <v>129</v>
      </c>
      <c r="C1597" s="0" t="s">
        <v>215</v>
      </c>
      <c r="D1597" s="0" t="s">
        <v>58</v>
      </c>
      <c r="E1597" s="0" t="s">
        <v>1318</v>
      </c>
      <c r="F1597" s="0" t="n">
        <v>5</v>
      </c>
      <c r="G1597" s="0" t="n">
        <v>0</v>
      </c>
      <c r="H1597" s="0" t="s">
        <v>122</v>
      </c>
      <c r="K1597" s="0" t="s">
        <v>138</v>
      </c>
      <c r="L1597" s="0" t="s">
        <v>2847</v>
      </c>
    </row>
    <row r="1598" customFormat="false" ht="15" hidden="false" customHeight="false" outlineLevel="0" collapsed="false">
      <c r="A1598" s="0" t="s">
        <v>2782</v>
      </c>
      <c r="B1598" s="0" t="s">
        <v>350</v>
      </c>
      <c r="C1598" s="0" t="s">
        <v>215</v>
      </c>
      <c r="D1598" s="0" t="s">
        <v>65</v>
      </c>
      <c r="E1598" s="0" t="s">
        <v>2848</v>
      </c>
      <c r="F1598" s="0" t="n">
        <v>5</v>
      </c>
      <c r="G1598" s="0" t="n">
        <v>0</v>
      </c>
      <c r="H1598" s="0" t="s">
        <v>122</v>
      </c>
      <c r="K1598" s="0" t="s">
        <v>143</v>
      </c>
      <c r="L1598" s="0" t="s">
        <v>2849</v>
      </c>
    </row>
    <row r="1599" customFormat="false" ht="15" hidden="false" customHeight="false" outlineLevel="0" collapsed="false">
      <c r="A1599" s="0" t="s">
        <v>2782</v>
      </c>
      <c r="B1599" s="0" t="s">
        <v>129</v>
      </c>
      <c r="C1599" s="0" t="s">
        <v>215</v>
      </c>
      <c r="D1599" s="0" t="s">
        <v>69</v>
      </c>
      <c r="E1599" s="0" t="s">
        <v>1322</v>
      </c>
      <c r="F1599" s="0" t="n">
        <v>5</v>
      </c>
      <c r="G1599" s="0" t="n">
        <v>0</v>
      </c>
      <c r="H1599" s="0" t="s">
        <v>122</v>
      </c>
      <c r="K1599" s="0" t="s">
        <v>146</v>
      </c>
      <c r="L1599" s="0" t="s">
        <v>2850</v>
      </c>
    </row>
    <row r="1600" customFormat="false" ht="15" hidden="false" customHeight="false" outlineLevel="0" collapsed="false">
      <c r="A1600" s="0" t="s">
        <v>2782</v>
      </c>
      <c r="B1600" s="0" t="s">
        <v>350</v>
      </c>
      <c r="C1600" s="0" t="s">
        <v>215</v>
      </c>
      <c r="D1600" s="0" t="s">
        <v>72</v>
      </c>
      <c r="E1600" s="0" t="s">
        <v>2851</v>
      </c>
      <c r="F1600" s="0" t="n">
        <v>5</v>
      </c>
      <c r="G1600" s="0" t="n">
        <v>0</v>
      </c>
      <c r="H1600" s="0" t="s">
        <v>122</v>
      </c>
      <c r="K1600" s="0" t="s">
        <v>149</v>
      </c>
      <c r="L1600" s="0" t="s">
        <v>2852</v>
      </c>
    </row>
    <row r="1601" customFormat="false" ht="15" hidden="false" customHeight="false" outlineLevel="0" collapsed="false">
      <c r="A1601" s="0" t="s">
        <v>2782</v>
      </c>
      <c r="B1601" s="0" t="s">
        <v>129</v>
      </c>
      <c r="C1601" s="0" t="s">
        <v>215</v>
      </c>
      <c r="D1601" s="0" t="s">
        <v>75</v>
      </c>
      <c r="E1601" s="0" t="s">
        <v>1326</v>
      </c>
      <c r="F1601" s="0" t="n">
        <v>5</v>
      </c>
      <c r="G1601" s="0" t="n">
        <v>0</v>
      </c>
      <c r="H1601" s="0" t="s">
        <v>122</v>
      </c>
      <c r="K1601" s="0" t="s">
        <v>152</v>
      </c>
      <c r="L1601" s="0" t="s">
        <v>2853</v>
      </c>
    </row>
    <row r="1602" customFormat="false" ht="15" hidden="false" customHeight="false" outlineLevel="0" collapsed="false">
      <c r="A1602" s="0" t="s">
        <v>2782</v>
      </c>
      <c r="B1602" s="0" t="s">
        <v>350</v>
      </c>
      <c r="C1602" s="0" t="s">
        <v>215</v>
      </c>
      <c r="D1602" s="0" t="s">
        <v>78</v>
      </c>
      <c r="E1602" s="0" t="s">
        <v>2854</v>
      </c>
      <c r="F1602" s="0" t="n">
        <v>5</v>
      </c>
      <c r="G1602" s="0" t="n">
        <v>0</v>
      </c>
      <c r="H1602" s="0" t="s">
        <v>122</v>
      </c>
      <c r="K1602" s="0" t="s">
        <v>156</v>
      </c>
      <c r="L1602" s="0" t="s">
        <v>2855</v>
      </c>
    </row>
    <row r="1603" customFormat="false" ht="15" hidden="false" customHeight="false" outlineLevel="0" collapsed="false">
      <c r="A1603" s="0" t="s">
        <v>2782</v>
      </c>
      <c r="B1603" s="0" t="s">
        <v>129</v>
      </c>
      <c r="C1603" s="0" t="s">
        <v>215</v>
      </c>
      <c r="D1603" s="0" t="s">
        <v>81</v>
      </c>
      <c r="E1603" s="0" t="s">
        <v>1331</v>
      </c>
      <c r="F1603" s="0" t="n">
        <v>5</v>
      </c>
      <c r="G1603" s="0" t="n">
        <v>0</v>
      </c>
      <c r="H1603" s="0" t="s">
        <v>122</v>
      </c>
      <c r="K1603" s="0" t="s">
        <v>160</v>
      </c>
      <c r="L1603" s="0" t="s">
        <v>2856</v>
      </c>
    </row>
    <row r="1604" customFormat="false" ht="15" hidden="false" customHeight="false" outlineLevel="0" collapsed="false">
      <c r="A1604" s="0" t="s">
        <v>2782</v>
      </c>
      <c r="B1604" s="0" t="s">
        <v>350</v>
      </c>
      <c r="C1604" s="0" t="s">
        <v>241</v>
      </c>
      <c r="D1604" s="0" t="s">
        <v>528</v>
      </c>
      <c r="E1604" s="0" t="s">
        <v>2857</v>
      </c>
      <c r="F1604" s="0" t="n">
        <v>5</v>
      </c>
      <c r="G1604" s="0" t="n">
        <v>0</v>
      </c>
      <c r="H1604" s="0" t="s">
        <v>122</v>
      </c>
      <c r="K1604" s="0" t="s">
        <v>118</v>
      </c>
      <c r="L1604" s="0" t="s">
        <v>2858</v>
      </c>
    </row>
    <row r="1605" customFormat="false" ht="15" hidden="false" customHeight="false" outlineLevel="0" collapsed="false">
      <c r="A1605" s="0" t="s">
        <v>2782</v>
      </c>
      <c r="B1605" s="0" t="s">
        <v>129</v>
      </c>
      <c r="C1605" s="0" t="s">
        <v>241</v>
      </c>
      <c r="D1605" s="0" t="s">
        <v>531</v>
      </c>
      <c r="E1605" s="0" t="s">
        <v>1335</v>
      </c>
      <c r="F1605" s="0" t="n">
        <v>5</v>
      </c>
      <c r="G1605" s="0" t="n">
        <v>1</v>
      </c>
      <c r="H1605" s="0" t="s">
        <v>122</v>
      </c>
      <c r="I1605" s="0" t="s">
        <v>2822</v>
      </c>
      <c r="K1605" s="0" t="s">
        <v>123</v>
      </c>
      <c r="L1605" s="0" t="s">
        <v>2859</v>
      </c>
    </row>
    <row r="1606" customFormat="false" ht="15" hidden="false" customHeight="false" outlineLevel="0" collapsed="false">
      <c r="A1606" s="0" t="s">
        <v>2782</v>
      </c>
      <c r="B1606" s="0" t="s">
        <v>350</v>
      </c>
      <c r="C1606" s="0" t="s">
        <v>241</v>
      </c>
      <c r="D1606" s="0" t="s">
        <v>534</v>
      </c>
      <c r="E1606" s="0" t="s">
        <v>2860</v>
      </c>
      <c r="F1606" s="0" t="n">
        <v>5</v>
      </c>
      <c r="G1606" s="0" t="n">
        <v>0</v>
      </c>
      <c r="H1606" s="0" t="s">
        <v>122</v>
      </c>
      <c r="K1606" s="0" t="s">
        <v>127</v>
      </c>
      <c r="L1606" s="0" t="s">
        <v>2861</v>
      </c>
    </row>
    <row r="1607" customFormat="false" ht="15" hidden="false" customHeight="false" outlineLevel="0" collapsed="false">
      <c r="A1607" s="0" t="s">
        <v>2782</v>
      </c>
      <c r="B1607" s="0" t="s">
        <v>129</v>
      </c>
      <c r="C1607" s="0" t="s">
        <v>241</v>
      </c>
      <c r="D1607" s="0" t="s">
        <v>52</v>
      </c>
      <c r="E1607" s="0" t="s">
        <v>1339</v>
      </c>
      <c r="F1607" s="0" t="n">
        <v>5</v>
      </c>
      <c r="G1607" s="0" t="n">
        <v>1</v>
      </c>
      <c r="H1607" s="0" t="s">
        <v>122</v>
      </c>
      <c r="I1607" s="0" t="s">
        <v>2822</v>
      </c>
      <c r="K1607" s="0" t="s">
        <v>132</v>
      </c>
      <c r="L1607" s="0" t="s">
        <v>2862</v>
      </c>
    </row>
    <row r="1608" customFormat="false" ht="15" hidden="false" customHeight="false" outlineLevel="0" collapsed="false">
      <c r="A1608" s="0" t="s">
        <v>2782</v>
      </c>
      <c r="B1608" s="0" t="s">
        <v>350</v>
      </c>
      <c r="C1608" s="0" t="s">
        <v>241</v>
      </c>
      <c r="D1608" s="0" t="s">
        <v>55</v>
      </c>
      <c r="E1608" s="0" t="s">
        <v>2863</v>
      </c>
      <c r="F1608" s="0" t="n">
        <v>5</v>
      </c>
      <c r="G1608" s="0" t="n">
        <v>0</v>
      </c>
      <c r="H1608" s="0" t="s">
        <v>122</v>
      </c>
      <c r="K1608" s="0" t="s">
        <v>135</v>
      </c>
      <c r="L1608" s="0" t="s">
        <v>2864</v>
      </c>
    </row>
    <row r="1609" customFormat="false" ht="15" hidden="false" customHeight="false" outlineLevel="0" collapsed="false">
      <c r="A1609" s="0" t="s">
        <v>2782</v>
      </c>
      <c r="B1609" s="0" t="s">
        <v>129</v>
      </c>
      <c r="C1609" s="0" t="s">
        <v>241</v>
      </c>
      <c r="D1609" s="0" t="s">
        <v>58</v>
      </c>
      <c r="E1609" s="0" t="s">
        <v>1343</v>
      </c>
      <c r="F1609" s="0" t="n">
        <v>5</v>
      </c>
      <c r="G1609" s="0" t="n">
        <v>0</v>
      </c>
      <c r="H1609" s="0" t="s">
        <v>122</v>
      </c>
      <c r="K1609" s="0" t="s">
        <v>138</v>
      </c>
      <c r="L1609" s="0" t="s">
        <v>2865</v>
      </c>
    </row>
    <row r="1610" customFormat="false" ht="15" hidden="false" customHeight="false" outlineLevel="0" collapsed="false">
      <c r="A1610" s="0" t="s">
        <v>2782</v>
      </c>
      <c r="B1610" s="0" t="s">
        <v>350</v>
      </c>
      <c r="C1610" s="0" t="s">
        <v>241</v>
      </c>
      <c r="D1610" s="0" t="s">
        <v>65</v>
      </c>
      <c r="E1610" s="0" t="s">
        <v>2866</v>
      </c>
      <c r="F1610" s="0" t="n">
        <v>5</v>
      </c>
      <c r="G1610" s="0" t="n">
        <v>0</v>
      </c>
      <c r="H1610" s="0" t="s">
        <v>122</v>
      </c>
      <c r="K1610" s="0" t="s">
        <v>143</v>
      </c>
      <c r="L1610" s="0" t="s">
        <v>2867</v>
      </c>
    </row>
    <row r="1611" customFormat="false" ht="15" hidden="false" customHeight="false" outlineLevel="0" collapsed="false">
      <c r="A1611" s="0" t="s">
        <v>2782</v>
      </c>
      <c r="B1611" s="0" t="s">
        <v>129</v>
      </c>
      <c r="C1611" s="0" t="s">
        <v>241</v>
      </c>
      <c r="D1611" s="0" t="s">
        <v>69</v>
      </c>
      <c r="E1611" s="0" t="s">
        <v>1347</v>
      </c>
      <c r="F1611" s="0" t="n">
        <v>5</v>
      </c>
      <c r="G1611" s="0" t="n">
        <v>1</v>
      </c>
      <c r="H1611" s="0" t="s">
        <v>122</v>
      </c>
      <c r="I1611" s="0" t="s">
        <v>2822</v>
      </c>
      <c r="K1611" s="0" t="s">
        <v>146</v>
      </c>
      <c r="L1611" s="0" t="s">
        <v>2868</v>
      </c>
    </row>
    <row r="1612" customFormat="false" ht="15" hidden="false" customHeight="false" outlineLevel="0" collapsed="false">
      <c r="A1612" s="0" t="s">
        <v>2782</v>
      </c>
      <c r="B1612" s="0" t="s">
        <v>350</v>
      </c>
      <c r="C1612" s="0" t="s">
        <v>241</v>
      </c>
      <c r="D1612" s="0" t="s">
        <v>72</v>
      </c>
      <c r="E1612" s="0" t="s">
        <v>2869</v>
      </c>
      <c r="F1612" s="0" t="n">
        <v>5</v>
      </c>
      <c r="G1612" s="0" t="n">
        <v>3</v>
      </c>
      <c r="H1612" s="0" t="s">
        <v>122</v>
      </c>
      <c r="I1612" s="0" t="s">
        <v>2870</v>
      </c>
      <c r="K1612" s="0" t="s">
        <v>149</v>
      </c>
      <c r="L1612" s="0" t="s">
        <v>2871</v>
      </c>
    </row>
    <row r="1613" customFormat="false" ht="15" hidden="false" customHeight="false" outlineLevel="0" collapsed="false">
      <c r="A1613" s="0" t="s">
        <v>2782</v>
      </c>
      <c r="B1613" s="0" t="s">
        <v>129</v>
      </c>
      <c r="C1613" s="0" t="s">
        <v>241</v>
      </c>
      <c r="D1613" s="0" t="s">
        <v>75</v>
      </c>
      <c r="E1613" s="0" t="s">
        <v>1351</v>
      </c>
      <c r="F1613" s="0" t="n">
        <v>5</v>
      </c>
      <c r="G1613" s="0" t="n">
        <v>0</v>
      </c>
      <c r="H1613" s="0" t="s">
        <v>122</v>
      </c>
      <c r="K1613" s="0" t="s">
        <v>152</v>
      </c>
      <c r="L1613" s="0" t="s">
        <v>2872</v>
      </c>
    </row>
    <row r="1614" customFormat="false" ht="15" hidden="false" customHeight="false" outlineLevel="0" collapsed="false">
      <c r="A1614" s="0" t="s">
        <v>2782</v>
      </c>
      <c r="B1614" s="0" t="s">
        <v>350</v>
      </c>
      <c r="C1614" s="0" t="s">
        <v>241</v>
      </c>
      <c r="D1614" s="0" t="s">
        <v>78</v>
      </c>
      <c r="E1614" s="0" t="s">
        <v>2873</v>
      </c>
      <c r="F1614" s="0" t="n">
        <v>5</v>
      </c>
      <c r="G1614" s="0" t="n">
        <v>0</v>
      </c>
      <c r="H1614" s="0" t="s">
        <v>122</v>
      </c>
      <c r="K1614" s="0" t="s">
        <v>156</v>
      </c>
      <c r="L1614" s="0" t="s">
        <v>2874</v>
      </c>
    </row>
    <row r="1615" customFormat="false" ht="15" hidden="false" customHeight="false" outlineLevel="0" collapsed="false">
      <c r="A1615" s="0" t="s">
        <v>2782</v>
      </c>
      <c r="B1615" s="0" t="s">
        <v>129</v>
      </c>
      <c r="C1615" s="0" t="s">
        <v>241</v>
      </c>
      <c r="D1615" s="0" t="s">
        <v>81</v>
      </c>
      <c r="E1615" s="0" t="s">
        <v>1356</v>
      </c>
      <c r="F1615" s="0" t="n">
        <v>5</v>
      </c>
      <c r="G1615" s="0" t="n">
        <v>0</v>
      </c>
      <c r="H1615" s="0" t="s">
        <v>122</v>
      </c>
      <c r="K1615" s="0" t="s">
        <v>160</v>
      </c>
      <c r="L1615" s="0" t="s">
        <v>2875</v>
      </c>
    </row>
    <row r="1616" customFormat="false" ht="15" hidden="false" customHeight="false" outlineLevel="0" collapsed="false">
      <c r="A1616" s="0" t="s">
        <v>2782</v>
      </c>
      <c r="B1616" s="0" t="s">
        <v>350</v>
      </c>
      <c r="C1616" s="0" t="s">
        <v>268</v>
      </c>
      <c r="D1616" s="0" t="s">
        <v>528</v>
      </c>
      <c r="E1616" s="0" t="s">
        <v>2876</v>
      </c>
      <c r="F1616" s="0" t="n">
        <v>5</v>
      </c>
      <c r="G1616" s="0" t="n">
        <v>0</v>
      </c>
      <c r="H1616" s="0" t="s">
        <v>122</v>
      </c>
      <c r="K1616" s="0" t="s">
        <v>118</v>
      </c>
      <c r="L1616" s="0" t="s">
        <v>2877</v>
      </c>
    </row>
    <row r="1617" customFormat="false" ht="15" hidden="false" customHeight="false" outlineLevel="0" collapsed="false">
      <c r="A1617" s="0" t="s">
        <v>2782</v>
      </c>
      <c r="B1617" s="0" t="s">
        <v>129</v>
      </c>
      <c r="C1617" s="0" t="s">
        <v>268</v>
      </c>
      <c r="D1617" s="0" t="s">
        <v>531</v>
      </c>
      <c r="E1617" s="0" t="s">
        <v>1360</v>
      </c>
      <c r="F1617" s="0" t="n">
        <v>5</v>
      </c>
      <c r="G1617" s="0" t="n">
        <v>0</v>
      </c>
      <c r="H1617" s="0" t="s">
        <v>122</v>
      </c>
      <c r="K1617" s="0" t="s">
        <v>123</v>
      </c>
      <c r="L1617" s="0" t="s">
        <v>2878</v>
      </c>
    </row>
    <row r="1618" customFormat="false" ht="15" hidden="false" customHeight="false" outlineLevel="0" collapsed="false">
      <c r="A1618" s="0" t="s">
        <v>2782</v>
      </c>
      <c r="B1618" s="0" t="s">
        <v>350</v>
      </c>
      <c r="C1618" s="0" t="s">
        <v>268</v>
      </c>
      <c r="D1618" s="0" t="s">
        <v>534</v>
      </c>
      <c r="E1618" s="0" t="s">
        <v>2879</v>
      </c>
      <c r="F1618" s="0" t="n">
        <v>5</v>
      </c>
      <c r="G1618" s="0" t="n">
        <v>4</v>
      </c>
      <c r="H1618" s="0" t="s">
        <v>122</v>
      </c>
      <c r="I1618" s="0" t="s">
        <v>2822</v>
      </c>
      <c r="K1618" s="0" t="s">
        <v>127</v>
      </c>
      <c r="L1618" s="0" t="s">
        <v>2880</v>
      </c>
    </row>
    <row r="1619" customFormat="false" ht="15" hidden="false" customHeight="false" outlineLevel="0" collapsed="false">
      <c r="A1619" s="0" t="s">
        <v>2782</v>
      </c>
      <c r="B1619" s="0" t="s">
        <v>129</v>
      </c>
      <c r="C1619" s="0" t="s">
        <v>268</v>
      </c>
      <c r="D1619" s="0" t="s">
        <v>52</v>
      </c>
      <c r="E1619" s="0" t="s">
        <v>1364</v>
      </c>
      <c r="F1619" s="0" t="n">
        <v>5</v>
      </c>
      <c r="G1619" s="0" t="n">
        <v>5</v>
      </c>
      <c r="H1619" s="0" t="s">
        <v>117</v>
      </c>
      <c r="I1619" s="0" t="s">
        <v>2822</v>
      </c>
      <c r="K1619" s="0" t="s">
        <v>132</v>
      </c>
      <c r="L1619" s="0" t="s">
        <v>2881</v>
      </c>
    </row>
    <row r="1620" customFormat="false" ht="15" hidden="false" customHeight="false" outlineLevel="0" collapsed="false">
      <c r="A1620" s="0" t="s">
        <v>2782</v>
      </c>
      <c r="B1620" s="0" t="s">
        <v>350</v>
      </c>
      <c r="C1620" s="0" t="s">
        <v>268</v>
      </c>
      <c r="D1620" s="0" t="s">
        <v>55</v>
      </c>
      <c r="E1620" s="0" t="s">
        <v>2882</v>
      </c>
      <c r="F1620" s="0" t="n">
        <v>5</v>
      </c>
      <c r="G1620" s="0" t="n">
        <v>3</v>
      </c>
      <c r="H1620" s="0" t="s">
        <v>122</v>
      </c>
      <c r="I1620" s="0" t="s">
        <v>2822</v>
      </c>
      <c r="K1620" s="0" t="s">
        <v>135</v>
      </c>
      <c r="L1620" s="0" t="s">
        <v>2883</v>
      </c>
    </row>
    <row r="1621" customFormat="false" ht="15" hidden="false" customHeight="false" outlineLevel="0" collapsed="false">
      <c r="A1621" s="0" t="s">
        <v>2782</v>
      </c>
      <c r="B1621" s="0" t="s">
        <v>129</v>
      </c>
      <c r="C1621" s="0" t="s">
        <v>268</v>
      </c>
      <c r="D1621" s="0" t="s">
        <v>58</v>
      </c>
      <c r="E1621" s="0" t="s">
        <v>1368</v>
      </c>
      <c r="F1621" s="0" t="n">
        <v>5</v>
      </c>
      <c r="G1621" s="0" t="n">
        <v>0</v>
      </c>
      <c r="H1621" s="0" t="s">
        <v>122</v>
      </c>
      <c r="K1621" s="0" t="s">
        <v>138</v>
      </c>
      <c r="L1621" s="0" t="s">
        <v>2884</v>
      </c>
    </row>
    <row r="1622" customFormat="false" ht="15" hidden="false" customHeight="false" outlineLevel="0" collapsed="false">
      <c r="A1622" s="0" t="s">
        <v>2782</v>
      </c>
      <c r="B1622" s="0" t="s">
        <v>350</v>
      </c>
      <c r="C1622" s="0" t="s">
        <v>268</v>
      </c>
      <c r="D1622" s="0" t="s">
        <v>65</v>
      </c>
      <c r="E1622" s="0" t="s">
        <v>2885</v>
      </c>
      <c r="F1622" s="0" t="n">
        <v>5</v>
      </c>
      <c r="G1622" s="0" t="n">
        <v>0</v>
      </c>
      <c r="H1622" s="0" t="s">
        <v>122</v>
      </c>
      <c r="K1622" s="0" t="s">
        <v>143</v>
      </c>
      <c r="L1622" s="0" t="s">
        <v>2886</v>
      </c>
    </row>
    <row r="1623" customFormat="false" ht="15" hidden="false" customHeight="false" outlineLevel="0" collapsed="false">
      <c r="A1623" s="0" t="s">
        <v>2782</v>
      </c>
      <c r="B1623" s="0" t="s">
        <v>129</v>
      </c>
      <c r="C1623" s="0" t="s">
        <v>268</v>
      </c>
      <c r="D1623" s="0" t="s">
        <v>69</v>
      </c>
      <c r="E1623" s="0" t="s">
        <v>1372</v>
      </c>
      <c r="F1623" s="0" t="n">
        <v>5</v>
      </c>
      <c r="G1623" s="0" t="n">
        <v>2</v>
      </c>
      <c r="H1623" s="0" t="s">
        <v>122</v>
      </c>
      <c r="I1623" s="0" t="s">
        <v>2822</v>
      </c>
      <c r="K1623" s="0" t="s">
        <v>146</v>
      </c>
      <c r="L1623" s="0" t="s">
        <v>2887</v>
      </c>
    </row>
    <row r="1624" customFormat="false" ht="15" hidden="false" customHeight="false" outlineLevel="0" collapsed="false">
      <c r="A1624" s="0" t="s">
        <v>2782</v>
      </c>
      <c r="B1624" s="0" t="s">
        <v>350</v>
      </c>
      <c r="C1624" s="0" t="s">
        <v>268</v>
      </c>
      <c r="D1624" s="0" t="s">
        <v>72</v>
      </c>
      <c r="E1624" s="0" t="s">
        <v>2888</v>
      </c>
      <c r="F1624" s="0" t="n">
        <v>5</v>
      </c>
      <c r="G1624" s="0" t="n">
        <v>0</v>
      </c>
      <c r="H1624" s="0" t="s">
        <v>122</v>
      </c>
      <c r="K1624" s="0" t="s">
        <v>149</v>
      </c>
      <c r="L1624" s="0" t="s">
        <v>2889</v>
      </c>
    </row>
    <row r="1625" customFormat="false" ht="15" hidden="false" customHeight="false" outlineLevel="0" collapsed="false">
      <c r="A1625" s="0" t="s">
        <v>2782</v>
      </c>
      <c r="B1625" s="0" t="s">
        <v>129</v>
      </c>
      <c r="C1625" s="0" t="s">
        <v>268</v>
      </c>
      <c r="D1625" s="0" t="s">
        <v>75</v>
      </c>
      <c r="E1625" s="0" t="s">
        <v>1376</v>
      </c>
      <c r="F1625" s="0" t="n">
        <v>5</v>
      </c>
      <c r="G1625" s="0" t="n">
        <v>2</v>
      </c>
      <c r="H1625" s="0" t="s">
        <v>122</v>
      </c>
      <c r="I1625" s="0" t="s">
        <v>2822</v>
      </c>
      <c r="K1625" s="0" t="s">
        <v>152</v>
      </c>
      <c r="L1625" s="0" t="s">
        <v>2890</v>
      </c>
    </row>
    <row r="1626" customFormat="false" ht="15" hidden="false" customHeight="false" outlineLevel="0" collapsed="false">
      <c r="A1626" s="0" t="s">
        <v>2782</v>
      </c>
      <c r="B1626" s="0" t="s">
        <v>350</v>
      </c>
      <c r="C1626" s="0" t="s">
        <v>268</v>
      </c>
      <c r="D1626" s="0" t="s">
        <v>78</v>
      </c>
      <c r="E1626" s="0" t="s">
        <v>2891</v>
      </c>
      <c r="F1626" s="0" t="n">
        <v>5</v>
      </c>
      <c r="G1626" s="0" t="n">
        <v>0</v>
      </c>
      <c r="H1626" s="0" t="s">
        <v>122</v>
      </c>
      <c r="K1626" s="0" t="s">
        <v>156</v>
      </c>
      <c r="L1626" s="0" t="s">
        <v>2892</v>
      </c>
    </row>
    <row r="1627" customFormat="false" ht="15" hidden="false" customHeight="false" outlineLevel="0" collapsed="false">
      <c r="A1627" s="0" t="s">
        <v>2782</v>
      </c>
      <c r="B1627" s="0" t="s">
        <v>129</v>
      </c>
      <c r="C1627" s="0" t="s">
        <v>268</v>
      </c>
      <c r="D1627" s="0" t="s">
        <v>81</v>
      </c>
      <c r="E1627" s="0" t="s">
        <v>1380</v>
      </c>
      <c r="F1627" s="0" t="n">
        <v>5</v>
      </c>
      <c r="G1627" s="0" t="n">
        <v>0</v>
      </c>
      <c r="H1627" s="0" t="s">
        <v>122</v>
      </c>
      <c r="K1627" s="0" t="s">
        <v>160</v>
      </c>
      <c r="L1627" s="0" t="s">
        <v>2893</v>
      </c>
    </row>
    <row r="1628" customFormat="false" ht="15" hidden="false" customHeight="false" outlineLevel="0" collapsed="false">
      <c r="A1628" s="0" t="s">
        <v>2782</v>
      </c>
      <c r="B1628" s="0" t="s">
        <v>350</v>
      </c>
      <c r="C1628" s="0" t="s">
        <v>294</v>
      </c>
      <c r="D1628" s="0" t="s">
        <v>528</v>
      </c>
      <c r="E1628" s="0" t="s">
        <v>2894</v>
      </c>
      <c r="F1628" s="0" t="n">
        <v>5</v>
      </c>
      <c r="G1628" s="0" t="n">
        <v>0</v>
      </c>
      <c r="H1628" s="0" t="s">
        <v>122</v>
      </c>
      <c r="K1628" s="0" t="s">
        <v>118</v>
      </c>
      <c r="L1628" s="0" t="s">
        <v>2895</v>
      </c>
    </row>
    <row r="1629" customFormat="false" ht="15" hidden="false" customHeight="false" outlineLevel="0" collapsed="false">
      <c r="A1629" s="0" t="s">
        <v>2782</v>
      </c>
      <c r="B1629" s="0" t="s">
        <v>129</v>
      </c>
      <c r="C1629" s="0" t="s">
        <v>294</v>
      </c>
      <c r="D1629" s="0" t="s">
        <v>531</v>
      </c>
      <c r="E1629" s="0" t="s">
        <v>1384</v>
      </c>
      <c r="F1629" s="0" t="n">
        <v>5</v>
      </c>
      <c r="G1629" s="0" t="n">
        <v>1</v>
      </c>
      <c r="H1629" s="0" t="s">
        <v>122</v>
      </c>
      <c r="I1629" s="0" t="s">
        <v>2822</v>
      </c>
      <c r="K1629" s="0" t="s">
        <v>123</v>
      </c>
      <c r="L1629" s="0" t="s">
        <v>2896</v>
      </c>
    </row>
    <row r="1630" customFormat="false" ht="15" hidden="false" customHeight="false" outlineLevel="0" collapsed="false">
      <c r="A1630" s="0" t="s">
        <v>2782</v>
      </c>
      <c r="B1630" s="0" t="s">
        <v>350</v>
      </c>
      <c r="C1630" s="0" t="s">
        <v>294</v>
      </c>
      <c r="D1630" s="0" t="s">
        <v>534</v>
      </c>
      <c r="E1630" s="0" t="s">
        <v>2897</v>
      </c>
      <c r="F1630" s="0" t="n">
        <v>5</v>
      </c>
      <c r="G1630" s="0" t="n">
        <v>2</v>
      </c>
      <c r="H1630" s="0" t="s">
        <v>122</v>
      </c>
      <c r="I1630" s="0" t="s">
        <v>2806</v>
      </c>
      <c r="K1630" s="0" t="s">
        <v>127</v>
      </c>
      <c r="L1630" s="0" t="s">
        <v>2898</v>
      </c>
    </row>
    <row r="1631" customFormat="false" ht="15" hidden="false" customHeight="false" outlineLevel="0" collapsed="false">
      <c r="A1631" s="0" t="s">
        <v>2782</v>
      </c>
      <c r="B1631" s="0" t="s">
        <v>129</v>
      </c>
      <c r="C1631" s="0" t="s">
        <v>294</v>
      </c>
      <c r="D1631" s="0" t="s">
        <v>52</v>
      </c>
      <c r="E1631" s="0" t="s">
        <v>1388</v>
      </c>
      <c r="F1631" s="0" t="n">
        <v>5</v>
      </c>
      <c r="G1631" s="0" t="n">
        <v>1</v>
      </c>
      <c r="H1631" s="0" t="s">
        <v>122</v>
      </c>
      <c r="I1631" s="0" t="s">
        <v>2822</v>
      </c>
      <c r="K1631" s="0" t="s">
        <v>132</v>
      </c>
      <c r="L1631" s="0" t="s">
        <v>2899</v>
      </c>
    </row>
    <row r="1632" customFormat="false" ht="15" hidden="false" customHeight="false" outlineLevel="0" collapsed="false">
      <c r="A1632" s="0" t="s">
        <v>2782</v>
      </c>
      <c r="B1632" s="0" t="s">
        <v>350</v>
      </c>
      <c r="C1632" s="0" t="s">
        <v>294</v>
      </c>
      <c r="D1632" s="0" t="s">
        <v>55</v>
      </c>
      <c r="E1632" s="0" t="s">
        <v>2900</v>
      </c>
      <c r="F1632" s="0" t="n">
        <v>5</v>
      </c>
      <c r="G1632" s="0" t="n">
        <v>1</v>
      </c>
      <c r="H1632" s="0" t="s">
        <v>122</v>
      </c>
      <c r="I1632" s="0" t="s">
        <v>2822</v>
      </c>
      <c r="K1632" s="0" t="s">
        <v>135</v>
      </c>
      <c r="L1632" s="0" t="s">
        <v>2901</v>
      </c>
    </row>
    <row r="1633" customFormat="false" ht="15" hidden="false" customHeight="false" outlineLevel="0" collapsed="false">
      <c r="A1633" s="0" t="s">
        <v>2782</v>
      </c>
      <c r="B1633" s="0" t="s">
        <v>129</v>
      </c>
      <c r="C1633" s="0" t="s">
        <v>294</v>
      </c>
      <c r="D1633" s="0" t="s">
        <v>58</v>
      </c>
      <c r="E1633" s="0" t="s">
        <v>1392</v>
      </c>
      <c r="F1633" s="0" t="n">
        <v>5</v>
      </c>
      <c r="G1633" s="0" t="n">
        <v>1</v>
      </c>
      <c r="H1633" s="0" t="s">
        <v>122</v>
      </c>
      <c r="I1633" s="0" t="s">
        <v>2822</v>
      </c>
      <c r="K1633" s="0" t="s">
        <v>138</v>
      </c>
      <c r="L1633" s="0" t="s">
        <v>2902</v>
      </c>
    </row>
    <row r="1634" customFormat="false" ht="15" hidden="false" customHeight="false" outlineLevel="0" collapsed="false">
      <c r="A1634" s="0" t="s">
        <v>2782</v>
      </c>
      <c r="B1634" s="0" t="s">
        <v>350</v>
      </c>
      <c r="C1634" s="0" t="s">
        <v>294</v>
      </c>
      <c r="D1634" s="0" t="s">
        <v>65</v>
      </c>
      <c r="E1634" s="0" t="s">
        <v>2903</v>
      </c>
      <c r="F1634" s="0" t="n">
        <v>5</v>
      </c>
      <c r="G1634" s="0" t="n">
        <v>0</v>
      </c>
      <c r="H1634" s="0" t="s">
        <v>122</v>
      </c>
      <c r="K1634" s="0" t="s">
        <v>143</v>
      </c>
      <c r="L1634" s="0" t="s">
        <v>2904</v>
      </c>
    </row>
    <row r="1635" customFormat="false" ht="15" hidden="false" customHeight="false" outlineLevel="0" collapsed="false">
      <c r="A1635" s="0" t="s">
        <v>2782</v>
      </c>
      <c r="B1635" s="0" t="s">
        <v>129</v>
      </c>
      <c r="C1635" s="0" t="s">
        <v>294</v>
      </c>
      <c r="D1635" s="0" t="s">
        <v>69</v>
      </c>
      <c r="E1635" s="0" t="s">
        <v>1396</v>
      </c>
      <c r="F1635" s="0" t="n">
        <v>5</v>
      </c>
      <c r="G1635" s="0" t="n">
        <v>0</v>
      </c>
      <c r="H1635" s="0" t="s">
        <v>122</v>
      </c>
      <c r="K1635" s="0" t="s">
        <v>146</v>
      </c>
      <c r="L1635" s="0" t="s">
        <v>2905</v>
      </c>
    </row>
    <row r="1636" customFormat="false" ht="15" hidden="false" customHeight="false" outlineLevel="0" collapsed="false">
      <c r="A1636" s="0" t="s">
        <v>2782</v>
      </c>
      <c r="B1636" s="0" t="s">
        <v>350</v>
      </c>
      <c r="C1636" s="0" t="s">
        <v>294</v>
      </c>
      <c r="D1636" s="0" t="s">
        <v>72</v>
      </c>
      <c r="E1636" s="0" t="s">
        <v>2906</v>
      </c>
      <c r="F1636" s="0" t="n">
        <v>5</v>
      </c>
      <c r="G1636" s="0" t="n">
        <v>0</v>
      </c>
      <c r="H1636" s="0" t="s">
        <v>122</v>
      </c>
      <c r="K1636" s="0" t="s">
        <v>149</v>
      </c>
      <c r="L1636" s="0" t="s">
        <v>2907</v>
      </c>
    </row>
    <row r="1637" customFormat="false" ht="15" hidden="false" customHeight="false" outlineLevel="0" collapsed="false">
      <c r="A1637" s="0" t="s">
        <v>2782</v>
      </c>
      <c r="B1637" s="0" t="s">
        <v>129</v>
      </c>
      <c r="C1637" s="0" t="s">
        <v>294</v>
      </c>
      <c r="D1637" s="0" t="s">
        <v>75</v>
      </c>
      <c r="E1637" s="0" t="s">
        <v>1400</v>
      </c>
      <c r="F1637" s="0" t="n">
        <v>5</v>
      </c>
      <c r="G1637" s="0" t="n">
        <v>2</v>
      </c>
      <c r="H1637" s="0" t="s">
        <v>122</v>
      </c>
      <c r="I1637" s="0" t="s">
        <v>2822</v>
      </c>
      <c r="K1637" s="0" t="s">
        <v>152</v>
      </c>
      <c r="L1637" s="0" t="s">
        <v>2908</v>
      </c>
    </row>
    <row r="1638" customFormat="false" ht="15" hidden="false" customHeight="false" outlineLevel="0" collapsed="false">
      <c r="A1638" s="0" t="s">
        <v>2782</v>
      </c>
      <c r="B1638" s="0" t="s">
        <v>350</v>
      </c>
      <c r="C1638" s="0" t="s">
        <v>294</v>
      </c>
      <c r="D1638" s="0" t="s">
        <v>78</v>
      </c>
      <c r="E1638" s="0" t="s">
        <v>2909</v>
      </c>
      <c r="F1638" s="0" t="n">
        <v>5</v>
      </c>
      <c r="G1638" s="0" t="n">
        <v>2</v>
      </c>
      <c r="H1638" s="0" t="s">
        <v>122</v>
      </c>
      <c r="I1638" s="0" t="s">
        <v>2822</v>
      </c>
      <c r="K1638" s="0" t="s">
        <v>156</v>
      </c>
      <c r="L1638" s="0" t="s">
        <v>2910</v>
      </c>
    </row>
    <row r="1639" customFormat="false" ht="15" hidden="false" customHeight="false" outlineLevel="0" collapsed="false">
      <c r="A1639" s="0" t="s">
        <v>2782</v>
      </c>
      <c r="B1639" s="0" t="s">
        <v>129</v>
      </c>
      <c r="C1639" s="0" t="s">
        <v>294</v>
      </c>
      <c r="D1639" s="0" t="s">
        <v>81</v>
      </c>
      <c r="E1639" s="0" t="s">
        <v>1404</v>
      </c>
      <c r="F1639" s="0" t="n">
        <v>5</v>
      </c>
      <c r="G1639" s="0" t="n">
        <v>0</v>
      </c>
      <c r="H1639" s="0" t="s">
        <v>122</v>
      </c>
      <c r="K1639" s="0" t="s">
        <v>160</v>
      </c>
      <c r="L1639" s="0" t="s">
        <v>2911</v>
      </c>
    </row>
    <row r="1640" customFormat="false" ht="15" hidden="false" customHeight="false" outlineLevel="0" collapsed="false">
      <c r="A1640" s="0" t="s">
        <v>2782</v>
      </c>
      <c r="B1640" s="0" t="s">
        <v>140</v>
      </c>
      <c r="C1640" s="0" t="s">
        <v>351</v>
      </c>
      <c r="D1640" s="0" t="s">
        <v>528</v>
      </c>
      <c r="E1640" s="0" t="s">
        <v>2912</v>
      </c>
      <c r="F1640" s="0" t="n">
        <v>5</v>
      </c>
      <c r="G1640" s="0" t="n">
        <v>0</v>
      </c>
      <c r="H1640" s="0" t="s">
        <v>122</v>
      </c>
      <c r="K1640" s="0" t="s">
        <v>118</v>
      </c>
      <c r="L1640" s="0" t="s">
        <v>2913</v>
      </c>
    </row>
    <row r="1641" customFormat="false" ht="15" hidden="false" customHeight="false" outlineLevel="0" collapsed="false">
      <c r="A1641" s="0" t="s">
        <v>2782</v>
      </c>
      <c r="B1641" s="0" t="s">
        <v>140</v>
      </c>
      <c r="C1641" s="0" t="s">
        <v>351</v>
      </c>
      <c r="D1641" s="0" t="s">
        <v>531</v>
      </c>
      <c r="E1641" s="0" t="s">
        <v>2914</v>
      </c>
      <c r="F1641" s="0" t="n">
        <v>5</v>
      </c>
      <c r="G1641" s="0" t="n">
        <v>0</v>
      </c>
      <c r="H1641" s="0" t="s">
        <v>122</v>
      </c>
      <c r="K1641" s="0" t="s">
        <v>123</v>
      </c>
      <c r="L1641" s="0" t="s">
        <v>2915</v>
      </c>
    </row>
    <row r="1642" customFormat="false" ht="15" hidden="false" customHeight="false" outlineLevel="0" collapsed="false">
      <c r="A1642" s="0" t="s">
        <v>2782</v>
      </c>
      <c r="B1642" s="0" t="s">
        <v>140</v>
      </c>
      <c r="C1642" s="0" t="s">
        <v>351</v>
      </c>
      <c r="D1642" s="0" t="s">
        <v>534</v>
      </c>
      <c r="E1642" s="0" t="s">
        <v>2916</v>
      </c>
      <c r="F1642" s="0" t="n">
        <v>5</v>
      </c>
      <c r="G1642" s="0" t="n">
        <v>0</v>
      </c>
      <c r="H1642" s="0" t="s">
        <v>122</v>
      </c>
      <c r="K1642" s="0" t="s">
        <v>127</v>
      </c>
      <c r="L1642" s="0" t="s">
        <v>2917</v>
      </c>
    </row>
    <row r="1643" customFormat="false" ht="15" hidden="false" customHeight="false" outlineLevel="0" collapsed="false">
      <c r="A1643" s="0" t="s">
        <v>2782</v>
      </c>
      <c r="B1643" s="0" t="s">
        <v>140</v>
      </c>
      <c r="C1643" s="0" t="s">
        <v>351</v>
      </c>
      <c r="D1643" s="0" t="s">
        <v>52</v>
      </c>
      <c r="E1643" s="0" t="s">
        <v>2918</v>
      </c>
      <c r="F1643" s="0" t="n">
        <v>5</v>
      </c>
      <c r="G1643" s="0" t="n">
        <v>0</v>
      </c>
      <c r="H1643" s="0" t="s">
        <v>122</v>
      </c>
      <c r="K1643" s="0" t="s">
        <v>132</v>
      </c>
      <c r="L1643" s="0" t="s">
        <v>2919</v>
      </c>
    </row>
    <row r="1644" customFormat="false" ht="15" hidden="false" customHeight="false" outlineLevel="0" collapsed="false">
      <c r="A1644" s="0" t="s">
        <v>2782</v>
      </c>
      <c r="B1644" s="0" t="s">
        <v>140</v>
      </c>
      <c r="C1644" s="0" t="s">
        <v>351</v>
      </c>
      <c r="D1644" s="0" t="s">
        <v>55</v>
      </c>
      <c r="E1644" s="0" t="s">
        <v>2920</v>
      </c>
      <c r="F1644" s="0" t="n">
        <v>5</v>
      </c>
      <c r="G1644" s="0" t="n">
        <v>0</v>
      </c>
      <c r="H1644" s="0" t="s">
        <v>122</v>
      </c>
      <c r="K1644" s="0" t="s">
        <v>135</v>
      </c>
      <c r="L1644" s="0" t="s">
        <v>2921</v>
      </c>
    </row>
    <row r="1645" customFormat="false" ht="15" hidden="false" customHeight="false" outlineLevel="0" collapsed="false">
      <c r="A1645" s="0" t="s">
        <v>2782</v>
      </c>
      <c r="B1645" s="0" t="s">
        <v>140</v>
      </c>
      <c r="C1645" s="0" t="s">
        <v>351</v>
      </c>
      <c r="D1645" s="0" t="s">
        <v>58</v>
      </c>
      <c r="E1645" s="0" t="s">
        <v>2922</v>
      </c>
      <c r="F1645" s="0" t="n">
        <v>5</v>
      </c>
      <c r="G1645" s="0" t="n">
        <v>0</v>
      </c>
      <c r="H1645" s="0" t="s">
        <v>122</v>
      </c>
      <c r="K1645" s="0" t="s">
        <v>138</v>
      </c>
      <c r="L1645" s="0" t="s">
        <v>2923</v>
      </c>
    </row>
    <row r="1646" customFormat="false" ht="15" hidden="false" customHeight="false" outlineLevel="0" collapsed="false">
      <c r="A1646" s="0" t="s">
        <v>2782</v>
      </c>
      <c r="B1646" s="0" t="s">
        <v>140</v>
      </c>
      <c r="C1646" s="0" t="s">
        <v>351</v>
      </c>
      <c r="D1646" s="0" t="s">
        <v>65</v>
      </c>
      <c r="E1646" s="0" t="s">
        <v>2924</v>
      </c>
      <c r="F1646" s="0" t="n">
        <v>5</v>
      </c>
      <c r="G1646" s="0" t="n">
        <v>0</v>
      </c>
      <c r="H1646" s="0" t="s">
        <v>122</v>
      </c>
      <c r="K1646" s="0" t="s">
        <v>143</v>
      </c>
      <c r="L1646" s="0" t="s">
        <v>2925</v>
      </c>
    </row>
    <row r="1647" customFormat="false" ht="15" hidden="false" customHeight="false" outlineLevel="0" collapsed="false">
      <c r="A1647" s="0" t="s">
        <v>2782</v>
      </c>
      <c r="B1647" s="0" t="s">
        <v>140</v>
      </c>
      <c r="C1647" s="0" t="s">
        <v>351</v>
      </c>
      <c r="D1647" s="0" t="s">
        <v>69</v>
      </c>
      <c r="E1647" s="0" t="s">
        <v>2926</v>
      </c>
      <c r="F1647" s="0" t="n">
        <v>5</v>
      </c>
      <c r="G1647" s="0" t="n">
        <v>0</v>
      </c>
      <c r="H1647" s="0" t="s">
        <v>122</v>
      </c>
      <c r="K1647" s="0" t="s">
        <v>146</v>
      </c>
      <c r="L1647" s="0" t="s">
        <v>2927</v>
      </c>
    </row>
    <row r="1648" customFormat="false" ht="15" hidden="false" customHeight="false" outlineLevel="0" collapsed="false">
      <c r="A1648" s="0" t="s">
        <v>2782</v>
      </c>
      <c r="B1648" s="0" t="s">
        <v>140</v>
      </c>
      <c r="C1648" s="0" t="s">
        <v>351</v>
      </c>
      <c r="D1648" s="0" t="s">
        <v>72</v>
      </c>
      <c r="E1648" s="0" t="s">
        <v>2928</v>
      </c>
      <c r="F1648" s="0" t="n">
        <v>5</v>
      </c>
      <c r="G1648" s="0" t="n">
        <v>0</v>
      </c>
      <c r="H1648" s="0" t="s">
        <v>122</v>
      </c>
      <c r="K1648" s="0" t="s">
        <v>149</v>
      </c>
      <c r="L1648" s="0" t="s">
        <v>2929</v>
      </c>
    </row>
    <row r="1649" customFormat="false" ht="15" hidden="false" customHeight="false" outlineLevel="0" collapsed="false">
      <c r="A1649" s="0" t="s">
        <v>2782</v>
      </c>
      <c r="B1649" s="0" t="s">
        <v>140</v>
      </c>
      <c r="C1649" s="0" t="s">
        <v>351</v>
      </c>
      <c r="D1649" s="0" t="s">
        <v>75</v>
      </c>
      <c r="E1649" s="0" t="s">
        <v>2930</v>
      </c>
      <c r="F1649" s="0" t="n">
        <v>5</v>
      </c>
      <c r="G1649" s="0" t="n">
        <v>0</v>
      </c>
      <c r="H1649" s="0" t="s">
        <v>122</v>
      </c>
      <c r="K1649" s="0" t="s">
        <v>152</v>
      </c>
      <c r="L1649" s="0" t="s">
        <v>2931</v>
      </c>
    </row>
    <row r="1650" customFormat="false" ht="15" hidden="false" customHeight="false" outlineLevel="0" collapsed="false">
      <c r="A1650" s="0" t="s">
        <v>2782</v>
      </c>
      <c r="B1650" s="0" t="s">
        <v>140</v>
      </c>
      <c r="C1650" s="0" t="s">
        <v>351</v>
      </c>
      <c r="D1650" s="0" t="s">
        <v>78</v>
      </c>
      <c r="E1650" s="0" t="s">
        <v>2932</v>
      </c>
      <c r="F1650" s="0" t="n">
        <v>5</v>
      </c>
      <c r="G1650" s="0" t="n">
        <v>0</v>
      </c>
      <c r="H1650" s="0" t="s">
        <v>122</v>
      </c>
      <c r="K1650" s="0" t="s">
        <v>156</v>
      </c>
      <c r="L1650" s="0" t="s">
        <v>2933</v>
      </c>
    </row>
    <row r="1651" customFormat="false" ht="15" hidden="false" customHeight="false" outlineLevel="0" collapsed="false">
      <c r="A1651" s="0" t="s">
        <v>2782</v>
      </c>
      <c r="B1651" s="0" t="s">
        <v>140</v>
      </c>
      <c r="C1651" s="0" t="s">
        <v>351</v>
      </c>
      <c r="D1651" s="0" t="s">
        <v>81</v>
      </c>
      <c r="E1651" s="0" t="s">
        <v>2934</v>
      </c>
      <c r="F1651" s="0" t="n">
        <v>5</v>
      </c>
      <c r="G1651" s="0" t="n">
        <v>0</v>
      </c>
      <c r="H1651" s="0" t="s">
        <v>122</v>
      </c>
      <c r="K1651" s="0" t="s">
        <v>160</v>
      </c>
      <c r="L1651" s="0" t="s">
        <v>2935</v>
      </c>
    </row>
    <row r="1652" customFormat="false" ht="15" hidden="false" customHeight="false" outlineLevel="0" collapsed="false">
      <c r="A1652" s="0" t="s">
        <v>2782</v>
      </c>
      <c r="B1652" s="0" t="s">
        <v>140</v>
      </c>
      <c r="C1652" s="0" t="s">
        <v>376</v>
      </c>
      <c r="D1652" s="0" t="s">
        <v>528</v>
      </c>
      <c r="E1652" s="0" t="s">
        <v>2936</v>
      </c>
      <c r="F1652" s="0" t="n">
        <v>5</v>
      </c>
      <c r="G1652" s="0" t="n">
        <v>0</v>
      </c>
      <c r="H1652" s="0" t="s">
        <v>122</v>
      </c>
      <c r="K1652" s="0" t="s">
        <v>118</v>
      </c>
      <c r="L1652" s="0" t="s">
        <v>2937</v>
      </c>
    </row>
    <row r="1653" customFormat="false" ht="15" hidden="false" customHeight="false" outlineLevel="0" collapsed="false">
      <c r="A1653" s="0" t="s">
        <v>2782</v>
      </c>
      <c r="B1653" s="0" t="s">
        <v>140</v>
      </c>
      <c r="C1653" s="0" t="s">
        <v>376</v>
      </c>
      <c r="D1653" s="0" t="s">
        <v>531</v>
      </c>
      <c r="E1653" s="0" t="s">
        <v>2938</v>
      </c>
      <c r="F1653" s="0" t="n">
        <v>5</v>
      </c>
      <c r="G1653" s="0" t="n">
        <v>0</v>
      </c>
      <c r="H1653" s="0" t="s">
        <v>122</v>
      </c>
      <c r="K1653" s="0" t="s">
        <v>123</v>
      </c>
      <c r="L1653" s="0" t="s">
        <v>2939</v>
      </c>
    </row>
    <row r="1654" customFormat="false" ht="15" hidden="false" customHeight="false" outlineLevel="0" collapsed="false">
      <c r="A1654" s="0" t="s">
        <v>2782</v>
      </c>
      <c r="B1654" s="0" t="s">
        <v>140</v>
      </c>
      <c r="C1654" s="0" t="s">
        <v>376</v>
      </c>
      <c r="D1654" s="0" t="s">
        <v>534</v>
      </c>
      <c r="E1654" s="0" t="s">
        <v>2940</v>
      </c>
      <c r="F1654" s="0" t="n">
        <v>5</v>
      </c>
      <c r="G1654" s="0" t="n">
        <v>1</v>
      </c>
      <c r="H1654" s="0" t="s">
        <v>122</v>
      </c>
      <c r="I1654" s="0" t="s">
        <v>2941</v>
      </c>
      <c r="K1654" s="0" t="s">
        <v>127</v>
      </c>
      <c r="L1654" s="0" t="s">
        <v>2942</v>
      </c>
    </row>
    <row r="1655" customFormat="false" ht="15" hidden="false" customHeight="false" outlineLevel="0" collapsed="false">
      <c r="A1655" s="0" t="s">
        <v>2782</v>
      </c>
      <c r="B1655" s="0" t="s">
        <v>140</v>
      </c>
      <c r="C1655" s="0" t="s">
        <v>376</v>
      </c>
      <c r="D1655" s="0" t="s">
        <v>52</v>
      </c>
      <c r="E1655" s="0" t="s">
        <v>2943</v>
      </c>
      <c r="F1655" s="0" t="n">
        <v>5</v>
      </c>
      <c r="G1655" s="0" t="n">
        <v>0</v>
      </c>
      <c r="H1655" s="0" t="s">
        <v>122</v>
      </c>
      <c r="K1655" s="0" t="s">
        <v>132</v>
      </c>
      <c r="L1655" s="0" t="s">
        <v>2944</v>
      </c>
    </row>
    <row r="1656" customFormat="false" ht="15" hidden="false" customHeight="false" outlineLevel="0" collapsed="false">
      <c r="A1656" s="0" t="s">
        <v>2782</v>
      </c>
      <c r="B1656" s="0" t="s">
        <v>140</v>
      </c>
      <c r="C1656" s="0" t="s">
        <v>376</v>
      </c>
      <c r="D1656" s="0" t="s">
        <v>55</v>
      </c>
      <c r="E1656" s="0" t="s">
        <v>2945</v>
      </c>
      <c r="F1656" s="0" t="n">
        <v>5</v>
      </c>
      <c r="G1656" s="0" t="n">
        <v>2</v>
      </c>
      <c r="H1656" s="0" t="s">
        <v>122</v>
      </c>
      <c r="I1656" s="0" t="s">
        <v>2806</v>
      </c>
      <c r="K1656" s="0" t="s">
        <v>135</v>
      </c>
      <c r="L1656" s="0" t="s">
        <v>2946</v>
      </c>
    </row>
    <row r="1657" customFormat="false" ht="15" hidden="false" customHeight="false" outlineLevel="0" collapsed="false">
      <c r="A1657" s="0" t="s">
        <v>2782</v>
      </c>
      <c r="B1657" s="0" t="s">
        <v>140</v>
      </c>
      <c r="C1657" s="0" t="s">
        <v>376</v>
      </c>
      <c r="D1657" s="0" t="s">
        <v>58</v>
      </c>
      <c r="E1657" s="0" t="s">
        <v>2947</v>
      </c>
      <c r="F1657" s="0" t="n">
        <v>5</v>
      </c>
      <c r="G1657" s="0" t="n">
        <v>0</v>
      </c>
      <c r="H1657" s="0" t="s">
        <v>122</v>
      </c>
      <c r="K1657" s="0" t="s">
        <v>138</v>
      </c>
      <c r="L1657" s="0" t="s">
        <v>2948</v>
      </c>
    </row>
    <row r="1658" customFormat="false" ht="15" hidden="false" customHeight="false" outlineLevel="0" collapsed="false">
      <c r="A1658" s="0" t="s">
        <v>2782</v>
      </c>
      <c r="B1658" s="0" t="s">
        <v>140</v>
      </c>
      <c r="C1658" s="0" t="s">
        <v>376</v>
      </c>
      <c r="D1658" s="0" t="s">
        <v>65</v>
      </c>
      <c r="E1658" s="0" t="s">
        <v>2949</v>
      </c>
      <c r="F1658" s="0" t="n">
        <v>5</v>
      </c>
      <c r="G1658" s="0" t="n">
        <v>0</v>
      </c>
      <c r="H1658" s="0" t="s">
        <v>122</v>
      </c>
      <c r="K1658" s="0" t="s">
        <v>143</v>
      </c>
      <c r="L1658" s="0" t="s">
        <v>2950</v>
      </c>
    </row>
    <row r="1659" customFormat="false" ht="15" hidden="false" customHeight="false" outlineLevel="0" collapsed="false">
      <c r="A1659" s="0" t="s">
        <v>2782</v>
      </c>
      <c r="B1659" s="0" t="s">
        <v>140</v>
      </c>
      <c r="C1659" s="0" t="s">
        <v>376</v>
      </c>
      <c r="D1659" s="0" t="s">
        <v>69</v>
      </c>
      <c r="E1659" s="0" t="s">
        <v>2951</v>
      </c>
      <c r="F1659" s="0" t="n">
        <v>5</v>
      </c>
      <c r="G1659" s="0" t="n">
        <v>0</v>
      </c>
      <c r="H1659" s="0" t="s">
        <v>122</v>
      </c>
      <c r="K1659" s="0" t="s">
        <v>146</v>
      </c>
      <c r="L1659" s="0" t="s">
        <v>2952</v>
      </c>
    </row>
    <row r="1660" customFormat="false" ht="15" hidden="false" customHeight="false" outlineLevel="0" collapsed="false">
      <c r="A1660" s="0" t="s">
        <v>2782</v>
      </c>
      <c r="B1660" s="0" t="s">
        <v>140</v>
      </c>
      <c r="C1660" s="0" t="s">
        <v>376</v>
      </c>
      <c r="D1660" s="0" t="s">
        <v>72</v>
      </c>
      <c r="E1660" s="0" t="s">
        <v>2953</v>
      </c>
      <c r="F1660" s="0" t="n">
        <v>5</v>
      </c>
      <c r="G1660" s="0" t="n">
        <v>0</v>
      </c>
      <c r="H1660" s="0" t="s">
        <v>122</v>
      </c>
      <c r="K1660" s="0" t="s">
        <v>149</v>
      </c>
      <c r="L1660" s="0" t="s">
        <v>2954</v>
      </c>
    </row>
    <row r="1661" customFormat="false" ht="15" hidden="false" customHeight="false" outlineLevel="0" collapsed="false">
      <c r="A1661" s="0" t="s">
        <v>2782</v>
      </c>
      <c r="B1661" s="0" t="s">
        <v>140</v>
      </c>
      <c r="C1661" s="0" t="s">
        <v>376</v>
      </c>
      <c r="D1661" s="0" t="s">
        <v>75</v>
      </c>
      <c r="E1661" s="0" t="s">
        <v>2955</v>
      </c>
      <c r="F1661" s="0" t="n">
        <v>5</v>
      </c>
      <c r="G1661" s="0" t="n">
        <v>0</v>
      </c>
      <c r="H1661" s="0" t="s">
        <v>122</v>
      </c>
      <c r="K1661" s="0" t="s">
        <v>152</v>
      </c>
      <c r="L1661" s="0" t="s">
        <v>2956</v>
      </c>
    </row>
    <row r="1662" customFormat="false" ht="15" hidden="false" customHeight="false" outlineLevel="0" collapsed="false">
      <c r="A1662" s="0" t="s">
        <v>2782</v>
      </c>
      <c r="B1662" s="0" t="s">
        <v>140</v>
      </c>
      <c r="C1662" s="0" t="s">
        <v>376</v>
      </c>
      <c r="D1662" s="0" t="s">
        <v>78</v>
      </c>
      <c r="E1662" s="0" t="s">
        <v>2957</v>
      </c>
      <c r="F1662" s="0" t="n">
        <v>5</v>
      </c>
      <c r="G1662" s="0" t="n">
        <v>2</v>
      </c>
      <c r="H1662" s="0" t="s">
        <v>122</v>
      </c>
      <c r="I1662" s="0" t="s">
        <v>2941</v>
      </c>
      <c r="K1662" s="0" t="s">
        <v>156</v>
      </c>
      <c r="L1662" s="0" t="s">
        <v>2958</v>
      </c>
    </row>
    <row r="1663" customFormat="false" ht="15" hidden="false" customHeight="false" outlineLevel="0" collapsed="false">
      <c r="A1663" s="0" t="s">
        <v>2782</v>
      </c>
      <c r="B1663" s="0" t="s">
        <v>140</v>
      </c>
      <c r="C1663" s="0" t="s">
        <v>376</v>
      </c>
      <c r="D1663" s="0" t="s">
        <v>81</v>
      </c>
      <c r="E1663" s="0" t="s">
        <v>2959</v>
      </c>
      <c r="F1663" s="0" t="n">
        <v>5</v>
      </c>
      <c r="G1663" s="0" t="n">
        <v>0</v>
      </c>
      <c r="H1663" s="0" t="s">
        <v>122</v>
      </c>
      <c r="K1663" s="0" t="s">
        <v>160</v>
      </c>
      <c r="L1663" s="0" t="s">
        <v>2960</v>
      </c>
    </row>
    <row r="1664" customFormat="false" ht="15" hidden="false" customHeight="false" outlineLevel="0" collapsed="false">
      <c r="A1664" s="0" t="s">
        <v>2782</v>
      </c>
      <c r="B1664" s="0" t="s">
        <v>140</v>
      </c>
      <c r="C1664" s="0" t="s">
        <v>401</v>
      </c>
      <c r="D1664" s="0" t="s">
        <v>528</v>
      </c>
      <c r="E1664" s="0" t="s">
        <v>2961</v>
      </c>
      <c r="F1664" s="0" t="n">
        <v>5</v>
      </c>
      <c r="G1664" s="0" t="n">
        <v>0</v>
      </c>
      <c r="H1664" s="0" t="s">
        <v>122</v>
      </c>
      <c r="K1664" s="0" t="s">
        <v>118</v>
      </c>
      <c r="L1664" s="0" t="s">
        <v>2962</v>
      </c>
    </row>
    <row r="1665" customFormat="false" ht="15" hidden="false" customHeight="false" outlineLevel="0" collapsed="false">
      <c r="A1665" s="0" t="s">
        <v>2782</v>
      </c>
      <c r="B1665" s="0" t="s">
        <v>140</v>
      </c>
      <c r="C1665" s="0" t="s">
        <v>401</v>
      </c>
      <c r="D1665" s="0" t="s">
        <v>531</v>
      </c>
      <c r="E1665" s="0" t="s">
        <v>2963</v>
      </c>
      <c r="F1665" s="0" t="n">
        <v>5</v>
      </c>
      <c r="G1665" s="0" t="n">
        <v>0</v>
      </c>
      <c r="H1665" s="0" t="s">
        <v>122</v>
      </c>
      <c r="K1665" s="0" t="s">
        <v>123</v>
      </c>
      <c r="L1665" s="0" t="s">
        <v>2964</v>
      </c>
    </row>
    <row r="1666" customFormat="false" ht="15" hidden="false" customHeight="false" outlineLevel="0" collapsed="false">
      <c r="A1666" s="0" t="s">
        <v>2782</v>
      </c>
      <c r="B1666" s="0" t="s">
        <v>140</v>
      </c>
      <c r="C1666" s="0" t="s">
        <v>401</v>
      </c>
      <c r="D1666" s="0" t="s">
        <v>534</v>
      </c>
      <c r="E1666" s="0" t="s">
        <v>2965</v>
      </c>
      <c r="F1666" s="0" t="n">
        <v>5</v>
      </c>
      <c r="G1666" s="0" t="n">
        <v>0</v>
      </c>
      <c r="H1666" s="0" t="s">
        <v>122</v>
      </c>
      <c r="K1666" s="0" t="s">
        <v>127</v>
      </c>
      <c r="L1666" s="0" t="s">
        <v>2966</v>
      </c>
    </row>
    <row r="1667" customFormat="false" ht="15" hidden="false" customHeight="false" outlineLevel="0" collapsed="false">
      <c r="A1667" s="0" t="s">
        <v>2782</v>
      </c>
      <c r="B1667" s="0" t="s">
        <v>140</v>
      </c>
      <c r="C1667" s="0" t="s">
        <v>401</v>
      </c>
      <c r="D1667" s="0" t="s">
        <v>52</v>
      </c>
      <c r="E1667" s="0" t="s">
        <v>2967</v>
      </c>
      <c r="F1667" s="0" t="n">
        <v>5</v>
      </c>
      <c r="G1667" s="0" t="n">
        <v>0</v>
      </c>
      <c r="H1667" s="0" t="s">
        <v>122</v>
      </c>
      <c r="K1667" s="0" t="s">
        <v>132</v>
      </c>
      <c r="L1667" s="0" t="s">
        <v>2968</v>
      </c>
    </row>
    <row r="1668" customFormat="false" ht="15" hidden="false" customHeight="false" outlineLevel="0" collapsed="false">
      <c r="A1668" s="0" t="s">
        <v>2782</v>
      </c>
      <c r="B1668" s="0" t="s">
        <v>140</v>
      </c>
      <c r="C1668" s="0" t="s">
        <v>401</v>
      </c>
      <c r="D1668" s="0" t="s">
        <v>55</v>
      </c>
      <c r="E1668" s="0" t="s">
        <v>2969</v>
      </c>
      <c r="F1668" s="0" t="n">
        <v>5</v>
      </c>
      <c r="G1668" s="0" t="n">
        <v>1</v>
      </c>
      <c r="H1668" s="0" t="s">
        <v>122</v>
      </c>
      <c r="I1668" s="0" t="s">
        <v>2806</v>
      </c>
      <c r="K1668" s="0" t="s">
        <v>135</v>
      </c>
      <c r="L1668" s="0" t="s">
        <v>2970</v>
      </c>
    </row>
    <row r="1669" customFormat="false" ht="15" hidden="false" customHeight="false" outlineLevel="0" collapsed="false">
      <c r="A1669" s="0" t="s">
        <v>2782</v>
      </c>
      <c r="B1669" s="0" t="s">
        <v>140</v>
      </c>
      <c r="C1669" s="0" t="s">
        <v>401</v>
      </c>
      <c r="D1669" s="0" t="s">
        <v>58</v>
      </c>
      <c r="E1669" s="0" t="s">
        <v>2971</v>
      </c>
      <c r="F1669" s="0" t="n">
        <v>5</v>
      </c>
      <c r="G1669" s="0" t="n">
        <v>0</v>
      </c>
      <c r="H1669" s="0" t="s">
        <v>122</v>
      </c>
      <c r="K1669" s="0" t="s">
        <v>138</v>
      </c>
      <c r="L1669" s="0" t="s">
        <v>2972</v>
      </c>
    </row>
    <row r="1670" customFormat="false" ht="15" hidden="false" customHeight="false" outlineLevel="0" collapsed="false">
      <c r="A1670" s="0" t="s">
        <v>2782</v>
      </c>
      <c r="B1670" s="0" t="s">
        <v>140</v>
      </c>
      <c r="C1670" s="0" t="s">
        <v>401</v>
      </c>
      <c r="D1670" s="0" t="s">
        <v>65</v>
      </c>
      <c r="E1670" s="0" t="s">
        <v>2973</v>
      </c>
      <c r="F1670" s="0" t="n">
        <v>5</v>
      </c>
      <c r="G1670" s="0" t="n">
        <v>1</v>
      </c>
      <c r="H1670" s="0" t="s">
        <v>122</v>
      </c>
      <c r="I1670" s="0" t="s">
        <v>2806</v>
      </c>
      <c r="K1670" s="0" t="s">
        <v>143</v>
      </c>
      <c r="L1670" s="0" t="s">
        <v>2974</v>
      </c>
    </row>
    <row r="1671" customFormat="false" ht="15" hidden="false" customHeight="false" outlineLevel="0" collapsed="false">
      <c r="A1671" s="0" t="s">
        <v>2782</v>
      </c>
      <c r="B1671" s="0" t="s">
        <v>140</v>
      </c>
      <c r="C1671" s="0" t="s">
        <v>401</v>
      </c>
      <c r="D1671" s="0" t="s">
        <v>69</v>
      </c>
      <c r="E1671" s="0" t="s">
        <v>2975</v>
      </c>
      <c r="F1671" s="0" t="n">
        <v>5</v>
      </c>
      <c r="G1671" s="0" t="n">
        <v>0</v>
      </c>
      <c r="H1671" s="0" t="s">
        <v>122</v>
      </c>
      <c r="K1671" s="0" t="s">
        <v>146</v>
      </c>
      <c r="L1671" s="0" t="s">
        <v>2976</v>
      </c>
    </row>
    <row r="1672" customFormat="false" ht="15" hidden="false" customHeight="false" outlineLevel="0" collapsed="false">
      <c r="A1672" s="0" t="s">
        <v>2782</v>
      </c>
      <c r="B1672" s="0" t="s">
        <v>140</v>
      </c>
      <c r="C1672" s="0" t="s">
        <v>401</v>
      </c>
      <c r="D1672" s="0" t="s">
        <v>72</v>
      </c>
      <c r="E1672" s="0" t="s">
        <v>2977</v>
      </c>
      <c r="F1672" s="0" t="n">
        <v>5</v>
      </c>
      <c r="G1672" s="0" t="n">
        <v>2</v>
      </c>
      <c r="H1672" s="0" t="s">
        <v>122</v>
      </c>
      <c r="I1672" s="0" t="s">
        <v>2978</v>
      </c>
      <c r="K1672" s="0" t="s">
        <v>149</v>
      </c>
      <c r="L1672" s="0" t="s">
        <v>2979</v>
      </c>
    </row>
    <row r="1673" customFormat="false" ht="15" hidden="false" customHeight="false" outlineLevel="0" collapsed="false">
      <c r="A1673" s="0" t="s">
        <v>2782</v>
      </c>
      <c r="B1673" s="0" t="s">
        <v>140</v>
      </c>
      <c r="C1673" s="0" t="s">
        <v>401</v>
      </c>
      <c r="D1673" s="0" t="s">
        <v>75</v>
      </c>
      <c r="E1673" s="0" t="s">
        <v>2980</v>
      </c>
      <c r="F1673" s="0" t="n">
        <v>5</v>
      </c>
      <c r="G1673" s="0" t="n">
        <v>0</v>
      </c>
      <c r="H1673" s="0" t="s">
        <v>122</v>
      </c>
      <c r="K1673" s="0" t="s">
        <v>152</v>
      </c>
      <c r="L1673" s="0" t="s">
        <v>2981</v>
      </c>
    </row>
    <row r="1674" customFormat="false" ht="15" hidden="false" customHeight="false" outlineLevel="0" collapsed="false">
      <c r="A1674" s="0" t="s">
        <v>2782</v>
      </c>
      <c r="B1674" s="0" t="s">
        <v>140</v>
      </c>
      <c r="C1674" s="0" t="s">
        <v>401</v>
      </c>
      <c r="D1674" s="0" t="s">
        <v>78</v>
      </c>
      <c r="E1674" s="0" t="s">
        <v>2982</v>
      </c>
      <c r="F1674" s="0" t="n">
        <v>5</v>
      </c>
      <c r="G1674" s="0" t="n">
        <v>3</v>
      </c>
      <c r="H1674" s="0" t="s">
        <v>122</v>
      </c>
      <c r="I1674" s="0" t="s">
        <v>2806</v>
      </c>
      <c r="K1674" s="0" t="s">
        <v>156</v>
      </c>
      <c r="L1674" s="0" t="s">
        <v>2983</v>
      </c>
    </row>
    <row r="1675" customFormat="false" ht="15" hidden="false" customHeight="false" outlineLevel="0" collapsed="false">
      <c r="A1675" s="0" t="s">
        <v>2782</v>
      </c>
      <c r="B1675" s="0" t="s">
        <v>140</v>
      </c>
      <c r="C1675" s="0" t="s">
        <v>401</v>
      </c>
      <c r="D1675" s="0" t="s">
        <v>81</v>
      </c>
      <c r="E1675" s="0" t="s">
        <v>2984</v>
      </c>
      <c r="F1675" s="0" t="n">
        <v>5</v>
      </c>
      <c r="G1675" s="0" t="n">
        <v>0</v>
      </c>
      <c r="H1675" s="0" t="s">
        <v>122</v>
      </c>
      <c r="K1675" s="0" t="s">
        <v>160</v>
      </c>
      <c r="L1675" s="0" t="s">
        <v>2985</v>
      </c>
    </row>
    <row r="1676" customFormat="false" ht="15" hidden="false" customHeight="false" outlineLevel="0" collapsed="false">
      <c r="A1676" s="0" t="s">
        <v>2782</v>
      </c>
      <c r="B1676" s="0" t="s">
        <v>140</v>
      </c>
      <c r="C1676" s="0" t="s">
        <v>426</v>
      </c>
      <c r="D1676" s="0" t="s">
        <v>528</v>
      </c>
      <c r="E1676" s="0" t="s">
        <v>2986</v>
      </c>
      <c r="F1676" s="0" t="n">
        <v>5</v>
      </c>
      <c r="G1676" s="0" t="n">
        <v>0</v>
      </c>
      <c r="H1676" s="0" t="s">
        <v>122</v>
      </c>
      <c r="K1676" s="0" t="s">
        <v>118</v>
      </c>
      <c r="L1676" s="0" t="s">
        <v>2987</v>
      </c>
    </row>
    <row r="1677" customFormat="false" ht="15" hidden="false" customHeight="false" outlineLevel="0" collapsed="false">
      <c r="A1677" s="0" t="s">
        <v>2782</v>
      </c>
      <c r="B1677" s="0" t="s">
        <v>140</v>
      </c>
      <c r="C1677" s="0" t="s">
        <v>426</v>
      </c>
      <c r="D1677" s="0" t="s">
        <v>531</v>
      </c>
      <c r="E1677" s="0" t="s">
        <v>2988</v>
      </c>
      <c r="F1677" s="0" t="n">
        <v>5</v>
      </c>
      <c r="G1677" s="0" t="n">
        <v>0</v>
      </c>
      <c r="H1677" s="0" t="s">
        <v>122</v>
      </c>
      <c r="K1677" s="0" t="s">
        <v>123</v>
      </c>
      <c r="L1677" s="0" t="s">
        <v>2989</v>
      </c>
    </row>
    <row r="1678" customFormat="false" ht="15" hidden="false" customHeight="false" outlineLevel="0" collapsed="false">
      <c r="A1678" s="0" t="s">
        <v>2782</v>
      </c>
      <c r="B1678" s="0" t="s">
        <v>140</v>
      </c>
      <c r="C1678" s="0" t="s">
        <v>426</v>
      </c>
      <c r="D1678" s="0" t="s">
        <v>534</v>
      </c>
      <c r="E1678" s="0" t="s">
        <v>2990</v>
      </c>
      <c r="F1678" s="0" t="n">
        <v>5</v>
      </c>
      <c r="G1678" s="0" t="n">
        <v>0</v>
      </c>
      <c r="H1678" s="0" t="s">
        <v>122</v>
      </c>
      <c r="K1678" s="0" t="s">
        <v>127</v>
      </c>
      <c r="L1678" s="0" t="s">
        <v>2991</v>
      </c>
    </row>
    <row r="1679" customFormat="false" ht="15" hidden="false" customHeight="false" outlineLevel="0" collapsed="false">
      <c r="A1679" s="0" t="s">
        <v>2782</v>
      </c>
      <c r="B1679" s="0" t="s">
        <v>140</v>
      </c>
      <c r="C1679" s="0" t="s">
        <v>426</v>
      </c>
      <c r="D1679" s="0" t="s">
        <v>52</v>
      </c>
      <c r="E1679" s="0" t="s">
        <v>2992</v>
      </c>
      <c r="F1679" s="0" t="n">
        <v>5</v>
      </c>
      <c r="G1679" s="0" t="n">
        <v>1</v>
      </c>
      <c r="H1679" s="0" t="s">
        <v>122</v>
      </c>
      <c r="I1679" s="0" t="s">
        <v>2870</v>
      </c>
      <c r="K1679" s="0" t="s">
        <v>132</v>
      </c>
      <c r="L1679" s="0" t="s">
        <v>2993</v>
      </c>
    </row>
    <row r="1680" customFormat="false" ht="15" hidden="false" customHeight="false" outlineLevel="0" collapsed="false">
      <c r="A1680" s="0" t="s">
        <v>2782</v>
      </c>
      <c r="B1680" s="0" t="s">
        <v>140</v>
      </c>
      <c r="C1680" s="0" t="s">
        <v>426</v>
      </c>
      <c r="D1680" s="0" t="s">
        <v>55</v>
      </c>
      <c r="E1680" s="0" t="s">
        <v>2994</v>
      </c>
      <c r="F1680" s="0" t="n">
        <v>5</v>
      </c>
      <c r="G1680" s="0" t="n">
        <v>0</v>
      </c>
      <c r="H1680" s="0" t="s">
        <v>122</v>
      </c>
      <c r="K1680" s="0" t="s">
        <v>135</v>
      </c>
      <c r="L1680" s="0" t="s">
        <v>2995</v>
      </c>
    </row>
    <row r="1681" customFormat="false" ht="15" hidden="false" customHeight="false" outlineLevel="0" collapsed="false">
      <c r="A1681" s="0" t="s">
        <v>2782</v>
      </c>
      <c r="B1681" s="0" t="s">
        <v>140</v>
      </c>
      <c r="C1681" s="0" t="s">
        <v>426</v>
      </c>
      <c r="D1681" s="0" t="s">
        <v>58</v>
      </c>
      <c r="E1681" s="0" t="s">
        <v>2996</v>
      </c>
      <c r="F1681" s="0" t="n">
        <v>5</v>
      </c>
      <c r="G1681" s="0" t="n">
        <v>0</v>
      </c>
      <c r="H1681" s="0" t="s">
        <v>122</v>
      </c>
      <c r="K1681" s="0" t="s">
        <v>138</v>
      </c>
      <c r="L1681" s="0" t="s">
        <v>2997</v>
      </c>
    </row>
    <row r="1682" customFormat="false" ht="15" hidden="false" customHeight="false" outlineLevel="0" collapsed="false">
      <c r="A1682" s="0" t="s">
        <v>2782</v>
      </c>
      <c r="B1682" s="0" t="s">
        <v>140</v>
      </c>
      <c r="C1682" s="0" t="s">
        <v>426</v>
      </c>
      <c r="D1682" s="0" t="s">
        <v>65</v>
      </c>
      <c r="E1682" s="0" t="s">
        <v>2998</v>
      </c>
      <c r="F1682" s="0" t="n">
        <v>5</v>
      </c>
      <c r="G1682" s="0" t="n">
        <v>0</v>
      </c>
      <c r="H1682" s="0" t="s">
        <v>122</v>
      </c>
      <c r="K1682" s="0" t="s">
        <v>143</v>
      </c>
      <c r="L1682" s="0" t="s">
        <v>2999</v>
      </c>
    </row>
    <row r="1683" customFormat="false" ht="15" hidden="false" customHeight="false" outlineLevel="0" collapsed="false">
      <c r="A1683" s="0" t="s">
        <v>2782</v>
      </c>
      <c r="B1683" s="0" t="s">
        <v>140</v>
      </c>
      <c r="C1683" s="0" t="s">
        <v>426</v>
      </c>
      <c r="D1683" s="0" t="s">
        <v>69</v>
      </c>
      <c r="E1683" s="0" t="s">
        <v>3000</v>
      </c>
      <c r="F1683" s="0" t="n">
        <v>5</v>
      </c>
      <c r="G1683" s="0" t="n">
        <v>0</v>
      </c>
      <c r="H1683" s="0" t="s">
        <v>122</v>
      </c>
      <c r="K1683" s="0" t="s">
        <v>146</v>
      </c>
      <c r="L1683" s="0" t="s">
        <v>3001</v>
      </c>
    </row>
    <row r="1684" customFormat="false" ht="15" hidden="false" customHeight="false" outlineLevel="0" collapsed="false">
      <c r="A1684" s="0" t="s">
        <v>2782</v>
      </c>
      <c r="B1684" s="0" t="s">
        <v>140</v>
      </c>
      <c r="C1684" s="0" t="s">
        <v>426</v>
      </c>
      <c r="D1684" s="0" t="s">
        <v>72</v>
      </c>
      <c r="E1684" s="0" t="s">
        <v>3002</v>
      </c>
      <c r="F1684" s="0" t="n">
        <v>5</v>
      </c>
      <c r="G1684" s="0" t="n">
        <v>0</v>
      </c>
      <c r="H1684" s="0" t="s">
        <v>122</v>
      </c>
      <c r="K1684" s="0" t="s">
        <v>149</v>
      </c>
      <c r="L1684" s="0" t="s">
        <v>3003</v>
      </c>
    </row>
    <row r="1685" customFormat="false" ht="15" hidden="false" customHeight="false" outlineLevel="0" collapsed="false">
      <c r="A1685" s="0" t="s">
        <v>2782</v>
      </c>
      <c r="B1685" s="0" t="s">
        <v>140</v>
      </c>
      <c r="C1685" s="0" t="s">
        <v>426</v>
      </c>
      <c r="D1685" s="0" t="s">
        <v>75</v>
      </c>
      <c r="E1685" s="0" t="s">
        <v>3004</v>
      </c>
      <c r="F1685" s="0" t="n">
        <v>5</v>
      </c>
      <c r="G1685" s="0" t="n">
        <v>0</v>
      </c>
      <c r="H1685" s="0" t="s">
        <v>122</v>
      </c>
      <c r="K1685" s="0" t="s">
        <v>152</v>
      </c>
      <c r="L1685" s="0" t="s">
        <v>3005</v>
      </c>
    </row>
    <row r="1686" customFormat="false" ht="15" hidden="false" customHeight="false" outlineLevel="0" collapsed="false">
      <c r="A1686" s="0" t="s">
        <v>2782</v>
      </c>
      <c r="B1686" s="0" t="s">
        <v>140</v>
      </c>
      <c r="C1686" s="0" t="s">
        <v>426</v>
      </c>
      <c r="D1686" s="0" t="s">
        <v>78</v>
      </c>
      <c r="E1686" s="0" t="s">
        <v>3006</v>
      </c>
      <c r="F1686" s="0" t="n">
        <v>5</v>
      </c>
      <c r="G1686" s="0" t="n">
        <v>3</v>
      </c>
      <c r="H1686" s="0" t="s">
        <v>122</v>
      </c>
      <c r="I1686" s="0" t="s">
        <v>2822</v>
      </c>
      <c r="K1686" s="0" t="s">
        <v>156</v>
      </c>
      <c r="L1686" s="0" t="s">
        <v>3007</v>
      </c>
    </row>
    <row r="1687" customFormat="false" ht="15" hidden="false" customHeight="false" outlineLevel="0" collapsed="false">
      <c r="A1687" s="0" t="s">
        <v>2782</v>
      </c>
      <c r="B1687" s="0" t="s">
        <v>140</v>
      </c>
      <c r="C1687" s="0" t="s">
        <v>426</v>
      </c>
      <c r="D1687" s="0" t="s">
        <v>81</v>
      </c>
      <c r="E1687" s="0" t="s">
        <v>3008</v>
      </c>
      <c r="F1687" s="0" t="n">
        <v>5</v>
      </c>
      <c r="G1687" s="0" t="n">
        <v>0</v>
      </c>
      <c r="H1687" s="0" t="s">
        <v>122</v>
      </c>
      <c r="K1687" s="0" t="s">
        <v>160</v>
      </c>
      <c r="L1687" s="0" t="s">
        <v>3009</v>
      </c>
    </row>
    <row r="1688" customFormat="false" ht="15" hidden="false" customHeight="false" outlineLevel="0" collapsed="false">
      <c r="A1688" s="0" t="s">
        <v>2782</v>
      </c>
      <c r="B1688" s="0" t="s">
        <v>140</v>
      </c>
      <c r="C1688" s="0" t="s">
        <v>451</v>
      </c>
      <c r="D1688" s="0" t="s">
        <v>528</v>
      </c>
      <c r="E1688" s="0" t="s">
        <v>3010</v>
      </c>
      <c r="F1688" s="0" t="n">
        <v>5</v>
      </c>
      <c r="G1688" s="0" t="n">
        <v>0</v>
      </c>
      <c r="H1688" s="0" t="s">
        <v>122</v>
      </c>
      <c r="K1688" s="0" t="s">
        <v>118</v>
      </c>
      <c r="L1688" s="0" t="s">
        <v>3011</v>
      </c>
    </row>
    <row r="1689" customFormat="false" ht="15" hidden="false" customHeight="false" outlineLevel="0" collapsed="false">
      <c r="A1689" s="0" t="s">
        <v>2782</v>
      </c>
      <c r="B1689" s="0" t="s">
        <v>140</v>
      </c>
      <c r="C1689" s="0" t="s">
        <v>451</v>
      </c>
      <c r="D1689" s="0" t="s">
        <v>531</v>
      </c>
      <c r="E1689" s="0" t="s">
        <v>3012</v>
      </c>
      <c r="F1689" s="0" t="n">
        <v>5</v>
      </c>
      <c r="G1689" s="0" t="n">
        <v>0</v>
      </c>
      <c r="H1689" s="0" t="s">
        <v>122</v>
      </c>
      <c r="K1689" s="0" t="s">
        <v>123</v>
      </c>
      <c r="L1689" s="0" t="s">
        <v>3013</v>
      </c>
    </row>
    <row r="1690" customFormat="false" ht="15" hidden="false" customHeight="false" outlineLevel="0" collapsed="false">
      <c r="A1690" s="0" t="s">
        <v>2782</v>
      </c>
      <c r="B1690" s="0" t="s">
        <v>140</v>
      </c>
      <c r="C1690" s="0" t="s">
        <v>451</v>
      </c>
      <c r="D1690" s="0" t="s">
        <v>534</v>
      </c>
      <c r="E1690" s="0" t="s">
        <v>3014</v>
      </c>
      <c r="F1690" s="0" t="n">
        <v>5</v>
      </c>
      <c r="G1690" s="0" t="n">
        <v>0</v>
      </c>
      <c r="H1690" s="0" t="s">
        <v>122</v>
      </c>
      <c r="K1690" s="0" t="s">
        <v>127</v>
      </c>
      <c r="L1690" s="0" t="s">
        <v>3015</v>
      </c>
    </row>
    <row r="1691" customFormat="false" ht="15" hidden="false" customHeight="false" outlineLevel="0" collapsed="false">
      <c r="A1691" s="0" t="s">
        <v>2782</v>
      </c>
      <c r="B1691" s="0" t="s">
        <v>140</v>
      </c>
      <c r="C1691" s="0" t="s">
        <v>451</v>
      </c>
      <c r="D1691" s="0" t="s">
        <v>52</v>
      </c>
      <c r="E1691" s="0" t="s">
        <v>3016</v>
      </c>
      <c r="F1691" s="0" t="n">
        <v>5</v>
      </c>
      <c r="G1691" s="0" t="n">
        <v>0</v>
      </c>
      <c r="H1691" s="0" t="s">
        <v>122</v>
      </c>
      <c r="K1691" s="0" t="s">
        <v>132</v>
      </c>
      <c r="L1691" s="0" t="s">
        <v>3017</v>
      </c>
    </row>
    <row r="1692" customFormat="false" ht="15" hidden="false" customHeight="false" outlineLevel="0" collapsed="false">
      <c r="A1692" s="0" t="s">
        <v>2782</v>
      </c>
      <c r="B1692" s="0" t="s">
        <v>140</v>
      </c>
      <c r="C1692" s="0" t="s">
        <v>451</v>
      </c>
      <c r="D1692" s="0" t="s">
        <v>55</v>
      </c>
      <c r="E1692" s="0" t="s">
        <v>3018</v>
      </c>
      <c r="F1692" s="0" t="n">
        <v>5</v>
      </c>
      <c r="G1692" s="0" t="n">
        <v>0</v>
      </c>
      <c r="H1692" s="0" t="s">
        <v>122</v>
      </c>
      <c r="K1692" s="0" t="s">
        <v>135</v>
      </c>
      <c r="L1692" s="0" t="s">
        <v>3019</v>
      </c>
    </row>
    <row r="1693" customFormat="false" ht="15" hidden="false" customHeight="false" outlineLevel="0" collapsed="false">
      <c r="A1693" s="0" t="s">
        <v>2782</v>
      </c>
      <c r="B1693" s="0" t="s">
        <v>140</v>
      </c>
      <c r="C1693" s="0" t="s">
        <v>451</v>
      </c>
      <c r="D1693" s="0" t="s">
        <v>58</v>
      </c>
      <c r="E1693" s="0" t="s">
        <v>3020</v>
      </c>
      <c r="F1693" s="0" t="n">
        <v>5</v>
      </c>
      <c r="G1693" s="0" t="n">
        <v>0</v>
      </c>
      <c r="H1693" s="0" t="s">
        <v>122</v>
      </c>
      <c r="K1693" s="0" t="s">
        <v>138</v>
      </c>
      <c r="L1693" s="0" t="s">
        <v>3021</v>
      </c>
    </row>
    <row r="1694" customFormat="false" ht="15" hidden="false" customHeight="false" outlineLevel="0" collapsed="false">
      <c r="A1694" s="0" t="s">
        <v>2782</v>
      </c>
      <c r="B1694" s="0" t="s">
        <v>140</v>
      </c>
      <c r="C1694" s="0" t="s">
        <v>451</v>
      </c>
      <c r="D1694" s="0" t="s">
        <v>65</v>
      </c>
      <c r="E1694" s="0" t="s">
        <v>3022</v>
      </c>
      <c r="F1694" s="0" t="n">
        <v>5</v>
      </c>
      <c r="G1694" s="0" t="n">
        <v>0</v>
      </c>
      <c r="H1694" s="0" t="s">
        <v>122</v>
      </c>
      <c r="K1694" s="0" t="s">
        <v>143</v>
      </c>
      <c r="L1694" s="0" t="s">
        <v>3023</v>
      </c>
    </row>
    <row r="1695" customFormat="false" ht="15" hidden="false" customHeight="false" outlineLevel="0" collapsed="false">
      <c r="A1695" s="0" t="s">
        <v>2782</v>
      </c>
      <c r="B1695" s="0" t="s">
        <v>140</v>
      </c>
      <c r="C1695" s="0" t="s">
        <v>451</v>
      </c>
      <c r="D1695" s="0" t="s">
        <v>69</v>
      </c>
      <c r="E1695" s="0" t="s">
        <v>3024</v>
      </c>
      <c r="F1695" s="0" t="n">
        <v>5</v>
      </c>
      <c r="G1695" s="0" t="n">
        <v>0</v>
      </c>
      <c r="H1695" s="0" t="s">
        <v>122</v>
      </c>
      <c r="K1695" s="0" t="s">
        <v>146</v>
      </c>
      <c r="L1695" s="0" t="s">
        <v>3025</v>
      </c>
    </row>
    <row r="1696" customFormat="false" ht="15" hidden="false" customHeight="false" outlineLevel="0" collapsed="false">
      <c r="A1696" s="0" t="s">
        <v>2782</v>
      </c>
      <c r="B1696" s="0" t="s">
        <v>140</v>
      </c>
      <c r="C1696" s="0" t="s">
        <v>451</v>
      </c>
      <c r="D1696" s="0" t="s">
        <v>72</v>
      </c>
      <c r="E1696" s="0" t="s">
        <v>3026</v>
      </c>
      <c r="F1696" s="0" t="n">
        <v>5</v>
      </c>
      <c r="G1696" s="0" t="n">
        <v>3</v>
      </c>
      <c r="H1696" s="0" t="s">
        <v>122</v>
      </c>
      <c r="I1696" s="0" t="s">
        <v>2822</v>
      </c>
      <c r="K1696" s="0" t="s">
        <v>149</v>
      </c>
      <c r="L1696" s="0" t="s">
        <v>3027</v>
      </c>
    </row>
    <row r="1697" customFormat="false" ht="15" hidden="false" customHeight="false" outlineLevel="0" collapsed="false">
      <c r="A1697" s="0" t="s">
        <v>2782</v>
      </c>
      <c r="B1697" s="0" t="s">
        <v>140</v>
      </c>
      <c r="C1697" s="0" t="s">
        <v>451</v>
      </c>
      <c r="D1697" s="0" t="s">
        <v>75</v>
      </c>
      <c r="E1697" s="0" t="s">
        <v>3028</v>
      </c>
      <c r="F1697" s="0" t="n">
        <v>5</v>
      </c>
      <c r="G1697" s="0" t="n">
        <v>0</v>
      </c>
      <c r="H1697" s="0" t="s">
        <v>122</v>
      </c>
      <c r="K1697" s="0" t="s">
        <v>152</v>
      </c>
      <c r="L1697" s="0" t="s">
        <v>3029</v>
      </c>
    </row>
    <row r="1698" customFormat="false" ht="15" hidden="false" customHeight="false" outlineLevel="0" collapsed="false">
      <c r="A1698" s="0" t="s">
        <v>2782</v>
      </c>
      <c r="B1698" s="0" t="s">
        <v>140</v>
      </c>
      <c r="C1698" s="0" t="s">
        <v>451</v>
      </c>
      <c r="D1698" s="0" t="s">
        <v>78</v>
      </c>
      <c r="E1698" s="0" t="s">
        <v>3030</v>
      </c>
      <c r="F1698" s="0" t="n">
        <v>5</v>
      </c>
      <c r="G1698" s="0" t="n">
        <v>2</v>
      </c>
      <c r="H1698" s="0" t="s">
        <v>122</v>
      </c>
      <c r="I1698" s="0" t="s">
        <v>2941</v>
      </c>
      <c r="K1698" s="0" t="s">
        <v>156</v>
      </c>
      <c r="L1698" s="0" t="s">
        <v>3031</v>
      </c>
    </row>
    <row r="1699" customFormat="false" ht="15" hidden="false" customHeight="false" outlineLevel="0" collapsed="false">
      <c r="A1699" s="0" t="s">
        <v>2782</v>
      </c>
      <c r="B1699" s="0" t="s">
        <v>140</v>
      </c>
      <c r="C1699" s="0" t="s">
        <v>451</v>
      </c>
      <c r="D1699" s="0" t="s">
        <v>81</v>
      </c>
      <c r="E1699" s="0" t="s">
        <v>3032</v>
      </c>
      <c r="F1699" s="0" t="n">
        <v>5</v>
      </c>
      <c r="G1699" s="0" t="n">
        <v>1</v>
      </c>
      <c r="H1699" s="0" t="s">
        <v>122</v>
      </c>
      <c r="I1699" s="0" t="s">
        <v>2870</v>
      </c>
      <c r="K1699" s="0" t="s">
        <v>160</v>
      </c>
      <c r="L1699" s="0" t="s">
        <v>3033</v>
      </c>
    </row>
    <row r="1700" customFormat="false" ht="15" hidden="false" customHeight="false" outlineLevel="0" collapsed="false">
      <c r="A1700" s="0" t="s">
        <v>2782</v>
      </c>
      <c r="B1700" s="0" t="s">
        <v>140</v>
      </c>
      <c r="C1700" s="0" t="s">
        <v>476</v>
      </c>
      <c r="D1700" s="0" t="s">
        <v>528</v>
      </c>
      <c r="E1700" s="0" t="s">
        <v>3034</v>
      </c>
      <c r="F1700" s="0" t="n">
        <v>5</v>
      </c>
      <c r="G1700" s="0" t="n">
        <v>0</v>
      </c>
      <c r="H1700" s="0" t="s">
        <v>122</v>
      </c>
      <c r="K1700" s="0" t="s">
        <v>118</v>
      </c>
      <c r="L1700" s="0" t="s">
        <v>3035</v>
      </c>
    </row>
    <row r="1701" customFormat="false" ht="15" hidden="false" customHeight="false" outlineLevel="0" collapsed="false">
      <c r="A1701" s="0" t="s">
        <v>2782</v>
      </c>
      <c r="B1701" s="0" t="s">
        <v>140</v>
      </c>
      <c r="C1701" s="0" t="s">
        <v>476</v>
      </c>
      <c r="D1701" s="0" t="s">
        <v>531</v>
      </c>
      <c r="E1701" s="0" t="s">
        <v>3036</v>
      </c>
      <c r="F1701" s="0" t="n">
        <v>5</v>
      </c>
      <c r="G1701" s="0" t="n">
        <v>0</v>
      </c>
      <c r="H1701" s="0" t="s">
        <v>122</v>
      </c>
      <c r="K1701" s="0" t="s">
        <v>123</v>
      </c>
      <c r="L1701" s="0" t="s">
        <v>3037</v>
      </c>
    </row>
    <row r="1702" customFormat="false" ht="15" hidden="false" customHeight="false" outlineLevel="0" collapsed="false">
      <c r="A1702" s="0" t="s">
        <v>2782</v>
      </c>
      <c r="B1702" s="0" t="s">
        <v>140</v>
      </c>
      <c r="C1702" s="0" t="s">
        <v>476</v>
      </c>
      <c r="D1702" s="0" t="s">
        <v>534</v>
      </c>
      <c r="E1702" s="0" t="s">
        <v>3038</v>
      </c>
      <c r="F1702" s="0" t="n">
        <v>5</v>
      </c>
      <c r="G1702" s="0" t="n">
        <v>0</v>
      </c>
      <c r="H1702" s="0" t="s">
        <v>122</v>
      </c>
      <c r="K1702" s="0" t="s">
        <v>127</v>
      </c>
      <c r="L1702" s="0" t="s">
        <v>3039</v>
      </c>
    </row>
    <row r="1703" customFormat="false" ht="15" hidden="false" customHeight="false" outlineLevel="0" collapsed="false">
      <c r="A1703" s="0" t="s">
        <v>2782</v>
      </c>
      <c r="B1703" s="0" t="s">
        <v>140</v>
      </c>
      <c r="C1703" s="0" t="s">
        <v>476</v>
      </c>
      <c r="D1703" s="0" t="s">
        <v>52</v>
      </c>
      <c r="E1703" s="0" t="s">
        <v>3040</v>
      </c>
      <c r="F1703" s="0" t="n">
        <v>5</v>
      </c>
      <c r="G1703" s="0" t="n">
        <v>3</v>
      </c>
      <c r="H1703" s="0" t="s">
        <v>122</v>
      </c>
      <c r="I1703" s="0" t="s">
        <v>2806</v>
      </c>
      <c r="K1703" s="0" t="s">
        <v>132</v>
      </c>
      <c r="L1703" s="0" t="s">
        <v>3041</v>
      </c>
    </row>
    <row r="1704" customFormat="false" ht="15" hidden="false" customHeight="false" outlineLevel="0" collapsed="false">
      <c r="A1704" s="0" t="s">
        <v>2782</v>
      </c>
      <c r="B1704" s="0" t="s">
        <v>140</v>
      </c>
      <c r="C1704" s="0" t="s">
        <v>476</v>
      </c>
      <c r="D1704" s="0" t="s">
        <v>55</v>
      </c>
      <c r="E1704" s="0" t="s">
        <v>3042</v>
      </c>
      <c r="F1704" s="0" t="n">
        <v>5</v>
      </c>
      <c r="G1704" s="0" t="n">
        <v>2</v>
      </c>
      <c r="H1704" s="0" t="s">
        <v>122</v>
      </c>
      <c r="I1704" s="0" t="s">
        <v>2806</v>
      </c>
      <c r="K1704" s="0" t="s">
        <v>135</v>
      </c>
      <c r="L1704" s="0" t="s">
        <v>3043</v>
      </c>
    </row>
    <row r="1705" customFormat="false" ht="15" hidden="false" customHeight="false" outlineLevel="0" collapsed="false">
      <c r="A1705" s="0" t="s">
        <v>2782</v>
      </c>
      <c r="B1705" s="0" t="s">
        <v>140</v>
      </c>
      <c r="C1705" s="0" t="s">
        <v>476</v>
      </c>
      <c r="D1705" s="0" t="s">
        <v>58</v>
      </c>
      <c r="E1705" s="0" t="s">
        <v>3044</v>
      </c>
      <c r="F1705" s="0" t="n">
        <v>5</v>
      </c>
      <c r="G1705" s="0" t="n">
        <v>0</v>
      </c>
      <c r="H1705" s="0" t="s">
        <v>122</v>
      </c>
      <c r="K1705" s="0" t="s">
        <v>138</v>
      </c>
      <c r="L1705" s="0" t="s">
        <v>3045</v>
      </c>
    </row>
    <row r="1706" customFormat="false" ht="15" hidden="false" customHeight="false" outlineLevel="0" collapsed="false">
      <c r="A1706" s="0" t="s">
        <v>2782</v>
      </c>
      <c r="B1706" s="0" t="s">
        <v>140</v>
      </c>
      <c r="C1706" s="0" t="s">
        <v>476</v>
      </c>
      <c r="D1706" s="0" t="s">
        <v>65</v>
      </c>
      <c r="E1706" s="0" t="s">
        <v>3046</v>
      </c>
      <c r="F1706" s="0" t="n">
        <v>5</v>
      </c>
      <c r="G1706" s="0" t="n">
        <v>0</v>
      </c>
      <c r="H1706" s="0" t="s">
        <v>122</v>
      </c>
      <c r="K1706" s="0" t="s">
        <v>143</v>
      </c>
      <c r="L1706" s="0" t="s">
        <v>3047</v>
      </c>
    </row>
    <row r="1707" customFormat="false" ht="15" hidden="false" customHeight="false" outlineLevel="0" collapsed="false">
      <c r="A1707" s="0" t="s">
        <v>2782</v>
      </c>
      <c r="B1707" s="0" t="s">
        <v>140</v>
      </c>
      <c r="C1707" s="0" t="s">
        <v>476</v>
      </c>
      <c r="D1707" s="0" t="s">
        <v>69</v>
      </c>
      <c r="E1707" s="0" t="s">
        <v>3048</v>
      </c>
      <c r="F1707" s="0" t="n">
        <v>5</v>
      </c>
      <c r="G1707" s="0" t="n">
        <v>0</v>
      </c>
      <c r="H1707" s="0" t="s">
        <v>122</v>
      </c>
      <c r="K1707" s="0" t="s">
        <v>146</v>
      </c>
      <c r="L1707" s="0" t="s">
        <v>3049</v>
      </c>
    </row>
    <row r="1708" customFormat="false" ht="15" hidden="false" customHeight="false" outlineLevel="0" collapsed="false">
      <c r="A1708" s="0" t="s">
        <v>2782</v>
      </c>
      <c r="B1708" s="0" t="s">
        <v>140</v>
      </c>
      <c r="C1708" s="0" t="s">
        <v>476</v>
      </c>
      <c r="D1708" s="0" t="s">
        <v>72</v>
      </c>
      <c r="E1708" s="0" t="s">
        <v>3050</v>
      </c>
      <c r="F1708" s="0" t="n">
        <v>5</v>
      </c>
      <c r="G1708" s="0" t="n">
        <v>1</v>
      </c>
      <c r="H1708" s="0" t="s">
        <v>122</v>
      </c>
      <c r="I1708" s="0" t="s">
        <v>2806</v>
      </c>
      <c r="K1708" s="0" t="s">
        <v>149</v>
      </c>
      <c r="L1708" s="0" t="s">
        <v>3051</v>
      </c>
    </row>
    <row r="1709" customFormat="false" ht="15" hidden="false" customHeight="false" outlineLevel="0" collapsed="false">
      <c r="A1709" s="0" t="s">
        <v>2782</v>
      </c>
      <c r="B1709" s="0" t="s">
        <v>140</v>
      </c>
      <c r="C1709" s="0" t="s">
        <v>476</v>
      </c>
      <c r="D1709" s="0" t="s">
        <v>75</v>
      </c>
      <c r="E1709" s="0" t="s">
        <v>3052</v>
      </c>
      <c r="F1709" s="0" t="n">
        <v>5</v>
      </c>
      <c r="G1709" s="0" t="n">
        <v>0</v>
      </c>
      <c r="H1709" s="0" t="s">
        <v>122</v>
      </c>
      <c r="K1709" s="0" t="s">
        <v>152</v>
      </c>
      <c r="L1709" s="0" t="s">
        <v>3053</v>
      </c>
    </row>
    <row r="1710" customFormat="false" ht="15" hidden="false" customHeight="false" outlineLevel="0" collapsed="false">
      <c r="A1710" s="0" t="s">
        <v>2782</v>
      </c>
      <c r="B1710" s="0" t="s">
        <v>140</v>
      </c>
      <c r="C1710" s="0" t="s">
        <v>476</v>
      </c>
      <c r="D1710" s="0" t="s">
        <v>78</v>
      </c>
      <c r="E1710" s="0" t="s">
        <v>3054</v>
      </c>
      <c r="F1710" s="0" t="n">
        <v>5</v>
      </c>
      <c r="G1710" s="0" t="n">
        <v>1</v>
      </c>
      <c r="H1710" s="0" t="s">
        <v>122</v>
      </c>
      <c r="I1710" s="0" t="s">
        <v>2822</v>
      </c>
      <c r="K1710" s="0" t="s">
        <v>156</v>
      </c>
      <c r="L1710" s="0" t="s">
        <v>3055</v>
      </c>
    </row>
    <row r="1711" customFormat="false" ht="15" hidden="false" customHeight="false" outlineLevel="0" collapsed="false">
      <c r="A1711" s="0" t="s">
        <v>2782</v>
      </c>
      <c r="B1711" s="0" t="s">
        <v>140</v>
      </c>
      <c r="C1711" s="0" t="s">
        <v>476</v>
      </c>
      <c r="D1711" s="0" t="s">
        <v>81</v>
      </c>
      <c r="E1711" s="0" t="s">
        <v>3056</v>
      </c>
      <c r="F1711" s="0" t="n">
        <v>5</v>
      </c>
      <c r="G1711" s="0" t="n">
        <v>1</v>
      </c>
      <c r="H1711" s="0" t="s">
        <v>122</v>
      </c>
      <c r="I1711" s="0" t="s">
        <v>2978</v>
      </c>
      <c r="K1711" s="0" t="s">
        <v>160</v>
      </c>
      <c r="L1711" s="0" t="s">
        <v>3057</v>
      </c>
    </row>
    <row r="1712" customFormat="false" ht="15" hidden="false" customHeight="false" outlineLevel="0" collapsed="false">
      <c r="A1712" s="0" t="s">
        <v>2782</v>
      </c>
      <c r="B1712" s="0" t="s">
        <v>140</v>
      </c>
      <c r="C1712" s="0" t="s">
        <v>502</v>
      </c>
      <c r="D1712" s="0" t="s">
        <v>528</v>
      </c>
      <c r="E1712" s="0" t="s">
        <v>3058</v>
      </c>
      <c r="F1712" s="0" t="n">
        <v>5</v>
      </c>
      <c r="G1712" s="0" t="n">
        <v>0</v>
      </c>
      <c r="H1712" s="0" t="s">
        <v>122</v>
      </c>
      <c r="K1712" s="0" t="s">
        <v>118</v>
      </c>
      <c r="L1712" s="0" t="s">
        <v>3059</v>
      </c>
    </row>
    <row r="1713" customFormat="false" ht="15" hidden="false" customHeight="false" outlineLevel="0" collapsed="false">
      <c r="A1713" s="0" t="s">
        <v>2782</v>
      </c>
      <c r="B1713" s="0" t="s">
        <v>140</v>
      </c>
      <c r="C1713" s="0" t="s">
        <v>502</v>
      </c>
      <c r="D1713" s="0" t="s">
        <v>531</v>
      </c>
      <c r="E1713" s="0" t="s">
        <v>3060</v>
      </c>
      <c r="F1713" s="0" t="n">
        <v>5</v>
      </c>
      <c r="G1713" s="0" t="n">
        <v>0</v>
      </c>
      <c r="H1713" s="0" t="s">
        <v>122</v>
      </c>
      <c r="K1713" s="0" t="s">
        <v>123</v>
      </c>
      <c r="L1713" s="0" t="s">
        <v>3061</v>
      </c>
    </row>
    <row r="1714" customFormat="false" ht="15" hidden="false" customHeight="false" outlineLevel="0" collapsed="false">
      <c r="A1714" s="0" t="s">
        <v>2782</v>
      </c>
      <c r="B1714" s="0" t="s">
        <v>140</v>
      </c>
      <c r="C1714" s="0" t="s">
        <v>502</v>
      </c>
      <c r="D1714" s="0" t="s">
        <v>534</v>
      </c>
      <c r="E1714" s="0" t="s">
        <v>3062</v>
      </c>
      <c r="F1714" s="0" t="n">
        <v>5</v>
      </c>
      <c r="G1714" s="0" t="n">
        <v>0</v>
      </c>
      <c r="H1714" s="0" t="s">
        <v>122</v>
      </c>
      <c r="K1714" s="0" t="s">
        <v>127</v>
      </c>
      <c r="L1714" s="0" t="s">
        <v>3063</v>
      </c>
    </row>
    <row r="1715" customFormat="false" ht="15" hidden="false" customHeight="false" outlineLevel="0" collapsed="false">
      <c r="A1715" s="0" t="s">
        <v>2782</v>
      </c>
      <c r="B1715" s="0" t="s">
        <v>140</v>
      </c>
      <c r="C1715" s="0" t="s">
        <v>502</v>
      </c>
      <c r="D1715" s="0" t="s">
        <v>52</v>
      </c>
      <c r="E1715" s="0" t="s">
        <v>3064</v>
      </c>
      <c r="F1715" s="0" t="n">
        <v>5</v>
      </c>
      <c r="G1715" s="0" t="n">
        <v>3</v>
      </c>
      <c r="H1715" s="0" t="s">
        <v>122</v>
      </c>
      <c r="I1715" s="0" t="s">
        <v>2806</v>
      </c>
      <c r="K1715" s="0" t="s">
        <v>132</v>
      </c>
      <c r="L1715" s="0" t="s">
        <v>3065</v>
      </c>
    </row>
    <row r="1716" customFormat="false" ht="15" hidden="false" customHeight="false" outlineLevel="0" collapsed="false">
      <c r="A1716" s="0" t="s">
        <v>2782</v>
      </c>
      <c r="B1716" s="0" t="s">
        <v>140</v>
      </c>
      <c r="C1716" s="0" t="s">
        <v>502</v>
      </c>
      <c r="D1716" s="0" t="s">
        <v>55</v>
      </c>
      <c r="E1716" s="0" t="s">
        <v>3066</v>
      </c>
      <c r="F1716" s="0" t="n">
        <v>5</v>
      </c>
      <c r="G1716" s="0" t="n">
        <v>1</v>
      </c>
      <c r="H1716" s="0" t="s">
        <v>122</v>
      </c>
      <c r="I1716" s="0" t="s">
        <v>2870</v>
      </c>
      <c r="K1716" s="0" t="s">
        <v>135</v>
      </c>
      <c r="L1716" s="0" t="s">
        <v>3067</v>
      </c>
    </row>
    <row r="1717" customFormat="false" ht="15" hidden="false" customHeight="false" outlineLevel="0" collapsed="false">
      <c r="A1717" s="0" t="s">
        <v>2782</v>
      </c>
      <c r="B1717" s="0" t="s">
        <v>140</v>
      </c>
      <c r="C1717" s="0" t="s">
        <v>502</v>
      </c>
      <c r="D1717" s="0" t="s">
        <v>58</v>
      </c>
      <c r="E1717" s="0" t="s">
        <v>3068</v>
      </c>
      <c r="F1717" s="0" t="n">
        <v>5</v>
      </c>
      <c r="G1717" s="0" t="n">
        <v>0</v>
      </c>
      <c r="H1717" s="0" t="s">
        <v>122</v>
      </c>
      <c r="K1717" s="0" t="s">
        <v>138</v>
      </c>
      <c r="L1717" s="0" t="s">
        <v>3069</v>
      </c>
    </row>
    <row r="1718" customFormat="false" ht="15" hidden="false" customHeight="false" outlineLevel="0" collapsed="false">
      <c r="A1718" s="0" t="s">
        <v>2782</v>
      </c>
      <c r="B1718" s="0" t="s">
        <v>140</v>
      </c>
      <c r="C1718" s="0" t="s">
        <v>502</v>
      </c>
      <c r="D1718" s="0" t="s">
        <v>65</v>
      </c>
      <c r="E1718" s="0" t="s">
        <v>3070</v>
      </c>
      <c r="F1718" s="0" t="n">
        <v>5</v>
      </c>
      <c r="G1718" s="0" t="n">
        <v>0</v>
      </c>
      <c r="H1718" s="0" t="s">
        <v>122</v>
      </c>
      <c r="K1718" s="0" t="s">
        <v>143</v>
      </c>
      <c r="L1718" s="0" t="s">
        <v>3071</v>
      </c>
    </row>
    <row r="1719" customFormat="false" ht="15" hidden="false" customHeight="false" outlineLevel="0" collapsed="false">
      <c r="A1719" s="0" t="s">
        <v>2782</v>
      </c>
      <c r="B1719" s="0" t="s">
        <v>140</v>
      </c>
      <c r="C1719" s="0" t="s">
        <v>502</v>
      </c>
      <c r="D1719" s="0" t="s">
        <v>69</v>
      </c>
      <c r="E1719" s="0" t="s">
        <v>3072</v>
      </c>
      <c r="F1719" s="0" t="n">
        <v>5</v>
      </c>
      <c r="G1719" s="0" t="n">
        <v>0</v>
      </c>
      <c r="H1719" s="0" t="s">
        <v>122</v>
      </c>
      <c r="K1719" s="0" t="s">
        <v>146</v>
      </c>
      <c r="L1719" s="0" t="s">
        <v>3073</v>
      </c>
    </row>
    <row r="1720" customFormat="false" ht="15" hidden="false" customHeight="false" outlineLevel="0" collapsed="false">
      <c r="A1720" s="0" t="s">
        <v>2782</v>
      </c>
      <c r="B1720" s="0" t="s">
        <v>140</v>
      </c>
      <c r="C1720" s="0" t="s">
        <v>502</v>
      </c>
      <c r="D1720" s="0" t="s">
        <v>72</v>
      </c>
      <c r="E1720" s="0" t="s">
        <v>3074</v>
      </c>
      <c r="F1720" s="0" t="n">
        <v>5</v>
      </c>
      <c r="G1720" s="0" t="n">
        <v>1</v>
      </c>
      <c r="H1720" s="0" t="s">
        <v>122</v>
      </c>
      <c r="I1720" s="0" t="s">
        <v>2941</v>
      </c>
      <c r="K1720" s="0" t="s">
        <v>149</v>
      </c>
      <c r="L1720" s="0" t="s">
        <v>3075</v>
      </c>
    </row>
    <row r="1721" customFormat="false" ht="15" hidden="false" customHeight="false" outlineLevel="0" collapsed="false">
      <c r="A1721" s="0" t="s">
        <v>2782</v>
      </c>
      <c r="B1721" s="0" t="s">
        <v>140</v>
      </c>
      <c r="C1721" s="0" t="s">
        <v>502</v>
      </c>
      <c r="D1721" s="0" t="s">
        <v>75</v>
      </c>
      <c r="E1721" s="0" t="s">
        <v>3076</v>
      </c>
      <c r="F1721" s="0" t="n">
        <v>5</v>
      </c>
      <c r="G1721" s="0" t="n">
        <v>0</v>
      </c>
      <c r="H1721" s="0" t="s">
        <v>122</v>
      </c>
      <c r="K1721" s="0" t="s">
        <v>152</v>
      </c>
      <c r="L1721" s="0" t="s">
        <v>3077</v>
      </c>
    </row>
    <row r="1722" customFormat="false" ht="15" hidden="false" customHeight="false" outlineLevel="0" collapsed="false">
      <c r="A1722" s="0" t="s">
        <v>2782</v>
      </c>
      <c r="B1722" s="0" t="s">
        <v>140</v>
      </c>
      <c r="C1722" s="0" t="s">
        <v>502</v>
      </c>
      <c r="D1722" s="0" t="s">
        <v>78</v>
      </c>
      <c r="E1722" s="0" t="s">
        <v>3078</v>
      </c>
      <c r="F1722" s="0" t="n">
        <v>5</v>
      </c>
      <c r="G1722" s="0" t="n">
        <v>2</v>
      </c>
      <c r="H1722" s="0" t="s">
        <v>122</v>
      </c>
      <c r="I1722" s="0" t="s">
        <v>2806</v>
      </c>
      <c r="K1722" s="0" t="s">
        <v>156</v>
      </c>
      <c r="L1722" s="0" t="s">
        <v>3079</v>
      </c>
    </row>
    <row r="1723" customFormat="false" ht="15" hidden="false" customHeight="false" outlineLevel="0" collapsed="false">
      <c r="A1723" s="0" t="s">
        <v>2782</v>
      </c>
      <c r="B1723" s="0" t="s">
        <v>140</v>
      </c>
      <c r="C1723" s="0" t="s">
        <v>502</v>
      </c>
      <c r="D1723" s="0" t="s">
        <v>81</v>
      </c>
      <c r="E1723" s="0" t="s">
        <v>3080</v>
      </c>
      <c r="F1723" s="0" t="n">
        <v>5</v>
      </c>
      <c r="G1723" s="0" t="n">
        <v>1</v>
      </c>
      <c r="H1723" s="0" t="s">
        <v>122</v>
      </c>
      <c r="I1723" s="0" t="s">
        <v>2978</v>
      </c>
      <c r="K1723" s="0" t="s">
        <v>160</v>
      </c>
      <c r="L1723" s="0" t="s">
        <v>3081</v>
      </c>
    </row>
    <row r="1724" customFormat="false" ht="15" hidden="false" customHeight="false" outlineLevel="0" collapsed="false">
      <c r="A1724" s="0" t="s">
        <v>2782</v>
      </c>
      <c r="B1724" s="0" t="s">
        <v>154</v>
      </c>
      <c r="C1724" s="0" t="s">
        <v>527</v>
      </c>
      <c r="D1724" s="0" t="s">
        <v>115</v>
      </c>
      <c r="E1724" s="0" t="s">
        <v>3082</v>
      </c>
      <c r="F1724" s="0" t="n">
        <v>4</v>
      </c>
      <c r="G1724" s="0" t="n">
        <v>0</v>
      </c>
      <c r="H1724" s="0" t="s">
        <v>122</v>
      </c>
      <c r="K1724" s="0" t="s">
        <v>118</v>
      </c>
      <c r="L1724" s="0" t="s">
        <v>3083</v>
      </c>
    </row>
    <row r="1725" customFormat="false" ht="15" hidden="false" customHeight="false" outlineLevel="0" collapsed="false">
      <c r="A1725" s="0" t="s">
        <v>2782</v>
      </c>
      <c r="B1725" s="0" t="s">
        <v>154</v>
      </c>
      <c r="C1725" s="0" t="s">
        <v>527</v>
      </c>
      <c r="D1725" s="0" t="s">
        <v>120</v>
      </c>
      <c r="E1725" s="0" t="s">
        <v>3084</v>
      </c>
      <c r="F1725" s="0" t="n">
        <v>4</v>
      </c>
      <c r="G1725" s="0" t="n">
        <v>0</v>
      </c>
      <c r="H1725" s="0" t="s">
        <v>122</v>
      </c>
      <c r="K1725" s="0" t="s">
        <v>123</v>
      </c>
      <c r="L1725" s="0" t="s">
        <v>3085</v>
      </c>
    </row>
    <row r="1726" customFormat="false" ht="15" hidden="false" customHeight="false" outlineLevel="0" collapsed="false">
      <c r="A1726" s="0" t="s">
        <v>2782</v>
      </c>
      <c r="B1726" s="0" t="s">
        <v>154</v>
      </c>
      <c r="C1726" s="0" t="s">
        <v>527</v>
      </c>
      <c r="D1726" s="0" t="s">
        <v>125</v>
      </c>
      <c r="E1726" s="0" t="s">
        <v>3086</v>
      </c>
      <c r="F1726" s="0" t="n">
        <v>4</v>
      </c>
      <c r="G1726" s="0" t="n">
        <v>0</v>
      </c>
      <c r="H1726" s="0" t="s">
        <v>122</v>
      </c>
      <c r="K1726" s="0" t="s">
        <v>127</v>
      </c>
      <c r="L1726" s="0" t="s">
        <v>3087</v>
      </c>
    </row>
    <row r="1727" customFormat="false" ht="15" hidden="false" customHeight="false" outlineLevel="0" collapsed="false">
      <c r="A1727" s="0" t="s">
        <v>2782</v>
      </c>
      <c r="B1727" s="0" t="s">
        <v>154</v>
      </c>
      <c r="C1727" s="0" t="s">
        <v>527</v>
      </c>
      <c r="D1727" s="0" t="s">
        <v>53</v>
      </c>
      <c r="E1727" s="0" t="s">
        <v>3088</v>
      </c>
      <c r="F1727" s="0" t="n">
        <v>4</v>
      </c>
      <c r="G1727" s="0" t="n">
        <v>0</v>
      </c>
      <c r="H1727" s="0" t="s">
        <v>122</v>
      </c>
      <c r="K1727" s="0" t="s">
        <v>132</v>
      </c>
      <c r="L1727" s="0" t="s">
        <v>3089</v>
      </c>
    </row>
    <row r="1728" customFormat="false" ht="15" hidden="false" customHeight="false" outlineLevel="0" collapsed="false">
      <c r="A1728" s="0" t="s">
        <v>2782</v>
      </c>
      <c r="B1728" s="0" t="s">
        <v>154</v>
      </c>
      <c r="C1728" s="0" t="s">
        <v>527</v>
      </c>
      <c r="D1728" s="0" t="s">
        <v>56</v>
      </c>
      <c r="E1728" s="0" t="s">
        <v>3090</v>
      </c>
      <c r="F1728" s="0" t="n">
        <v>4</v>
      </c>
      <c r="G1728" s="0" t="n">
        <v>0</v>
      </c>
      <c r="H1728" s="0" t="s">
        <v>122</v>
      </c>
      <c r="K1728" s="0" t="s">
        <v>135</v>
      </c>
      <c r="L1728" s="0" t="s">
        <v>3091</v>
      </c>
    </row>
    <row r="1729" customFormat="false" ht="15" hidden="false" customHeight="false" outlineLevel="0" collapsed="false">
      <c r="A1729" s="0" t="s">
        <v>2782</v>
      </c>
      <c r="B1729" s="0" t="s">
        <v>154</v>
      </c>
      <c r="C1729" s="0" t="s">
        <v>527</v>
      </c>
      <c r="D1729" s="0" t="s">
        <v>59</v>
      </c>
      <c r="E1729" s="0" t="s">
        <v>3092</v>
      </c>
      <c r="F1729" s="0" t="n">
        <v>4</v>
      </c>
      <c r="G1729" s="0" t="n">
        <v>0</v>
      </c>
      <c r="H1729" s="0" t="s">
        <v>122</v>
      </c>
      <c r="K1729" s="0" t="s">
        <v>138</v>
      </c>
      <c r="L1729" s="0" t="s">
        <v>3093</v>
      </c>
    </row>
    <row r="1730" customFormat="false" ht="15" hidden="false" customHeight="false" outlineLevel="0" collapsed="false">
      <c r="A1730" s="0" t="s">
        <v>2782</v>
      </c>
      <c r="B1730" s="0" t="s">
        <v>154</v>
      </c>
      <c r="C1730" s="0" t="s">
        <v>527</v>
      </c>
      <c r="D1730" s="0" t="s">
        <v>67</v>
      </c>
      <c r="E1730" s="0" t="s">
        <v>3094</v>
      </c>
      <c r="F1730" s="0" t="n">
        <v>4</v>
      </c>
      <c r="G1730" s="0" t="n">
        <v>0</v>
      </c>
      <c r="H1730" s="0" t="s">
        <v>122</v>
      </c>
      <c r="K1730" s="0" t="s">
        <v>143</v>
      </c>
      <c r="L1730" s="0" t="s">
        <v>3095</v>
      </c>
    </row>
    <row r="1731" customFormat="false" ht="15" hidden="false" customHeight="false" outlineLevel="0" collapsed="false">
      <c r="A1731" s="0" t="s">
        <v>2782</v>
      </c>
      <c r="B1731" s="0" t="s">
        <v>154</v>
      </c>
      <c r="C1731" s="0" t="s">
        <v>527</v>
      </c>
      <c r="D1731" s="0" t="s">
        <v>70</v>
      </c>
      <c r="E1731" s="0" t="s">
        <v>3096</v>
      </c>
      <c r="F1731" s="0" t="n">
        <v>4</v>
      </c>
      <c r="G1731" s="0" t="n">
        <v>1</v>
      </c>
      <c r="H1731" s="0" t="s">
        <v>122</v>
      </c>
      <c r="I1731" s="0" t="s">
        <v>2806</v>
      </c>
      <c r="K1731" s="0" t="s">
        <v>146</v>
      </c>
      <c r="L1731" s="0" t="s">
        <v>3097</v>
      </c>
    </row>
    <row r="1732" customFormat="false" ht="15" hidden="false" customHeight="false" outlineLevel="0" collapsed="false">
      <c r="A1732" s="0" t="s">
        <v>2782</v>
      </c>
      <c r="B1732" s="0" t="s">
        <v>154</v>
      </c>
      <c r="C1732" s="0" t="s">
        <v>527</v>
      </c>
      <c r="D1732" s="0" t="s">
        <v>73</v>
      </c>
      <c r="E1732" s="0" t="s">
        <v>3098</v>
      </c>
      <c r="F1732" s="0" t="n">
        <v>4</v>
      </c>
      <c r="G1732" s="0" t="n">
        <v>1</v>
      </c>
      <c r="H1732" s="0" t="s">
        <v>122</v>
      </c>
      <c r="I1732" s="0" t="s">
        <v>2941</v>
      </c>
      <c r="K1732" s="0" t="s">
        <v>149</v>
      </c>
      <c r="L1732" s="0" t="s">
        <v>3099</v>
      </c>
    </row>
    <row r="1733" customFormat="false" ht="15" hidden="false" customHeight="false" outlineLevel="0" collapsed="false">
      <c r="A1733" s="0" t="s">
        <v>2782</v>
      </c>
      <c r="B1733" s="0" t="s">
        <v>154</v>
      </c>
      <c r="C1733" s="0" t="s">
        <v>527</v>
      </c>
      <c r="D1733" s="0" t="s">
        <v>76</v>
      </c>
      <c r="E1733" s="0" t="s">
        <v>3100</v>
      </c>
      <c r="F1733" s="0" t="n">
        <v>4</v>
      </c>
      <c r="G1733" s="0" t="n">
        <v>1</v>
      </c>
      <c r="H1733" s="0" t="s">
        <v>122</v>
      </c>
      <c r="I1733" s="0" t="s">
        <v>2806</v>
      </c>
      <c r="K1733" s="0" t="s">
        <v>152</v>
      </c>
      <c r="L1733" s="0" t="s">
        <v>3101</v>
      </c>
    </row>
    <row r="1734" customFormat="false" ht="15" hidden="false" customHeight="false" outlineLevel="0" collapsed="false">
      <c r="A1734" s="0" t="s">
        <v>2782</v>
      </c>
      <c r="B1734" s="0" t="s">
        <v>154</v>
      </c>
      <c r="C1734" s="0" t="s">
        <v>527</v>
      </c>
      <c r="D1734" s="0" t="s">
        <v>79</v>
      </c>
      <c r="E1734" s="0" t="s">
        <v>3102</v>
      </c>
      <c r="F1734" s="0" t="n">
        <v>4</v>
      </c>
      <c r="G1734" s="0" t="n">
        <v>2</v>
      </c>
      <c r="H1734" s="0" t="s">
        <v>122</v>
      </c>
      <c r="I1734" s="0" t="s">
        <v>2806</v>
      </c>
      <c r="K1734" s="0" t="s">
        <v>156</v>
      </c>
      <c r="L1734" s="0" t="s">
        <v>3103</v>
      </c>
    </row>
    <row r="1735" customFormat="false" ht="15" hidden="false" customHeight="false" outlineLevel="0" collapsed="false">
      <c r="A1735" s="0" t="s">
        <v>2782</v>
      </c>
      <c r="B1735" s="0" t="s">
        <v>154</v>
      </c>
      <c r="C1735" s="0" t="s">
        <v>527</v>
      </c>
      <c r="D1735" s="0" t="s">
        <v>82</v>
      </c>
      <c r="E1735" s="0" t="s">
        <v>3104</v>
      </c>
      <c r="F1735" s="0" t="n">
        <v>4</v>
      </c>
      <c r="G1735" s="0" t="n">
        <v>0</v>
      </c>
      <c r="H1735" s="0" t="s">
        <v>122</v>
      </c>
      <c r="K1735" s="0" t="s">
        <v>160</v>
      </c>
      <c r="L1735" s="0" t="s">
        <v>3105</v>
      </c>
    </row>
    <row r="1736" customFormat="false" ht="15" hidden="false" customHeight="false" outlineLevel="0" collapsed="false">
      <c r="A1736" s="0" t="s">
        <v>2782</v>
      </c>
      <c r="B1736" s="0" t="s">
        <v>154</v>
      </c>
      <c r="C1736" s="0" t="s">
        <v>555</v>
      </c>
      <c r="D1736" s="0" t="s">
        <v>115</v>
      </c>
      <c r="E1736" s="0" t="s">
        <v>3106</v>
      </c>
      <c r="F1736" s="0" t="n">
        <v>4</v>
      </c>
      <c r="G1736" s="0" t="n">
        <v>0</v>
      </c>
      <c r="H1736" s="0" t="s">
        <v>122</v>
      </c>
      <c r="K1736" s="0" t="s">
        <v>118</v>
      </c>
      <c r="L1736" s="0" t="s">
        <v>3107</v>
      </c>
    </row>
    <row r="1737" customFormat="false" ht="15" hidden="false" customHeight="false" outlineLevel="0" collapsed="false">
      <c r="A1737" s="0" t="s">
        <v>2782</v>
      </c>
      <c r="B1737" s="0" t="s">
        <v>154</v>
      </c>
      <c r="C1737" s="0" t="s">
        <v>555</v>
      </c>
      <c r="D1737" s="0" t="s">
        <v>120</v>
      </c>
      <c r="E1737" s="0" t="s">
        <v>3108</v>
      </c>
      <c r="F1737" s="0" t="n">
        <v>4</v>
      </c>
      <c r="G1737" s="0" t="n">
        <v>0</v>
      </c>
      <c r="H1737" s="0" t="s">
        <v>122</v>
      </c>
      <c r="K1737" s="0" t="s">
        <v>123</v>
      </c>
      <c r="L1737" s="0" t="s">
        <v>3109</v>
      </c>
    </row>
    <row r="1738" customFormat="false" ht="15" hidden="false" customHeight="false" outlineLevel="0" collapsed="false">
      <c r="A1738" s="0" t="s">
        <v>2782</v>
      </c>
      <c r="B1738" s="0" t="s">
        <v>154</v>
      </c>
      <c r="C1738" s="0" t="s">
        <v>555</v>
      </c>
      <c r="D1738" s="0" t="s">
        <v>125</v>
      </c>
      <c r="E1738" s="0" t="s">
        <v>3110</v>
      </c>
      <c r="F1738" s="0" t="n">
        <v>4</v>
      </c>
      <c r="G1738" s="0" t="n">
        <v>0</v>
      </c>
      <c r="H1738" s="0" t="s">
        <v>122</v>
      </c>
      <c r="K1738" s="0" t="s">
        <v>127</v>
      </c>
      <c r="L1738" s="0" t="s">
        <v>3111</v>
      </c>
    </row>
    <row r="1739" customFormat="false" ht="15" hidden="false" customHeight="false" outlineLevel="0" collapsed="false">
      <c r="A1739" s="0" t="s">
        <v>2782</v>
      </c>
      <c r="B1739" s="0" t="s">
        <v>154</v>
      </c>
      <c r="C1739" s="0" t="s">
        <v>555</v>
      </c>
      <c r="D1739" s="0" t="s">
        <v>53</v>
      </c>
      <c r="E1739" s="0" t="s">
        <v>3112</v>
      </c>
      <c r="F1739" s="0" t="n">
        <v>4</v>
      </c>
      <c r="G1739" s="0" t="n">
        <v>0</v>
      </c>
      <c r="H1739" s="0" t="s">
        <v>122</v>
      </c>
      <c r="K1739" s="0" t="s">
        <v>132</v>
      </c>
      <c r="L1739" s="0" t="s">
        <v>3113</v>
      </c>
    </row>
    <row r="1740" customFormat="false" ht="15" hidden="false" customHeight="false" outlineLevel="0" collapsed="false">
      <c r="A1740" s="0" t="s">
        <v>2782</v>
      </c>
      <c r="B1740" s="0" t="s">
        <v>154</v>
      </c>
      <c r="C1740" s="0" t="s">
        <v>555</v>
      </c>
      <c r="D1740" s="0" t="s">
        <v>56</v>
      </c>
      <c r="E1740" s="0" t="s">
        <v>3114</v>
      </c>
      <c r="F1740" s="0" t="n">
        <v>4</v>
      </c>
      <c r="G1740" s="0" t="n">
        <v>0</v>
      </c>
      <c r="H1740" s="0" t="s">
        <v>122</v>
      </c>
      <c r="I1740" s="0" t="s">
        <v>3115</v>
      </c>
      <c r="K1740" s="0" t="s">
        <v>135</v>
      </c>
      <c r="L1740" s="0" t="s">
        <v>3116</v>
      </c>
    </row>
    <row r="1741" customFormat="false" ht="15" hidden="false" customHeight="false" outlineLevel="0" collapsed="false">
      <c r="A1741" s="0" t="s">
        <v>2782</v>
      </c>
      <c r="B1741" s="0" t="s">
        <v>154</v>
      </c>
      <c r="C1741" s="0" t="s">
        <v>555</v>
      </c>
      <c r="D1741" s="0" t="s">
        <v>59</v>
      </c>
      <c r="E1741" s="0" t="s">
        <v>3117</v>
      </c>
      <c r="F1741" s="0" t="n">
        <v>4</v>
      </c>
      <c r="G1741" s="0" t="n">
        <v>0</v>
      </c>
      <c r="H1741" s="0" t="s">
        <v>122</v>
      </c>
      <c r="K1741" s="0" t="s">
        <v>138</v>
      </c>
      <c r="L1741" s="0" t="s">
        <v>3118</v>
      </c>
    </row>
    <row r="1742" customFormat="false" ht="15" hidden="false" customHeight="false" outlineLevel="0" collapsed="false">
      <c r="A1742" s="0" t="s">
        <v>2782</v>
      </c>
      <c r="B1742" s="0" t="s">
        <v>154</v>
      </c>
      <c r="C1742" s="0" t="s">
        <v>555</v>
      </c>
      <c r="D1742" s="0" t="s">
        <v>67</v>
      </c>
      <c r="E1742" s="0" t="s">
        <v>3119</v>
      </c>
      <c r="F1742" s="0" t="n">
        <v>4</v>
      </c>
      <c r="G1742" s="0" t="n">
        <v>0</v>
      </c>
      <c r="H1742" s="0" t="s">
        <v>122</v>
      </c>
      <c r="K1742" s="0" t="s">
        <v>143</v>
      </c>
      <c r="L1742" s="0" t="s">
        <v>3120</v>
      </c>
    </row>
    <row r="1743" customFormat="false" ht="15" hidden="false" customHeight="false" outlineLevel="0" collapsed="false">
      <c r="A1743" s="0" t="s">
        <v>2782</v>
      </c>
      <c r="B1743" s="0" t="s">
        <v>154</v>
      </c>
      <c r="C1743" s="0" t="s">
        <v>555</v>
      </c>
      <c r="D1743" s="0" t="s">
        <v>70</v>
      </c>
      <c r="E1743" s="0" t="s">
        <v>3121</v>
      </c>
      <c r="F1743" s="0" t="n">
        <v>4</v>
      </c>
      <c r="G1743" s="0" t="n">
        <v>1</v>
      </c>
      <c r="H1743" s="0" t="s">
        <v>122</v>
      </c>
      <c r="I1743" s="0" t="s">
        <v>2806</v>
      </c>
      <c r="K1743" s="0" t="s">
        <v>146</v>
      </c>
      <c r="L1743" s="0" t="s">
        <v>3122</v>
      </c>
    </row>
    <row r="1744" customFormat="false" ht="15" hidden="false" customHeight="false" outlineLevel="0" collapsed="false">
      <c r="A1744" s="0" t="s">
        <v>2782</v>
      </c>
      <c r="B1744" s="0" t="s">
        <v>154</v>
      </c>
      <c r="C1744" s="0" t="s">
        <v>555</v>
      </c>
      <c r="D1744" s="0" t="s">
        <v>73</v>
      </c>
      <c r="E1744" s="0" t="s">
        <v>3123</v>
      </c>
      <c r="F1744" s="0" t="n">
        <v>4</v>
      </c>
      <c r="G1744" s="0" t="n">
        <v>2</v>
      </c>
      <c r="H1744" s="0" t="s">
        <v>122</v>
      </c>
      <c r="I1744" s="0" t="s">
        <v>2806</v>
      </c>
      <c r="K1744" s="0" t="s">
        <v>149</v>
      </c>
      <c r="L1744" s="0" t="s">
        <v>3124</v>
      </c>
    </row>
    <row r="1745" customFormat="false" ht="15" hidden="false" customHeight="false" outlineLevel="0" collapsed="false">
      <c r="A1745" s="0" t="s">
        <v>2782</v>
      </c>
      <c r="B1745" s="0" t="s">
        <v>154</v>
      </c>
      <c r="C1745" s="0" t="s">
        <v>555</v>
      </c>
      <c r="D1745" s="0" t="s">
        <v>76</v>
      </c>
      <c r="E1745" s="0" t="s">
        <v>3125</v>
      </c>
      <c r="F1745" s="0" t="n">
        <v>4</v>
      </c>
      <c r="G1745" s="0" t="n">
        <v>0</v>
      </c>
      <c r="H1745" s="0" t="s">
        <v>122</v>
      </c>
      <c r="K1745" s="0" t="s">
        <v>152</v>
      </c>
      <c r="L1745" s="0" t="s">
        <v>3126</v>
      </c>
    </row>
    <row r="1746" customFormat="false" ht="15" hidden="false" customHeight="false" outlineLevel="0" collapsed="false">
      <c r="A1746" s="0" t="s">
        <v>2782</v>
      </c>
      <c r="B1746" s="0" t="s">
        <v>154</v>
      </c>
      <c r="C1746" s="0" t="s">
        <v>555</v>
      </c>
      <c r="D1746" s="0" t="s">
        <v>79</v>
      </c>
      <c r="E1746" s="0" t="s">
        <v>3127</v>
      </c>
      <c r="F1746" s="0" t="n">
        <v>4</v>
      </c>
      <c r="G1746" s="0" t="n">
        <v>0</v>
      </c>
      <c r="H1746" s="0" t="s">
        <v>122</v>
      </c>
      <c r="K1746" s="0" t="s">
        <v>156</v>
      </c>
      <c r="L1746" s="0" t="s">
        <v>3128</v>
      </c>
    </row>
    <row r="1747" customFormat="false" ht="15" hidden="false" customHeight="false" outlineLevel="0" collapsed="false">
      <c r="A1747" s="0" t="s">
        <v>2782</v>
      </c>
      <c r="B1747" s="0" t="s">
        <v>154</v>
      </c>
      <c r="C1747" s="0" t="s">
        <v>555</v>
      </c>
      <c r="D1747" s="0" t="s">
        <v>82</v>
      </c>
      <c r="E1747" s="0" t="s">
        <v>3129</v>
      </c>
      <c r="F1747" s="0" t="n">
        <v>4</v>
      </c>
      <c r="G1747" s="0" t="n">
        <v>2</v>
      </c>
      <c r="H1747" s="0" t="s">
        <v>122</v>
      </c>
      <c r="I1747" s="0" t="s">
        <v>2941</v>
      </c>
      <c r="K1747" s="0" t="s">
        <v>160</v>
      </c>
      <c r="L1747" s="0" t="s">
        <v>3130</v>
      </c>
    </row>
    <row r="1748" customFormat="false" ht="15" hidden="false" customHeight="false" outlineLevel="0" collapsed="false">
      <c r="A1748" s="0" t="s">
        <v>2782</v>
      </c>
      <c r="B1748" s="0" t="s">
        <v>154</v>
      </c>
      <c r="C1748" s="0" t="s">
        <v>580</v>
      </c>
      <c r="D1748" s="0" t="s">
        <v>115</v>
      </c>
      <c r="E1748" s="0" t="s">
        <v>3131</v>
      </c>
      <c r="F1748" s="0" t="n">
        <v>4</v>
      </c>
      <c r="G1748" s="0" t="n">
        <v>0</v>
      </c>
      <c r="H1748" s="0" t="s">
        <v>122</v>
      </c>
      <c r="K1748" s="0" t="s">
        <v>118</v>
      </c>
      <c r="L1748" s="0" t="s">
        <v>3132</v>
      </c>
    </row>
    <row r="1749" customFormat="false" ht="15" hidden="false" customHeight="false" outlineLevel="0" collapsed="false">
      <c r="A1749" s="0" t="s">
        <v>2782</v>
      </c>
      <c r="B1749" s="0" t="s">
        <v>154</v>
      </c>
      <c r="C1749" s="0" t="s">
        <v>580</v>
      </c>
      <c r="D1749" s="0" t="s">
        <v>120</v>
      </c>
      <c r="E1749" s="0" t="s">
        <v>3133</v>
      </c>
      <c r="F1749" s="0" t="n">
        <v>4</v>
      </c>
      <c r="G1749" s="0" t="n">
        <v>0</v>
      </c>
      <c r="H1749" s="0" t="s">
        <v>122</v>
      </c>
      <c r="K1749" s="0" t="s">
        <v>123</v>
      </c>
      <c r="L1749" s="0" t="s">
        <v>3134</v>
      </c>
    </row>
    <row r="1750" customFormat="false" ht="15" hidden="false" customHeight="false" outlineLevel="0" collapsed="false">
      <c r="A1750" s="0" t="s">
        <v>2782</v>
      </c>
      <c r="B1750" s="0" t="s">
        <v>154</v>
      </c>
      <c r="C1750" s="0" t="s">
        <v>580</v>
      </c>
      <c r="D1750" s="0" t="s">
        <v>125</v>
      </c>
      <c r="E1750" s="0" t="s">
        <v>3135</v>
      </c>
      <c r="F1750" s="0" t="n">
        <v>4</v>
      </c>
      <c r="G1750" s="0" t="n">
        <v>0</v>
      </c>
      <c r="H1750" s="0" t="s">
        <v>122</v>
      </c>
      <c r="K1750" s="0" t="s">
        <v>127</v>
      </c>
      <c r="L1750" s="0" t="s">
        <v>3136</v>
      </c>
    </row>
    <row r="1751" customFormat="false" ht="15" hidden="false" customHeight="false" outlineLevel="0" collapsed="false">
      <c r="A1751" s="0" t="s">
        <v>2782</v>
      </c>
      <c r="B1751" s="0" t="s">
        <v>154</v>
      </c>
      <c r="C1751" s="0" t="s">
        <v>580</v>
      </c>
      <c r="D1751" s="0" t="s">
        <v>53</v>
      </c>
      <c r="E1751" s="0" t="s">
        <v>3137</v>
      </c>
      <c r="F1751" s="0" t="n">
        <v>4</v>
      </c>
      <c r="G1751" s="0" t="n">
        <v>0</v>
      </c>
      <c r="H1751" s="0" t="s">
        <v>122</v>
      </c>
      <c r="K1751" s="0" t="s">
        <v>132</v>
      </c>
      <c r="L1751" s="0" t="s">
        <v>3138</v>
      </c>
    </row>
    <row r="1752" customFormat="false" ht="15" hidden="false" customHeight="false" outlineLevel="0" collapsed="false">
      <c r="A1752" s="0" t="s">
        <v>2782</v>
      </c>
      <c r="B1752" s="0" t="s">
        <v>154</v>
      </c>
      <c r="C1752" s="0" t="s">
        <v>580</v>
      </c>
      <c r="D1752" s="0" t="s">
        <v>56</v>
      </c>
      <c r="E1752" s="0" t="s">
        <v>3139</v>
      </c>
      <c r="F1752" s="0" t="n">
        <v>4</v>
      </c>
      <c r="G1752" s="0" t="n">
        <v>0</v>
      </c>
      <c r="H1752" s="0" t="s">
        <v>122</v>
      </c>
      <c r="K1752" s="0" t="s">
        <v>135</v>
      </c>
      <c r="L1752" s="0" t="s">
        <v>3140</v>
      </c>
    </row>
    <row r="1753" customFormat="false" ht="15" hidden="false" customHeight="false" outlineLevel="0" collapsed="false">
      <c r="A1753" s="0" t="s">
        <v>2782</v>
      </c>
      <c r="B1753" s="0" t="s">
        <v>154</v>
      </c>
      <c r="C1753" s="0" t="s">
        <v>580</v>
      </c>
      <c r="D1753" s="0" t="s">
        <v>59</v>
      </c>
      <c r="E1753" s="0" t="s">
        <v>3141</v>
      </c>
      <c r="F1753" s="0" t="n">
        <v>4</v>
      </c>
      <c r="G1753" s="0" t="n">
        <v>0</v>
      </c>
      <c r="H1753" s="0" t="s">
        <v>122</v>
      </c>
      <c r="K1753" s="0" t="s">
        <v>138</v>
      </c>
      <c r="L1753" s="0" t="s">
        <v>3142</v>
      </c>
    </row>
    <row r="1754" customFormat="false" ht="15" hidden="false" customHeight="false" outlineLevel="0" collapsed="false">
      <c r="A1754" s="0" t="s">
        <v>2782</v>
      </c>
      <c r="B1754" s="0" t="s">
        <v>154</v>
      </c>
      <c r="C1754" s="0" t="s">
        <v>580</v>
      </c>
      <c r="D1754" s="0" t="s">
        <v>67</v>
      </c>
      <c r="E1754" s="0" t="s">
        <v>3143</v>
      </c>
      <c r="F1754" s="0" t="n">
        <v>4</v>
      </c>
      <c r="G1754" s="0" t="n">
        <v>0</v>
      </c>
      <c r="H1754" s="0" t="s">
        <v>122</v>
      </c>
      <c r="K1754" s="0" t="s">
        <v>143</v>
      </c>
      <c r="L1754" s="0" t="s">
        <v>3144</v>
      </c>
    </row>
    <row r="1755" customFormat="false" ht="15" hidden="false" customHeight="false" outlineLevel="0" collapsed="false">
      <c r="A1755" s="0" t="s">
        <v>2782</v>
      </c>
      <c r="B1755" s="0" t="s">
        <v>154</v>
      </c>
      <c r="C1755" s="0" t="s">
        <v>580</v>
      </c>
      <c r="D1755" s="0" t="s">
        <v>70</v>
      </c>
      <c r="E1755" s="0" t="s">
        <v>3145</v>
      </c>
      <c r="F1755" s="0" t="n">
        <v>4</v>
      </c>
      <c r="G1755" s="0" t="n">
        <v>0</v>
      </c>
      <c r="H1755" s="0" t="s">
        <v>122</v>
      </c>
      <c r="K1755" s="0" t="s">
        <v>146</v>
      </c>
      <c r="L1755" s="0" t="s">
        <v>3146</v>
      </c>
    </row>
    <row r="1756" customFormat="false" ht="15" hidden="false" customHeight="false" outlineLevel="0" collapsed="false">
      <c r="A1756" s="0" t="s">
        <v>2782</v>
      </c>
      <c r="B1756" s="0" t="s">
        <v>154</v>
      </c>
      <c r="C1756" s="0" t="s">
        <v>580</v>
      </c>
      <c r="D1756" s="0" t="s">
        <v>73</v>
      </c>
      <c r="E1756" s="0" t="s">
        <v>3147</v>
      </c>
      <c r="F1756" s="0" t="n">
        <v>4</v>
      </c>
      <c r="G1756" s="0" t="n">
        <v>0</v>
      </c>
      <c r="H1756" s="0" t="s">
        <v>122</v>
      </c>
      <c r="K1756" s="0" t="s">
        <v>149</v>
      </c>
      <c r="L1756" s="0" t="s">
        <v>3148</v>
      </c>
    </row>
    <row r="1757" customFormat="false" ht="15" hidden="false" customHeight="false" outlineLevel="0" collapsed="false">
      <c r="A1757" s="0" t="s">
        <v>2782</v>
      </c>
      <c r="B1757" s="0" t="s">
        <v>154</v>
      </c>
      <c r="C1757" s="0" t="s">
        <v>580</v>
      </c>
      <c r="D1757" s="0" t="s">
        <v>76</v>
      </c>
      <c r="E1757" s="0" t="s">
        <v>3149</v>
      </c>
      <c r="F1757" s="0" t="n">
        <v>4</v>
      </c>
      <c r="G1757" s="0" t="n">
        <v>1</v>
      </c>
      <c r="H1757" s="0" t="s">
        <v>122</v>
      </c>
      <c r="I1757" s="0" t="s">
        <v>2978</v>
      </c>
      <c r="K1757" s="0" t="s">
        <v>152</v>
      </c>
      <c r="L1757" s="0" t="s">
        <v>3150</v>
      </c>
    </row>
    <row r="1758" customFormat="false" ht="15" hidden="false" customHeight="false" outlineLevel="0" collapsed="false">
      <c r="A1758" s="0" t="s">
        <v>2782</v>
      </c>
      <c r="B1758" s="0" t="s">
        <v>154</v>
      </c>
      <c r="C1758" s="0" t="s">
        <v>580</v>
      </c>
      <c r="D1758" s="0" t="s">
        <v>79</v>
      </c>
      <c r="E1758" s="0" t="s">
        <v>3151</v>
      </c>
      <c r="F1758" s="0" t="n">
        <v>4</v>
      </c>
      <c r="G1758" s="0" t="n">
        <v>0</v>
      </c>
      <c r="H1758" s="0" t="s">
        <v>122</v>
      </c>
      <c r="K1758" s="0" t="s">
        <v>156</v>
      </c>
      <c r="L1758" s="0" t="s">
        <v>3152</v>
      </c>
    </row>
    <row r="1759" customFormat="false" ht="15" hidden="false" customHeight="false" outlineLevel="0" collapsed="false">
      <c r="A1759" s="0" t="s">
        <v>2782</v>
      </c>
      <c r="B1759" s="0" t="s">
        <v>154</v>
      </c>
      <c r="C1759" s="0" t="s">
        <v>580</v>
      </c>
      <c r="D1759" s="0" t="s">
        <v>82</v>
      </c>
      <c r="E1759" s="0" t="s">
        <v>3153</v>
      </c>
      <c r="F1759" s="0" t="n">
        <v>4</v>
      </c>
      <c r="G1759" s="0" t="n">
        <v>2</v>
      </c>
      <c r="H1759" s="0" t="s">
        <v>122</v>
      </c>
      <c r="I1759" s="0" t="s">
        <v>2806</v>
      </c>
      <c r="K1759" s="0" t="s">
        <v>160</v>
      </c>
      <c r="L1759" s="0" t="s">
        <v>3154</v>
      </c>
    </row>
    <row r="1760" customFormat="false" ht="15" hidden="false" customHeight="false" outlineLevel="0" collapsed="false">
      <c r="A1760" s="0" t="s">
        <v>2782</v>
      </c>
      <c r="B1760" s="0" t="s">
        <v>154</v>
      </c>
      <c r="C1760" s="0" t="s">
        <v>605</v>
      </c>
      <c r="D1760" s="0" t="s">
        <v>115</v>
      </c>
      <c r="E1760" s="0" t="s">
        <v>3155</v>
      </c>
      <c r="F1760" s="0" t="n">
        <v>4</v>
      </c>
      <c r="G1760" s="0" t="n">
        <v>0</v>
      </c>
      <c r="H1760" s="0" t="s">
        <v>122</v>
      </c>
      <c r="K1760" s="0" t="s">
        <v>118</v>
      </c>
      <c r="L1760" s="0" t="s">
        <v>3156</v>
      </c>
    </row>
    <row r="1761" customFormat="false" ht="15" hidden="false" customHeight="false" outlineLevel="0" collapsed="false">
      <c r="A1761" s="0" t="s">
        <v>2782</v>
      </c>
      <c r="B1761" s="0" t="s">
        <v>154</v>
      </c>
      <c r="C1761" s="0" t="s">
        <v>605</v>
      </c>
      <c r="D1761" s="0" t="s">
        <v>120</v>
      </c>
      <c r="E1761" s="0" t="s">
        <v>3157</v>
      </c>
      <c r="F1761" s="0" t="n">
        <v>4</v>
      </c>
      <c r="G1761" s="0" t="n">
        <v>0</v>
      </c>
      <c r="H1761" s="0" t="s">
        <v>122</v>
      </c>
      <c r="K1761" s="0" t="s">
        <v>123</v>
      </c>
      <c r="L1761" s="0" t="s">
        <v>3158</v>
      </c>
    </row>
    <row r="1762" customFormat="false" ht="15" hidden="false" customHeight="false" outlineLevel="0" collapsed="false">
      <c r="A1762" s="0" t="s">
        <v>2782</v>
      </c>
      <c r="B1762" s="0" t="s">
        <v>154</v>
      </c>
      <c r="C1762" s="0" t="s">
        <v>605</v>
      </c>
      <c r="D1762" s="0" t="s">
        <v>125</v>
      </c>
      <c r="E1762" s="0" t="s">
        <v>3159</v>
      </c>
      <c r="F1762" s="0" t="n">
        <v>4</v>
      </c>
      <c r="G1762" s="0" t="n">
        <v>0</v>
      </c>
      <c r="H1762" s="0" t="s">
        <v>122</v>
      </c>
      <c r="K1762" s="0" t="s">
        <v>127</v>
      </c>
      <c r="L1762" s="0" t="s">
        <v>3160</v>
      </c>
    </row>
    <row r="1763" customFormat="false" ht="15" hidden="false" customHeight="false" outlineLevel="0" collapsed="false">
      <c r="A1763" s="0" t="s">
        <v>2782</v>
      </c>
      <c r="B1763" s="0" t="s">
        <v>154</v>
      </c>
      <c r="C1763" s="0" t="s">
        <v>605</v>
      </c>
      <c r="D1763" s="0" t="s">
        <v>53</v>
      </c>
      <c r="E1763" s="0" t="s">
        <v>3161</v>
      </c>
      <c r="F1763" s="0" t="n">
        <v>4</v>
      </c>
      <c r="G1763" s="0" t="n">
        <v>0</v>
      </c>
      <c r="H1763" s="0" t="s">
        <v>122</v>
      </c>
      <c r="K1763" s="0" t="s">
        <v>132</v>
      </c>
      <c r="L1763" s="0" t="s">
        <v>3162</v>
      </c>
    </row>
    <row r="1764" customFormat="false" ht="15" hidden="false" customHeight="false" outlineLevel="0" collapsed="false">
      <c r="A1764" s="0" t="s">
        <v>2782</v>
      </c>
      <c r="B1764" s="0" t="s">
        <v>154</v>
      </c>
      <c r="C1764" s="0" t="s">
        <v>605</v>
      </c>
      <c r="D1764" s="0" t="s">
        <v>56</v>
      </c>
      <c r="E1764" s="0" t="s">
        <v>3163</v>
      </c>
      <c r="F1764" s="0" t="n">
        <v>4</v>
      </c>
      <c r="G1764" s="0" t="n">
        <v>0</v>
      </c>
      <c r="H1764" s="0" t="s">
        <v>122</v>
      </c>
      <c r="K1764" s="0" t="s">
        <v>135</v>
      </c>
      <c r="L1764" s="0" t="s">
        <v>3164</v>
      </c>
    </row>
    <row r="1765" customFormat="false" ht="15" hidden="false" customHeight="false" outlineLevel="0" collapsed="false">
      <c r="A1765" s="0" t="s">
        <v>2782</v>
      </c>
      <c r="B1765" s="0" t="s">
        <v>154</v>
      </c>
      <c r="C1765" s="0" t="s">
        <v>605</v>
      </c>
      <c r="D1765" s="0" t="s">
        <v>59</v>
      </c>
      <c r="E1765" s="0" t="s">
        <v>3165</v>
      </c>
      <c r="F1765" s="0" t="n">
        <v>4</v>
      </c>
      <c r="G1765" s="0" t="n">
        <v>0</v>
      </c>
      <c r="H1765" s="0" t="s">
        <v>122</v>
      </c>
      <c r="K1765" s="0" t="s">
        <v>138</v>
      </c>
      <c r="L1765" s="0" t="s">
        <v>3166</v>
      </c>
    </row>
    <row r="1766" customFormat="false" ht="15" hidden="false" customHeight="false" outlineLevel="0" collapsed="false">
      <c r="A1766" s="0" t="s">
        <v>2782</v>
      </c>
      <c r="B1766" s="0" t="s">
        <v>154</v>
      </c>
      <c r="C1766" s="0" t="s">
        <v>605</v>
      </c>
      <c r="D1766" s="0" t="s">
        <v>67</v>
      </c>
      <c r="E1766" s="0" t="s">
        <v>3167</v>
      </c>
      <c r="F1766" s="0" t="n">
        <v>4</v>
      </c>
      <c r="G1766" s="0" t="n">
        <v>1</v>
      </c>
      <c r="H1766" s="0" t="s">
        <v>122</v>
      </c>
      <c r="I1766" s="0" t="s">
        <v>2822</v>
      </c>
      <c r="K1766" s="0" t="s">
        <v>143</v>
      </c>
      <c r="L1766" s="0" t="s">
        <v>3168</v>
      </c>
    </row>
    <row r="1767" customFormat="false" ht="15" hidden="false" customHeight="false" outlineLevel="0" collapsed="false">
      <c r="A1767" s="0" t="s">
        <v>2782</v>
      </c>
      <c r="B1767" s="0" t="s">
        <v>154</v>
      </c>
      <c r="C1767" s="0" t="s">
        <v>605</v>
      </c>
      <c r="D1767" s="0" t="s">
        <v>70</v>
      </c>
      <c r="E1767" s="0" t="s">
        <v>3169</v>
      </c>
      <c r="F1767" s="0" t="n">
        <v>4</v>
      </c>
      <c r="G1767" s="0" t="n">
        <v>3</v>
      </c>
      <c r="H1767" s="0" t="s">
        <v>122</v>
      </c>
      <c r="I1767" s="0" t="s">
        <v>2822</v>
      </c>
      <c r="K1767" s="0" t="s">
        <v>146</v>
      </c>
      <c r="L1767" s="0" t="s">
        <v>3170</v>
      </c>
    </row>
    <row r="1768" customFormat="false" ht="15" hidden="false" customHeight="false" outlineLevel="0" collapsed="false">
      <c r="A1768" s="0" t="s">
        <v>2782</v>
      </c>
      <c r="B1768" s="0" t="s">
        <v>154</v>
      </c>
      <c r="C1768" s="0" t="s">
        <v>605</v>
      </c>
      <c r="D1768" s="0" t="s">
        <v>73</v>
      </c>
      <c r="E1768" s="0" t="s">
        <v>3171</v>
      </c>
      <c r="F1768" s="0" t="n">
        <v>4</v>
      </c>
      <c r="G1768" s="0" t="n">
        <v>0</v>
      </c>
      <c r="H1768" s="0" t="s">
        <v>122</v>
      </c>
      <c r="K1768" s="0" t="s">
        <v>149</v>
      </c>
      <c r="L1768" s="0" t="s">
        <v>3172</v>
      </c>
    </row>
    <row r="1769" customFormat="false" ht="15" hidden="false" customHeight="false" outlineLevel="0" collapsed="false">
      <c r="A1769" s="0" t="s">
        <v>2782</v>
      </c>
      <c r="B1769" s="0" t="s">
        <v>154</v>
      </c>
      <c r="C1769" s="0" t="s">
        <v>605</v>
      </c>
      <c r="D1769" s="0" t="s">
        <v>76</v>
      </c>
      <c r="E1769" s="0" t="s">
        <v>3173</v>
      </c>
      <c r="F1769" s="0" t="n">
        <v>4</v>
      </c>
      <c r="G1769" s="0" t="n">
        <v>0</v>
      </c>
      <c r="H1769" s="0" t="s">
        <v>122</v>
      </c>
      <c r="K1769" s="0" t="s">
        <v>152</v>
      </c>
      <c r="L1769" s="0" t="s">
        <v>3174</v>
      </c>
    </row>
    <row r="1770" customFormat="false" ht="15" hidden="false" customHeight="false" outlineLevel="0" collapsed="false">
      <c r="A1770" s="0" t="s">
        <v>2782</v>
      </c>
      <c r="B1770" s="0" t="s">
        <v>154</v>
      </c>
      <c r="C1770" s="0" t="s">
        <v>605</v>
      </c>
      <c r="D1770" s="0" t="s">
        <v>79</v>
      </c>
      <c r="E1770" s="0" t="s">
        <v>3175</v>
      </c>
      <c r="F1770" s="0" t="n">
        <v>4</v>
      </c>
      <c r="G1770" s="0" t="n">
        <v>0</v>
      </c>
      <c r="H1770" s="0" t="s">
        <v>122</v>
      </c>
      <c r="K1770" s="0" t="s">
        <v>156</v>
      </c>
      <c r="L1770" s="0" t="s">
        <v>3176</v>
      </c>
    </row>
    <row r="1771" customFormat="false" ht="15" hidden="false" customHeight="false" outlineLevel="0" collapsed="false">
      <c r="A1771" s="0" t="s">
        <v>2782</v>
      </c>
      <c r="B1771" s="0" t="s">
        <v>154</v>
      </c>
      <c r="C1771" s="0" t="s">
        <v>605</v>
      </c>
      <c r="D1771" s="0" t="s">
        <v>82</v>
      </c>
      <c r="E1771" s="0" t="s">
        <v>3177</v>
      </c>
      <c r="F1771" s="0" t="n">
        <v>4</v>
      </c>
      <c r="G1771" s="0" t="n">
        <v>2</v>
      </c>
      <c r="H1771" s="0" t="s">
        <v>122</v>
      </c>
      <c r="I1771" s="0" t="s">
        <v>2822</v>
      </c>
      <c r="K1771" s="0" t="s">
        <v>160</v>
      </c>
      <c r="L1771" s="0" t="s">
        <v>3178</v>
      </c>
    </row>
    <row r="1772" customFormat="false" ht="15" hidden="false" customHeight="false" outlineLevel="0" collapsed="false">
      <c r="A1772" s="0" t="s">
        <v>2782</v>
      </c>
      <c r="B1772" s="0" t="s">
        <v>154</v>
      </c>
      <c r="C1772" s="0" t="s">
        <v>630</v>
      </c>
      <c r="D1772" s="0" t="s">
        <v>115</v>
      </c>
      <c r="E1772" s="0" t="s">
        <v>3179</v>
      </c>
      <c r="F1772" s="0" t="n">
        <v>4</v>
      </c>
      <c r="G1772" s="0" t="n">
        <v>0</v>
      </c>
      <c r="H1772" s="0" t="s">
        <v>122</v>
      </c>
      <c r="K1772" s="0" t="s">
        <v>118</v>
      </c>
      <c r="L1772" s="0" t="s">
        <v>3180</v>
      </c>
    </row>
    <row r="1773" customFormat="false" ht="15" hidden="false" customHeight="false" outlineLevel="0" collapsed="false">
      <c r="A1773" s="0" t="s">
        <v>2782</v>
      </c>
      <c r="B1773" s="0" t="s">
        <v>154</v>
      </c>
      <c r="C1773" s="0" t="s">
        <v>630</v>
      </c>
      <c r="D1773" s="0" t="s">
        <v>120</v>
      </c>
      <c r="E1773" s="0" t="s">
        <v>3181</v>
      </c>
      <c r="F1773" s="0" t="n">
        <v>4</v>
      </c>
      <c r="G1773" s="0" t="n">
        <v>0</v>
      </c>
      <c r="H1773" s="0" t="s">
        <v>122</v>
      </c>
      <c r="K1773" s="0" t="s">
        <v>123</v>
      </c>
      <c r="L1773" s="0" t="s">
        <v>3182</v>
      </c>
    </row>
    <row r="1774" customFormat="false" ht="15" hidden="false" customHeight="false" outlineLevel="0" collapsed="false">
      <c r="A1774" s="0" t="s">
        <v>2782</v>
      </c>
      <c r="B1774" s="0" t="s">
        <v>154</v>
      </c>
      <c r="C1774" s="0" t="s">
        <v>630</v>
      </c>
      <c r="D1774" s="0" t="s">
        <v>125</v>
      </c>
      <c r="E1774" s="0" t="s">
        <v>3183</v>
      </c>
      <c r="F1774" s="0" t="n">
        <v>4</v>
      </c>
      <c r="G1774" s="0" t="n">
        <v>0</v>
      </c>
      <c r="H1774" s="0" t="s">
        <v>122</v>
      </c>
      <c r="K1774" s="0" t="s">
        <v>127</v>
      </c>
      <c r="L1774" s="0" t="s">
        <v>3184</v>
      </c>
    </row>
    <row r="1775" customFormat="false" ht="15" hidden="false" customHeight="false" outlineLevel="0" collapsed="false">
      <c r="A1775" s="0" t="s">
        <v>2782</v>
      </c>
      <c r="B1775" s="0" t="s">
        <v>154</v>
      </c>
      <c r="C1775" s="0" t="s">
        <v>630</v>
      </c>
      <c r="D1775" s="0" t="s">
        <v>53</v>
      </c>
      <c r="E1775" s="0" t="s">
        <v>3185</v>
      </c>
      <c r="F1775" s="0" t="n">
        <v>4</v>
      </c>
      <c r="G1775" s="0" t="n">
        <v>0</v>
      </c>
      <c r="H1775" s="0" t="s">
        <v>122</v>
      </c>
      <c r="K1775" s="0" t="s">
        <v>132</v>
      </c>
      <c r="L1775" s="0" t="s">
        <v>3186</v>
      </c>
    </row>
    <row r="1776" customFormat="false" ht="15" hidden="false" customHeight="false" outlineLevel="0" collapsed="false">
      <c r="A1776" s="0" t="s">
        <v>2782</v>
      </c>
      <c r="B1776" s="0" t="s">
        <v>154</v>
      </c>
      <c r="C1776" s="0" t="s">
        <v>630</v>
      </c>
      <c r="D1776" s="0" t="s">
        <v>56</v>
      </c>
      <c r="E1776" s="0" t="s">
        <v>3187</v>
      </c>
      <c r="F1776" s="0" t="n">
        <v>4</v>
      </c>
      <c r="G1776" s="0" t="n">
        <v>0</v>
      </c>
      <c r="H1776" s="0" t="s">
        <v>122</v>
      </c>
      <c r="K1776" s="0" t="s">
        <v>135</v>
      </c>
      <c r="L1776" s="0" t="s">
        <v>3188</v>
      </c>
    </row>
    <row r="1777" customFormat="false" ht="15" hidden="false" customHeight="false" outlineLevel="0" collapsed="false">
      <c r="A1777" s="0" t="s">
        <v>2782</v>
      </c>
      <c r="B1777" s="0" t="s">
        <v>154</v>
      </c>
      <c r="C1777" s="0" t="s">
        <v>630</v>
      </c>
      <c r="D1777" s="0" t="s">
        <v>59</v>
      </c>
      <c r="E1777" s="0" t="s">
        <v>3189</v>
      </c>
      <c r="F1777" s="0" t="n">
        <v>4</v>
      </c>
      <c r="G1777" s="0" t="n">
        <v>0</v>
      </c>
      <c r="H1777" s="0" t="s">
        <v>122</v>
      </c>
      <c r="K1777" s="0" t="s">
        <v>138</v>
      </c>
      <c r="L1777" s="0" t="s">
        <v>3190</v>
      </c>
    </row>
    <row r="1778" customFormat="false" ht="15" hidden="false" customHeight="false" outlineLevel="0" collapsed="false">
      <c r="A1778" s="0" t="s">
        <v>2782</v>
      </c>
      <c r="B1778" s="0" t="s">
        <v>154</v>
      </c>
      <c r="C1778" s="0" t="s">
        <v>630</v>
      </c>
      <c r="D1778" s="0" t="s">
        <v>67</v>
      </c>
      <c r="E1778" s="0" t="s">
        <v>3191</v>
      </c>
      <c r="F1778" s="0" t="n">
        <v>4</v>
      </c>
      <c r="G1778" s="0" t="n">
        <v>0</v>
      </c>
      <c r="H1778" s="0" t="s">
        <v>122</v>
      </c>
      <c r="K1778" s="0" t="s">
        <v>143</v>
      </c>
      <c r="L1778" s="0" t="s">
        <v>3192</v>
      </c>
    </row>
    <row r="1779" customFormat="false" ht="15" hidden="false" customHeight="false" outlineLevel="0" collapsed="false">
      <c r="A1779" s="0" t="s">
        <v>2782</v>
      </c>
      <c r="B1779" s="0" t="s">
        <v>154</v>
      </c>
      <c r="C1779" s="0" t="s">
        <v>630</v>
      </c>
      <c r="D1779" s="0" t="s">
        <v>70</v>
      </c>
      <c r="E1779" s="0" t="s">
        <v>3193</v>
      </c>
      <c r="F1779" s="0" t="n">
        <v>4</v>
      </c>
      <c r="G1779" s="0" t="n">
        <v>0</v>
      </c>
      <c r="H1779" s="0" t="s">
        <v>122</v>
      </c>
      <c r="K1779" s="0" t="s">
        <v>146</v>
      </c>
      <c r="L1779" s="0" t="s">
        <v>3194</v>
      </c>
    </row>
    <row r="1780" customFormat="false" ht="15" hidden="false" customHeight="false" outlineLevel="0" collapsed="false">
      <c r="A1780" s="0" t="s">
        <v>2782</v>
      </c>
      <c r="B1780" s="0" t="s">
        <v>154</v>
      </c>
      <c r="C1780" s="0" t="s">
        <v>630</v>
      </c>
      <c r="D1780" s="0" t="s">
        <v>73</v>
      </c>
      <c r="E1780" s="0" t="s">
        <v>3195</v>
      </c>
      <c r="F1780" s="0" t="n">
        <v>4</v>
      </c>
      <c r="G1780" s="0" t="n">
        <v>0</v>
      </c>
      <c r="H1780" s="0" t="s">
        <v>122</v>
      </c>
      <c r="K1780" s="0" t="s">
        <v>149</v>
      </c>
      <c r="L1780" s="0" t="s">
        <v>3196</v>
      </c>
    </row>
    <row r="1781" customFormat="false" ht="15" hidden="false" customHeight="false" outlineLevel="0" collapsed="false">
      <c r="A1781" s="0" t="s">
        <v>2782</v>
      </c>
      <c r="B1781" s="0" t="s">
        <v>154</v>
      </c>
      <c r="C1781" s="0" t="s">
        <v>630</v>
      </c>
      <c r="D1781" s="0" t="s">
        <v>76</v>
      </c>
      <c r="E1781" s="0" t="s">
        <v>3197</v>
      </c>
      <c r="F1781" s="0" t="n">
        <v>4</v>
      </c>
      <c r="G1781" s="0" t="n">
        <v>0</v>
      </c>
      <c r="H1781" s="0" t="s">
        <v>122</v>
      </c>
      <c r="K1781" s="0" t="s">
        <v>152</v>
      </c>
      <c r="L1781" s="0" t="s">
        <v>3198</v>
      </c>
    </row>
    <row r="1782" customFormat="false" ht="15" hidden="false" customHeight="false" outlineLevel="0" collapsed="false">
      <c r="A1782" s="0" t="s">
        <v>2782</v>
      </c>
      <c r="B1782" s="0" t="s">
        <v>154</v>
      </c>
      <c r="C1782" s="0" t="s">
        <v>630</v>
      </c>
      <c r="D1782" s="0" t="s">
        <v>79</v>
      </c>
      <c r="E1782" s="0" t="s">
        <v>3199</v>
      </c>
      <c r="F1782" s="0" t="n">
        <v>4</v>
      </c>
      <c r="G1782" s="0" t="n">
        <v>3</v>
      </c>
      <c r="H1782" s="0" t="s">
        <v>122</v>
      </c>
      <c r="I1782" s="0" t="s">
        <v>2822</v>
      </c>
      <c r="K1782" s="0" t="s">
        <v>156</v>
      </c>
      <c r="L1782" s="0" t="s">
        <v>3200</v>
      </c>
    </row>
    <row r="1783" customFormat="false" ht="15" hidden="false" customHeight="false" outlineLevel="0" collapsed="false">
      <c r="A1783" s="0" t="s">
        <v>2782</v>
      </c>
      <c r="B1783" s="0" t="s">
        <v>154</v>
      </c>
      <c r="C1783" s="0" t="s">
        <v>630</v>
      </c>
      <c r="D1783" s="0" t="s">
        <v>82</v>
      </c>
      <c r="E1783" s="0" t="s">
        <v>3201</v>
      </c>
      <c r="F1783" s="0" t="n">
        <v>4</v>
      </c>
      <c r="G1783" s="0" t="n">
        <v>1</v>
      </c>
      <c r="H1783" s="0" t="s">
        <v>122</v>
      </c>
      <c r="I1783" s="0" t="s">
        <v>2941</v>
      </c>
      <c r="K1783" s="0" t="s">
        <v>160</v>
      </c>
      <c r="L1783" s="0" t="s">
        <v>3202</v>
      </c>
    </row>
    <row r="1784" customFormat="false" ht="15" hidden="false" customHeight="false" outlineLevel="0" collapsed="false">
      <c r="A1784" s="0" t="s">
        <v>2782</v>
      </c>
      <c r="B1784" s="0" t="s">
        <v>154</v>
      </c>
      <c r="C1784" s="0" t="s">
        <v>655</v>
      </c>
      <c r="D1784" s="0" t="s">
        <v>115</v>
      </c>
      <c r="E1784" s="0" t="s">
        <v>3203</v>
      </c>
      <c r="F1784" s="0" t="n">
        <v>4</v>
      </c>
      <c r="G1784" s="0" t="n">
        <v>0</v>
      </c>
      <c r="H1784" s="0" t="s">
        <v>122</v>
      </c>
      <c r="K1784" s="0" t="s">
        <v>118</v>
      </c>
      <c r="L1784" s="0" t="s">
        <v>3204</v>
      </c>
    </row>
    <row r="1785" customFormat="false" ht="15" hidden="false" customHeight="false" outlineLevel="0" collapsed="false">
      <c r="A1785" s="0" t="s">
        <v>2782</v>
      </c>
      <c r="B1785" s="0" t="s">
        <v>154</v>
      </c>
      <c r="C1785" s="0" t="s">
        <v>655</v>
      </c>
      <c r="D1785" s="0" t="s">
        <v>120</v>
      </c>
      <c r="E1785" s="0" t="s">
        <v>3205</v>
      </c>
      <c r="F1785" s="0" t="n">
        <v>4</v>
      </c>
      <c r="G1785" s="0" t="n">
        <v>1</v>
      </c>
      <c r="H1785" s="0" t="s">
        <v>122</v>
      </c>
      <c r="I1785" s="0" t="s">
        <v>2806</v>
      </c>
      <c r="K1785" s="0" t="s">
        <v>123</v>
      </c>
      <c r="L1785" s="0" t="s">
        <v>3206</v>
      </c>
    </row>
    <row r="1786" customFormat="false" ht="15" hidden="false" customHeight="false" outlineLevel="0" collapsed="false">
      <c r="A1786" s="0" t="s">
        <v>2782</v>
      </c>
      <c r="B1786" s="0" t="s">
        <v>154</v>
      </c>
      <c r="C1786" s="0" t="s">
        <v>655</v>
      </c>
      <c r="D1786" s="0" t="s">
        <v>125</v>
      </c>
      <c r="E1786" s="0" t="s">
        <v>3207</v>
      </c>
      <c r="F1786" s="0" t="n">
        <v>4</v>
      </c>
      <c r="G1786" s="0" t="n">
        <v>0</v>
      </c>
      <c r="H1786" s="0" t="s">
        <v>122</v>
      </c>
      <c r="K1786" s="0" t="s">
        <v>127</v>
      </c>
      <c r="L1786" s="0" t="s">
        <v>3208</v>
      </c>
    </row>
    <row r="1787" customFormat="false" ht="15" hidden="false" customHeight="false" outlineLevel="0" collapsed="false">
      <c r="A1787" s="0" t="s">
        <v>2782</v>
      </c>
      <c r="B1787" s="0" t="s">
        <v>154</v>
      </c>
      <c r="C1787" s="0" t="s">
        <v>655</v>
      </c>
      <c r="D1787" s="0" t="s">
        <v>53</v>
      </c>
      <c r="E1787" s="0" t="s">
        <v>3209</v>
      </c>
      <c r="F1787" s="0" t="n">
        <v>4</v>
      </c>
      <c r="G1787" s="0" t="n">
        <v>0</v>
      </c>
      <c r="H1787" s="0" t="s">
        <v>122</v>
      </c>
      <c r="K1787" s="0" t="s">
        <v>132</v>
      </c>
      <c r="L1787" s="0" t="s">
        <v>3210</v>
      </c>
    </row>
    <row r="1788" customFormat="false" ht="15" hidden="false" customHeight="false" outlineLevel="0" collapsed="false">
      <c r="A1788" s="0" t="s">
        <v>2782</v>
      </c>
      <c r="B1788" s="0" t="s">
        <v>154</v>
      </c>
      <c r="C1788" s="0" t="s">
        <v>655</v>
      </c>
      <c r="D1788" s="0" t="s">
        <v>56</v>
      </c>
      <c r="E1788" s="0" t="s">
        <v>3211</v>
      </c>
      <c r="F1788" s="0" t="n">
        <v>4</v>
      </c>
      <c r="G1788" s="0" t="n">
        <v>0</v>
      </c>
      <c r="H1788" s="0" t="s">
        <v>122</v>
      </c>
      <c r="K1788" s="0" t="s">
        <v>135</v>
      </c>
      <c r="L1788" s="0" t="s">
        <v>3212</v>
      </c>
    </row>
    <row r="1789" customFormat="false" ht="15" hidden="false" customHeight="false" outlineLevel="0" collapsed="false">
      <c r="A1789" s="0" t="s">
        <v>2782</v>
      </c>
      <c r="B1789" s="0" t="s">
        <v>154</v>
      </c>
      <c r="C1789" s="0" t="s">
        <v>655</v>
      </c>
      <c r="D1789" s="0" t="s">
        <v>59</v>
      </c>
      <c r="E1789" s="0" t="s">
        <v>3213</v>
      </c>
      <c r="F1789" s="0" t="n">
        <v>4</v>
      </c>
      <c r="G1789" s="0" t="n">
        <v>0</v>
      </c>
      <c r="H1789" s="0" t="s">
        <v>122</v>
      </c>
      <c r="K1789" s="0" t="s">
        <v>138</v>
      </c>
      <c r="L1789" s="0" t="s">
        <v>3214</v>
      </c>
    </row>
    <row r="1790" customFormat="false" ht="15" hidden="false" customHeight="false" outlineLevel="0" collapsed="false">
      <c r="A1790" s="0" t="s">
        <v>2782</v>
      </c>
      <c r="B1790" s="0" t="s">
        <v>154</v>
      </c>
      <c r="C1790" s="0" t="s">
        <v>655</v>
      </c>
      <c r="D1790" s="0" t="s">
        <v>67</v>
      </c>
      <c r="E1790" s="0" t="s">
        <v>3215</v>
      </c>
      <c r="F1790" s="0" t="n">
        <v>4</v>
      </c>
      <c r="G1790" s="0" t="n">
        <v>0</v>
      </c>
      <c r="H1790" s="0" t="s">
        <v>122</v>
      </c>
      <c r="K1790" s="0" t="s">
        <v>143</v>
      </c>
      <c r="L1790" s="0" t="s">
        <v>3216</v>
      </c>
    </row>
    <row r="1791" customFormat="false" ht="15" hidden="false" customHeight="false" outlineLevel="0" collapsed="false">
      <c r="A1791" s="0" t="s">
        <v>2782</v>
      </c>
      <c r="B1791" s="0" t="s">
        <v>154</v>
      </c>
      <c r="C1791" s="0" t="s">
        <v>655</v>
      </c>
      <c r="D1791" s="0" t="s">
        <v>70</v>
      </c>
      <c r="E1791" s="0" t="s">
        <v>3217</v>
      </c>
      <c r="F1791" s="0" t="n">
        <v>4</v>
      </c>
      <c r="G1791" s="0" t="n">
        <v>2</v>
      </c>
      <c r="H1791" s="0" t="s">
        <v>122</v>
      </c>
      <c r="I1791" s="0" t="s">
        <v>2941</v>
      </c>
      <c r="K1791" s="0" t="s">
        <v>146</v>
      </c>
      <c r="L1791" s="0" t="s">
        <v>3218</v>
      </c>
    </row>
    <row r="1792" customFormat="false" ht="15" hidden="false" customHeight="false" outlineLevel="0" collapsed="false">
      <c r="A1792" s="0" t="s">
        <v>2782</v>
      </c>
      <c r="B1792" s="0" t="s">
        <v>154</v>
      </c>
      <c r="C1792" s="0" t="s">
        <v>655</v>
      </c>
      <c r="D1792" s="0" t="s">
        <v>73</v>
      </c>
      <c r="E1792" s="0" t="s">
        <v>3219</v>
      </c>
      <c r="F1792" s="0" t="n">
        <v>4</v>
      </c>
      <c r="G1792" s="0" t="n">
        <v>3</v>
      </c>
      <c r="H1792" s="0" t="s">
        <v>122</v>
      </c>
      <c r="I1792" s="0" t="s">
        <v>2941</v>
      </c>
      <c r="K1792" s="0" t="s">
        <v>149</v>
      </c>
      <c r="L1792" s="0" t="s">
        <v>3220</v>
      </c>
    </row>
    <row r="1793" customFormat="false" ht="15" hidden="false" customHeight="false" outlineLevel="0" collapsed="false">
      <c r="A1793" s="0" t="s">
        <v>2782</v>
      </c>
      <c r="B1793" s="0" t="s">
        <v>154</v>
      </c>
      <c r="C1793" s="0" t="s">
        <v>655</v>
      </c>
      <c r="D1793" s="0" t="s">
        <v>76</v>
      </c>
      <c r="E1793" s="0" t="s">
        <v>3221</v>
      </c>
      <c r="F1793" s="0" t="n">
        <v>4</v>
      </c>
      <c r="G1793" s="0" t="n">
        <v>0</v>
      </c>
      <c r="H1793" s="0" t="s">
        <v>122</v>
      </c>
      <c r="K1793" s="0" t="s">
        <v>152</v>
      </c>
      <c r="L1793" s="0" t="s">
        <v>3222</v>
      </c>
    </row>
    <row r="1794" customFormat="false" ht="15" hidden="false" customHeight="false" outlineLevel="0" collapsed="false">
      <c r="A1794" s="0" t="s">
        <v>2782</v>
      </c>
      <c r="B1794" s="0" t="s">
        <v>154</v>
      </c>
      <c r="C1794" s="0" t="s">
        <v>655</v>
      </c>
      <c r="D1794" s="0" t="s">
        <v>79</v>
      </c>
      <c r="E1794" s="0" t="s">
        <v>3223</v>
      </c>
      <c r="F1794" s="0" t="n">
        <v>4</v>
      </c>
      <c r="G1794" s="0" t="n">
        <v>1</v>
      </c>
      <c r="H1794" s="0" t="s">
        <v>122</v>
      </c>
      <c r="I1794" s="0" t="s">
        <v>2806</v>
      </c>
      <c r="K1794" s="0" t="s">
        <v>156</v>
      </c>
      <c r="L1794" s="0" t="s">
        <v>3224</v>
      </c>
    </row>
    <row r="1795" customFormat="false" ht="15" hidden="false" customHeight="false" outlineLevel="0" collapsed="false">
      <c r="A1795" s="0" t="s">
        <v>2782</v>
      </c>
      <c r="B1795" s="0" t="s">
        <v>154</v>
      </c>
      <c r="C1795" s="0" t="s">
        <v>655</v>
      </c>
      <c r="D1795" s="0" t="s">
        <v>82</v>
      </c>
      <c r="E1795" s="0" t="s">
        <v>3225</v>
      </c>
      <c r="F1795" s="0" t="n">
        <v>4</v>
      </c>
      <c r="G1795" s="0" t="n">
        <v>0</v>
      </c>
      <c r="H1795" s="0" t="s">
        <v>122</v>
      </c>
      <c r="K1795" s="0" t="s">
        <v>160</v>
      </c>
      <c r="L1795" s="0" t="s">
        <v>3226</v>
      </c>
    </row>
    <row r="1796" customFormat="false" ht="15" hidden="false" customHeight="false" outlineLevel="0" collapsed="false">
      <c r="A1796" s="0" t="s">
        <v>2782</v>
      </c>
      <c r="B1796" s="0" t="s">
        <v>154</v>
      </c>
      <c r="C1796" s="0" t="s">
        <v>680</v>
      </c>
      <c r="D1796" s="0" t="s">
        <v>115</v>
      </c>
      <c r="E1796" s="0" t="s">
        <v>3227</v>
      </c>
      <c r="F1796" s="0" t="n">
        <v>4</v>
      </c>
      <c r="G1796" s="0" t="n">
        <v>0</v>
      </c>
      <c r="H1796" s="0" t="s">
        <v>122</v>
      </c>
      <c r="K1796" s="0" t="s">
        <v>118</v>
      </c>
      <c r="L1796" s="0" t="s">
        <v>3228</v>
      </c>
    </row>
    <row r="1797" customFormat="false" ht="15" hidden="false" customHeight="false" outlineLevel="0" collapsed="false">
      <c r="A1797" s="0" t="s">
        <v>2782</v>
      </c>
      <c r="B1797" s="0" t="s">
        <v>154</v>
      </c>
      <c r="C1797" s="0" t="s">
        <v>680</v>
      </c>
      <c r="D1797" s="0" t="s">
        <v>120</v>
      </c>
      <c r="E1797" s="0" t="s">
        <v>3229</v>
      </c>
      <c r="F1797" s="0" t="n">
        <v>4</v>
      </c>
      <c r="G1797" s="0" t="n">
        <v>0</v>
      </c>
      <c r="H1797" s="0" t="s">
        <v>122</v>
      </c>
      <c r="K1797" s="0" t="s">
        <v>123</v>
      </c>
      <c r="L1797" s="0" t="s">
        <v>3230</v>
      </c>
    </row>
    <row r="1798" customFormat="false" ht="15" hidden="false" customHeight="false" outlineLevel="0" collapsed="false">
      <c r="A1798" s="0" t="s">
        <v>2782</v>
      </c>
      <c r="B1798" s="0" t="s">
        <v>154</v>
      </c>
      <c r="C1798" s="0" t="s">
        <v>680</v>
      </c>
      <c r="D1798" s="0" t="s">
        <v>125</v>
      </c>
      <c r="E1798" s="0" t="s">
        <v>3231</v>
      </c>
      <c r="F1798" s="0" t="n">
        <v>4</v>
      </c>
      <c r="G1798" s="0" t="n">
        <v>2</v>
      </c>
      <c r="H1798" s="0" t="s">
        <v>122</v>
      </c>
      <c r="I1798" s="0" t="s">
        <v>2941</v>
      </c>
      <c r="K1798" s="0" t="s">
        <v>127</v>
      </c>
      <c r="L1798" s="0" t="s">
        <v>3232</v>
      </c>
    </row>
    <row r="1799" customFormat="false" ht="15" hidden="false" customHeight="false" outlineLevel="0" collapsed="false">
      <c r="A1799" s="0" t="s">
        <v>2782</v>
      </c>
      <c r="B1799" s="0" t="s">
        <v>154</v>
      </c>
      <c r="C1799" s="0" t="s">
        <v>680</v>
      </c>
      <c r="D1799" s="0" t="s">
        <v>53</v>
      </c>
      <c r="E1799" s="0" t="s">
        <v>3233</v>
      </c>
      <c r="F1799" s="0" t="n">
        <v>4</v>
      </c>
      <c r="G1799" s="0" t="n">
        <v>2</v>
      </c>
      <c r="H1799" s="0" t="s">
        <v>122</v>
      </c>
      <c r="I1799" s="0" t="s">
        <v>2941</v>
      </c>
      <c r="K1799" s="0" t="s">
        <v>132</v>
      </c>
      <c r="L1799" s="0" t="s">
        <v>3234</v>
      </c>
    </row>
    <row r="1800" customFormat="false" ht="15" hidden="false" customHeight="false" outlineLevel="0" collapsed="false">
      <c r="A1800" s="0" t="s">
        <v>2782</v>
      </c>
      <c r="B1800" s="0" t="s">
        <v>154</v>
      </c>
      <c r="C1800" s="0" t="s">
        <v>680</v>
      </c>
      <c r="D1800" s="0" t="s">
        <v>56</v>
      </c>
      <c r="E1800" s="0" t="s">
        <v>3235</v>
      </c>
      <c r="F1800" s="0" t="n">
        <v>4</v>
      </c>
      <c r="G1800" s="0" t="n">
        <v>1</v>
      </c>
      <c r="H1800" s="0" t="s">
        <v>122</v>
      </c>
      <c r="I1800" s="0" t="s">
        <v>2806</v>
      </c>
      <c r="K1800" s="0" t="s">
        <v>135</v>
      </c>
      <c r="L1800" s="0" t="s">
        <v>3236</v>
      </c>
    </row>
    <row r="1801" customFormat="false" ht="15" hidden="false" customHeight="false" outlineLevel="0" collapsed="false">
      <c r="A1801" s="0" t="s">
        <v>2782</v>
      </c>
      <c r="B1801" s="0" t="s">
        <v>154</v>
      </c>
      <c r="C1801" s="0" t="s">
        <v>680</v>
      </c>
      <c r="D1801" s="0" t="s">
        <v>59</v>
      </c>
      <c r="E1801" s="0" t="s">
        <v>3237</v>
      </c>
      <c r="F1801" s="0" t="n">
        <v>4</v>
      </c>
      <c r="G1801" s="0" t="n">
        <v>0</v>
      </c>
      <c r="H1801" s="0" t="s">
        <v>122</v>
      </c>
      <c r="K1801" s="0" t="s">
        <v>138</v>
      </c>
      <c r="L1801" s="0" t="s">
        <v>3238</v>
      </c>
    </row>
    <row r="1802" customFormat="false" ht="15" hidden="false" customHeight="false" outlineLevel="0" collapsed="false">
      <c r="A1802" s="0" t="s">
        <v>2782</v>
      </c>
      <c r="B1802" s="0" t="s">
        <v>154</v>
      </c>
      <c r="C1802" s="0" t="s">
        <v>680</v>
      </c>
      <c r="D1802" s="0" t="s">
        <v>67</v>
      </c>
      <c r="E1802" s="0" t="s">
        <v>3239</v>
      </c>
      <c r="F1802" s="0" t="n">
        <v>4</v>
      </c>
      <c r="G1802" s="0" t="n">
        <v>0</v>
      </c>
      <c r="H1802" s="0" t="s">
        <v>122</v>
      </c>
      <c r="K1802" s="0" t="s">
        <v>143</v>
      </c>
      <c r="L1802" s="0" t="s">
        <v>3240</v>
      </c>
    </row>
    <row r="1803" customFormat="false" ht="15" hidden="false" customHeight="false" outlineLevel="0" collapsed="false">
      <c r="A1803" s="0" t="s">
        <v>2782</v>
      </c>
      <c r="B1803" s="0" t="s">
        <v>154</v>
      </c>
      <c r="C1803" s="0" t="s">
        <v>680</v>
      </c>
      <c r="D1803" s="0" t="s">
        <v>70</v>
      </c>
      <c r="E1803" s="0" t="s">
        <v>3241</v>
      </c>
      <c r="F1803" s="0" t="n">
        <v>4</v>
      </c>
      <c r="G1803" s="0" t="n">
        <v>2</v>
      </c>
      <c r="H1803" s="0" t="s">
        <v>122</v>
      </c>
      <c r="I1803" s="0" t="s">
        <v>2822</v>
      </c>
      <c r="K1803" s="0" t="s">
        <v>146</v>
      </c>
      <c r="L1803" s="0" t="s">
        <v>3242</v>
      </c>
    </row>
    <row r="1804" customFormat="false" ht="15" hidden="false" customHeight="false" outlineLevel="0" collapsed="false">
      <c r="A1804" s="0" t="s">
        <v>2782</v>
      </c>
      <c r="B1804" s="0" t="s">
        <v>154</v>
      </c>
      <c r="C1804" s="0" t="s">
        <v>680</v>
      </c>
      <c r="D1804" s="0" t="s">
        <v>73</v>
      </c>
      <c r="E1804" s="0" t="s">
        <v>3243</v>
      </c>
      <c r="F1804" s="0" t="n">
        <v>4</v>
      </c>
      <c r="G1804" s="0" t="n">
        <v>1</v>
      </c>
      <c r="H1804" s="0" t="s">
        <v>122</v>
      </c>
      <c r="I1804" s="0" t="s">
        <v>2806</v>
      </c>
      <c r="K1804" s="0" t="s">
        <v>149</v>
      </c>
      <c r="L1804" s="0" t="s">
        <v>3244</v>
      </c>
    </row>
    <row r="1805" customFormat="false" ht="15" hidden="false" customHeight="false" outlineLevel="0" collapsed="false">
      <c r="A1805" s="0" t="s">
        <v>2782</v>
      </c>
      <c r="B1805" s="0" t="s">
        <v>154</v>
      </c>
      <c r="C1805" s="0" t="s">
        <v>680</v>
      </c>
      <c r="D1805" s="0" t="s">
        <v>76</v>
      </c>
      <c r="E1805" s="0" t="s">
        <v>3245</v>
      </c>
      <c r="F1805" s="0" t="n">
        <v>4</v>
      </c>
      <c r="G1805" s="0" t="n">
        <v>1</v>
      </c>
      <c r="H1805" s="0" t="s">
        <v>122</v>
      </c>
      <c r="I1805" s="0" t="s">
        <v>2941</v>
      </c>
      <c r="K1805" s="0" t="s">
        <v>152</v>
      </c>
      <c r="L1805" s="0" t="s">
        <v>3246</v>
      </c>
    </row>
    <row r="1806" customFormat="false" ht="15" hidden="false" customHeight="false" outlineLevel="0" collapsed="false">
      <c r="A1806" s="0" t="s">
        <v>2782</v>
      </c>
      <c r="B1806" s="0" t="s">
        <v>154</v>
      </c>
      <c r="C1806" s="0" t="s">
        <v>680</v>
      </c>
      <c r="D1806" s="0" t="s">
        <v>79</v>
      </c>
      <c r="E1806" s="0" t="s">
        <v>3247</v>
      </c>
      <c r="F1806" s="0" t="n">
        <v>4</v>
      </c>
      <c r="G1806" s="0" t="n">
        <v>0</v>
      </c>
      <c r="H1806" s="0" t="s">
        <v>122</v>
      </c>
      <c r="K1806" s="0" t="s">
        <v>156</v>
      </c>
      <c r="L1806" s="0" t="s">
        <v>3248</v>
      </c>
    </row>
    <row r="1807" customFormat="false" ht="15" hidden="false" customHeight="false" outlineLevel="0" collapsed="false">
      <c r="A1807" s="0" t="s">
        <v>2782</v>
      </c>
      <c r="B1807" s="0" t="s">
        <v>154</v>
      </c>
      <c r="C1807" s="0" t="s">
        <v>680</v>
      </c>
      <c r="D1807" s="0" t="s">
        <v>82</v>
      </c>
      <c r="E1807" s="0" t="s">
        <v>3249</v>
      </c>
      <c r="F1807" s="0" t="n">
        <v>4</v>
      </c>
      <c r="G1807" s="0" t="n">
        <v>0</v>
      </c>
      <c r="H1807" s="0" t="s">
        <v>122</v>
      </c>
      <c r="K1807" s="0" t="s">
        <v>160</v>
      </c>
      <c r="L1807" s="0" t="s">
        <v>3250</v>
      </c>
    </row>
    <row r="1808" customFormat="false" ht="15" hidden="false" customHeight="false" outlineLevel="0" collapsed="false">
      <c r="A1808" s="0" t="s">
        <v>2782</v>
      </c>
      <c r="B1808" s="0" t="s">
        <v>154</v>
      </c>
      <c r="C1808" s="0" t="s">
        <v>705</v>
      </c>
      <c r="D1808" s="0" t="s">
        <v>115</v>
      </c>
      <c r="E1808" s="0" t="s">
        <v>1761</v>
      </c>
      <c r="F1808" s="0" t="n">
        <v>4</v>
      </c>
      <c r="G1808" s="0" t="n">
        <v>0</v>
      </c>
      <c r="H1808" s="0" t="s">
        <v>122</v>
      </c>
      <c r="K1808" s="0" t="s">
        <v>118</v>
      </c>
      <c r="L1808" s="0" t="s">
        <v>3251</v>
      </c>
    </row>
    <row r="1809" customFormat="false" ht="15" hidden="false" customHeight="false" outlineLevel="0" collapsed="false">
      <c r="A1809" s="0" t="s">
        <v>2782</v>
      </c>
      <c r="B1809" s="0" t="s">
        <v>154</v>
      </c>
      <c r="C1809" s="0" t="s">
        <v>705</v>
      </c>
      <c r="D1809" s="0" t="s">
        <v>120</v>
      </c>
      <c r="E1809" s="0" t="s">
        <v>1763</v>
      </c>
      <c r="F1809" s="0" t="n">
        <v>4</v>
      </c>
      <c r="G1809" s="0" t="n">
        <v>0</v>
      </c>
      <c r="H1809" s="0" t="s">
        <v>122</v>
      </c>
      <c r="K1809" s="0" t="s">
        <v>123</v>
      </c>
      <c r="L1809" s="0" t="s">
        <v>3252</v>
      </c>
    </row>
    <row r="1810" customFormat="false" ht="15" hidden="false" customHeight="false" outlineLevel="0" collapsed="false">
      <c r="A1810" s="0" t="s">
        <v>2782</v>
      </c>
      <c r="B1810" s="0" t="s">
        <v>154</v>
      </c>
      <c r="C1810" s="0" t="s">
        <v>705</v>
      </c>
      <c r="D1810" s="0" t="s">
        <v>125</v>
      </c>
      <c r="E1810" s="0" t="s">
        <v>1765</v>
      </c>
      <c r="F1810" s="0" t="n">
        <v>4</v>
      </c>
      <c r="G1810" s="0" t="n">
        <v>0</v>
      </c>
      <c r="H1810" s="0" t="s">
        <v>122</v>
      </c>
      <c r="K1810" s="0" t="s">
        <v>127</v>
      </c>
      <c r="L1810" s="0" t="s">
        <v>3253</v>
      </c>
    </row>
    <row r="1811" customFormat="false" ht="15" hidden="false" customHeight="false" outlineLevel="0" collapsed="false">
      <c r="A1811" s="0" t="s">
        <v>2782</v>
      </c>
      <c r="B1811" s="0" t="s">
        <v>154</v>
      </c>
      <c r="C1811" s="0" t="s">
        <v>705</v>
      </c>
      <c r="D1811" s="0" t="s">
        <v>53</v>
      </c>
      <c r="E1811" s="0" t="s">
        <v>1767</v>
      </c>
      <c r="F1811" s="0" t="n">
        <v>4</v>
      </c>
      <c r="G1811" s="0" t="n">
        <v>0</v>
      </c>
      <c r="H1811" s="0" t="s">
        <v>122</v>
      </c>
      <c r="K1811" s="0" t="s">
        <v>132</v>
      </c>
      <c r="L1811" s="0" t="s">
        <v>3254</v>
      </c>
    </row>
    <row r="1812" customFormat="false" ht="15" hidden="false" customHeight="false" outlineLevel="0" collapsed="false">
      <c r="A1812" s="0" t="s">
        <v>2782</v>
      </c>
      <c r="B1812" s="0" t="s">
        <v>154</v>
      </c>
      <c r="C1812" s="0" t="s">
        <v>705</v>
      </c>
      <c r="D1812" s="0" t="s">
        <v>56</v>
      </c>
      <c r="E1812" s="0" t="s">
        <v>1769</v>
      </c>
      <c r="F1812" s="0" t="n">
        <v>4</v>
      </c>
      <c r="G1812" s="0" t="n">
        <v>0</v>
      </c>
      <c r="H1812" s="0" t="s">
        <v>122</v>
      </c>
      <c r="K1812" s="0" t="s">
        <v>135</v>
      </c>
      <c r="L1812" s="0" t="s">
        <v>3255</v>
      </c>
    </row>
    <row r="1813" customFormat="false" ht="15" hidden="false" customHeight="false" outlineLevel="0" collapsed="false">
      <c r="A1813" s="0" t="s">
        <v>2782</v>
      </c>
      <c r="B1813" s="0" t="s">
        <v>154</v>
      </c>
      <c r="C1813" s="0" t="s">
        <v>705</v>
      </c>
      <c r="D1813" s="0" t="s">
        <v>59</v>
      </c>
      <c r="E1813" s="0" t="s">
        <v>1771</v>
      </c>
      <c r="F1813" s="0" t="n">
        <v>4</v>
      </c>
      <c r="G1813" s="0" t="n">
        <v>0</v>
      </c>
      <c r="H1813" s="0" t="s">
        <v>122</v>
      </c>
      <c r="K1813" s="0" t="s">
        <v>138</v>
      </c>
      <c r="L1813" s="0" t="s">
        <v>3256</v>
      </c>
    </row>
    <row r="1814" customFormat="false" ht="15" hidden="false" customHeight="false" outlineLevel="0" collapsed="false">
      <c r="A1814" s="0" t="s">
        <v>2782</v>
      </c>
      <c r="B1814" s="0" t="s">
        <v>154</v>
      </c>
      <c r="C1814" s="0" t="s">
        <v>705</v>
      </c>
      <c r="D1814" s="0" t="s">
        <v>67</v>
      </c>
      <c r="E1814" s="0" t="s">
        <v>1773</v>
      </c>
      <c r="F1814" s="0" t="n">
        <v>4</v>
      </c>
      <c r="G1814" s="0" t="n">
        <v>0</v>
      </c>
      <c r="H1814" s="0" t="s">
        <v>122</v>
      </c>
      <c r="K1814" s="0" t="s">
        <v>143</v>
      </c>
      <c r="L1814" s="0" t="s">
        <v>3257</v>
      </c>
    </row>
    <row r="1815" customFormat="false" ht="15" hidden="false" customHeight="false" outlineLevel="0" collapsed="false">
      <c r="A1815" s="0" t="s">
        <v>2782</v>
      </c>
      <c r="B1815" s="0" t="s">
        <v>154</v>
      </c>
      <c r="C1815" s="0" t="s">
        <v>705</v>
      </c>
      <c r="D1815" s="0" t="s">
        <v>70</v>
      </c>
      <c r="E1815" s="0" t="s">
        <v>1775</v>
      </c>
      <c r="F1815" s="0" t="n">
        <v>4</v>
      </c>
      <c r="G1815" s="0" t="n">
        <v>0</v>
      </c>
      <c r="H1815" s="0" t="s">
        <v>122</v>
      </c>
      <c r="K1815" s="0" t="s">
        <v>146</v>
      </c>
      <c r="L1815" s="0" t="s">
        <v>3258</v>
      </c>
    </row>
    <row r="1816" customFormat="false" ht="15" hidden="false" customHeight="false" outlineLevel="0" collapsed="false">
      <c r="A1816" s="0" t="s">
        <v>2782</v>
      </c>
      <c r="B1816" s="0" t="s">
        <v>154</v>
      </c>
      <c r="C1816" s="0" t="s">
        <v>705</v>
      </c>
      <c r="D1816" s="0" t="s">
        <v>73</v>
      </c>
      <c r="E1816" s="0" t="s">
        <v>1777</v>
      </c>
      <c r="F1816" s="0" t="n">
        <v>4</v>
      </c>
      <c r="G1816" s="0" t="n">
        <v>0</v>
      </c>
      <c r="H1816" s="0" t="s">
        <v>122</v>
      </c>
      <c r="K1816" s="0" t="s">
        <v>149</v>
      </c>
      <c r="L1816" s="0" t="s">
        <v>3259</v>
      </c>
    </row>
    <row r="1817" customFormat="false" ht="15" hidden="false" customHeight="false" outlineLevel="0" collapsed="false">
      <c r="A1817" s="0" t="s">
        <v>2782</v>
      </c>
      <c r="B1817" s="0" t="s">
        <v>154</v>
      </c>
      <c r="C1817" s="0" t="s">
        <v>705</v>
      </c>
      <c r="D1817" s="0" t="s">
        <v>76</v>
      </c>
      <c r="E1817" s="0" t="s">
        <v>1779</v>
      </c>
      <c r="F1817" s="0" t="n">
        <v>4</v>
      </c>
      <c r="G1817" s="0" t="n">
        <v>0</v>
      </c>
      <c r="H1817" s="0" t="s">
        <v>122</v>
      </c>
      <c r="K1817" s="0" t="s">
        <v>152</v>
      </c>
      <c r="L1817" s="0" t="s">
        <v>3260</v>
      </c>
    </row>
    <row r="1818" customFormat="false" ht="15" hidden="false" customHeight="false" outlineLevel="0" collapsed="false">
      <c r="A1818" s="0" t="s">
        <v>2782</v>
      </c>
      <c r="B1818" s="0" t="s">
        <v>154</v>
      </c>
      <c r="C1818" s="0" t="s">
        <v>705</v>
      </c>
      <c r="D1818" s="0" t="s">
        <v>79</v>
      </c>
      <c r="E1818" s="0" t="s">
        <v>1781</v>
      </c>
      <c r="F1818" s="0" t="n">
        <v>4</v>
      </c>
      <c r="G1818" s="0" t="n">
        <v>0</v>
      </c>
      <c r="H1818" s="0" t="s">
        <v>122</v>
      </c>
      <c r="K1818" s="0" t="s">
        <v>156</v>
      </c>
      <c r="L1818" s="0" t="s">
        <v>3261</v>
      </c>
    </row>
    <row r="1819" customFormat="false" ht="15" hidden="false" customHeight="false" outlineLevel="0" collapsed="false">
      <c r="A1819" s="0" t="s">
        <v>2782</v>
      </c>
      <c r="B1819" s="0" t="s">
        <v>154</v>
      </c>
      <c r="C1819" s="0" t="s">
        <v>705</v>
      </c>
      <c r="D1819" s="0" t="s">
        <v>82</v>
      </c>
      <c r="E1819" s="0" t="s">
        <v>1783</v>
      </c>
      <c r="F1819" s="0" t="n">
        <v>4</v>
      </c>
      <c r="G1819" s="0" t="n">
        <v>0</v>
      </c>
      <c r="H1819" s="0" t="s">
        <v>122</v>
      </c>
      <c r="K1819" s="0" t="s">
        <v>160</v>
      </c>
      <c r="L1819" s="0" t="s">
        <v>3262</v>
      </c>
    </row>
    <row r="1820" customFormat="false" ht="15" hidden="false" customHeight="false" outlineLevel="0" collapsed="false">
      <c r="A1820" s="0" t="s">
        <v>2782</v>
      </c>
      <c r="B1820" s="0" t="s">
        <v>154</v>
      </c>
      <c r="C1820" s="0" t="s">
        <v>730</v>
      </c>
      <c r="D1820" s="0" t="s">
        <v>115</v>
      </c>
      <c r="E1820" s="0" t="s">
        <v>1785</v>
      </c>
      <c r="F1820" s="0" t="n">
        <v>4</v>
      </c>
      <c r="G1820" s="0" t="n">
        <v>0</v>
      </c>
      <c r="H1820" s="0" t="s">
        <v>122</v>
      </c>
      <c r="K1820" s="0" t="s">
        <v>118</v>
      </c>
      <c r="L1820" s="0" t="s">
        <v>3263</v>
      </c>
    </row>
    <row r="1821" customFormat="false" ht="15" hidden="false" customHeight="false" outlineLevel="0" collapsed="false">
      <c r="A1821" s="0" t="s">
        <v>2782</v>
      </c>
      <c r="B1821" s="0" t="s">
        <v>154</v>
      </c>
      <c r="C1821" s="0" t="s">
        <v>730</v>
      </c>
      <c r="D1821" s="0" t="s">
        <v>120</v>
      </c>
      <c r="E1821" s="0" t="s">
        <v>1787</v>
      </c>
      <c r="F1821" s="0" t="n">
        <v>4</v>
      </c>
      <c r="G1821" s="0" t="n">
        <v>0</v>
      </c>
      <c r="H1821" s="0" t="s">
        <v>122</v>
      </c>
      <c r="K1821" s="0" t="s">
        <v>123</v>
      </c>
      <c r="L1821" s="0" t="s">
        <v>3264</v>
      </c>
    </row>
    <row r="1822" customFormat="false" ht="15" hidden="false" customHeight="false" outlineLevel="0" collapsed="false">
      <c r="A1822" s="0" t="s">
        <v>2782</v>
      </c>
      <c r="B1822" s="0" t="s">
        <v>154</v>
      </c>
      <c r="C1822" s="0" t="s">
        <v>730</v>
      </c>
      <c r="D1822" s="0" t="s">
        <v>125</v>
      </c>
      <c r="E1822" s="0" t="s">
        <v>1789</v>
      </c>
      <c r="F1822" s="0" t="n">
        <v>4</v>
      </c>
      <c r="G1822" s="0" t="n">
        <v>0</v>
      </c>
      <c r="H1822" s="0" t="s">
        <v>122</v>
      </c>
      <c r="K1822" s="0" t="s">
        <v>127</v>
      </c>
      <c r="L1822" s="0" t="s">
        <v>3265</v>
      </c>
    </row>
    <row r="1823" customFormat="false" ht="15" hidden="false" customHeight="false" outlineLevel="0" collapsed="false">
      <c r="A1823" s="0" t="s">
        <v>2782</v>
      </c>
      <c r="B1823" s="0" t="s">
        <v>154</v>
      </c>
      <c r="C1823" s="0" t="s">
        <v>730</v>
      </c>
      <c r="D1823" s="0" t="s">
        <v>53</v>
      </c>
      <c r="E1823" s="0" t="s">
        <v>1791</v>
      </c>
      <c r="F1823" s="0" t="n">
        <v>4</v>
      </c>
      <c r="G1823" s="0" t="n">
        <v>0</v>
      </c>
      <c r="H1823" s="0" t="s">
        <v>122</v>
      </c>
      <c r="K1823" s="0" t="s">
        <v>132</v>
      </c>
      <c r="L1823" s="0" t="s">
        <v>3266</v>
      </c>
    </row>
    <row r="1824" customFormat="false" ht="15" hidden="false" customHeight="false" outlineLevel="0" collapsed="false">
      <c r="A1824" s="0" t="s">
        <v>2782</v>
      </c>
      <c r="B1824" s="0" t="s">
        <v>154</v>
      </c>
      <c r="C1824" s="0" t="s">
        <v>730</v>
      </c>
      <c r="D1824" s="0" t="s">
        <v>56</v>
      </c>
      <c r="E1824" s="0" t="s">
        <v>1793</v>
      </c>
      <c r="F1824" s="0" t="n">
        <v>4</v>
      </c>
      <c r="G1824" s="0" t="n">
        <v>0</v>
      </c>
      <c r="H1824" s="0" t="s">
        <v>122</v>
      </c>
      <c r="K1824" s="0" t="s">
        <v>135</v>
      </c>
      <c r="L1824" s="0" t="s">
        <v>3267</v>
      </c>
    </row>
    <row r="1825" customFormat="false" ht="15" hidden="false" customHeight="false" outlineLevel="0" collapsed="false">
      <c r="A1825" s="0" t="s">
        <v>2782</v>
      </c>
      <c r="B1825" s="0" t="s">
        <v>154</v>
      </c>
      <c r="C1825" s="0" t="s">
        <v>730</v>
      </c>
      <c r="D1825" s="0" t="s">
        <v>59</v>
      </c>
      <c r="E1825" s="0" t="s">
        <v>1795</v>
      </c>
      <c r="F1825" s="0" t="n">
        <v>4</v>
      </c>
      <c r="G1825" s="0" t="n">
        <v>0</v>
      </c>
      <c r="H1825" s="0" t="s">
        <v>122</v>
      </c>
      <c r="K1825" s="0" t="s">
        <v>138</v>
      </c>
      <c r="L1825" s="0" t="s">
        <v>3268</v>
      </c>
    </row>
    <row r="1826" customFormat="false" ht="15" hidden="false" customHeight="false" outlineLevel="0" collapsed="false">
      <c r="A1826" s="0" t="s">
        <v>2782</v>
      </c>
      <c r="B1826" s="0" t="s">
        <v>154</v>
      </c>
      <c r="C1826" s="0" t="s">
        <v>730</v>
      </c>
      <c r="D1826" s="0" t="s">
        <v>67</v>
      </c>
      <c r="E1826" s="0" t="s">
        <v>1797</v>
      </c>
      <c r="F1826" s="0" t="n">
        <v>4</v>
      </c>
      <c r="G1826" s="0" t="n">
        <v>0</v>
      </c>
      <c r="H1826" s="0" t="s">
        <v>122</v>
      </c>
      <c r="K1826" s="0" t="s">
        <v>143</v>
      </c>
      <c r="L1826" s="0" t="s">
        <v>3269</v>
      </c>
    </row>
    <row r="1827" customFormat="false" ht="15" hidden="false" customHeight="false" outlineLevel="0" collapsed="false">
      <c r="A1827" s="0" t="s">
        <v>2782</v>
      </c>
      <c r="B1827" s="0" t="s">
        <v>154</v>
      </c>
      <c r="C1827" s="0" t="s">
        <v>730</v>
      </c>
      <c r="D1827" s="0" t="s">
        <v>70</v>
      </c>
      <c r="E1827" s="0" t="s">
        <v>1799</v>
      </c>
      <c r="F1827" s="0" t="n">
        <v>4</v>
      </c>
      <c r="G1827" s="0" t="n">
        <v>0</v>
      </c>
      <c r="H1827" s="0" t="s">
        <v>122</v>
      </c>
      <c r="K1827" s="0" t="s">
        <v>146</v>
      </c>
      <c r="L1827" s="0" t="s">
        <v>3270</v>
      </c>
    </row>
    <row r="1828" customFormat="false" ht="15" hidden="false" customHeight="false" outlineLevel="0" collapsed="false">
      <c r="A1828" s="0" t="s">
        <v>2782</v>
      </c>
      <c r="B1828" s="0" t="s">
        <v>154</v>
      </c>
      <c r="C1828" s="0" t="s">
        <v>730</v>
      </c>
      <c r="D1828" s="0" t="s">
        <v>73</v>
      </c>
      <c r="E1828" s="0" t="s">
        <v>1801</v>
      </c>
      <c r="F1828" s="0" t="n">
        <v>4</v>
      </c>
      <c r="G1828" s="0" t="n">
        <v>0</v>
      </c>
      <c r="H1828" s="0" t="s">
        <v>122</v>
      </c>
      <c r="K1828" s="0" t="s">
        <v>149</v>
      </c>
      <c r="L1828" s="0" t="s">
        <v>3271</v>
      </c>
    </row>
    <row r="1829" customFormat="false" ht="15" hidden="false" customHeight="false" outlineLevel="0" collapsed="false">
      <c r="A1829" s="0" t="s">
        <v>2782</v>
      </c>
      <c r="B1829" s="0" t="s">
        <v>154</v>
      </c>
      <c r="C1829" s="0" t="s">
        <v>730</v>
      </c>
      <c r="D1829" s="0" t="s">
        <v>76</v>
      </c>
      <c r="E1829" s="0" t="s">
        <v>1803</v>
      </c>
      <c r="F1829" s="0" t="n">
        <v>4</v>
      </c>
      <c r="G1829" s="0" t="n">
        <v>0</v>
      </c>
      <c r="H1829" s="0" t="s">
        <v>122</v>
      </c>
      <c r="K1829" s="0" t="s">
        <v>152</v>
      </c>
      <c r="L1829" s="0" t="s">
        <v>3272</v>
      </c>
    </row>
    <row r="1830" customFormat="false" ht="15" hidden="false" customHeight="false" outlineLevel="0" collapsed="false">
      <c r="A1830" s="0" t="s">
        <v>2782</v>
      </c>
      <c r="B1830" s="0" t="s">
        <v>154</v>
      </c>
      <c r="C1830" s="0" t="s">
        <v>730</v>
      </c>
      <c r="D1830" s="0" t="s">
        <v>79</v>
      </c>
      <c r="E1830" s="0" t="s">
        <v>1805</v>
      </c>
      <c r="F1830" s="0" t="n">
        <v>4</v>
      </c>
      <c r="G1830" s="0" t="n">
        <v>0</v>
      </c>
      <c r="H1830" s="0" t="s">
        <v>122</v>
      </c>
      <c r="K1830" s="0" t="s">
        <v>156</v>
      </c>
      <c r="L1830" s="0" t="s">
        <v>3273</v>
      </c>
    </row>
    <row r="1831" customFormat="false" ht="15" hidden="false" customHeight="false" outlineLevel="0" collapsed="false">
      <c r="A1831" s="0" t="s">
        <v>2782</v>
      </c>
      <c r="B1831" s="0" t="s">
        <v>154</v>
      </c>
      <c r="C1831" s="0" t="s">
        <v>730</v>
      </c>
      <c r="D1831" s="0" t="s">
        <v>82</v>
      </c>
      <c r="E1831" s="0" t="s">
        <v>1807</v>
      </c>
      <c r="F1831" s="0" t="n">
        <v>4</v>
      </c>
      <c r="G1831" s="0" t="n">
        <v>0</v>
      </c>
      <c r="H1831" s="0" t="s">
        <v>122</v>
      </c>
      <c r="K1831" s="0" t="s">
        <v>160</v>
      </c>
      <c r="L1831" s="0" t="s">
        <v>3274</v>
      </c>
    </row>
    <row r="1832" customFormat="false" ht="15" hidden="false" customHeight="false" outlineLevel="0" collapsed="false">
      <c r="A1832" s="0" t="s">
        <v>2782</v>
      </c>
      <c r="B1832" s="0" t="s">
        <v>154</v>
      </c>
      <c r="C1832" s="0" t="s">
        <v>755</v>
      </c>
      <c r="D1832" s="0" t="s">
        <v>115</v>
      </c>
      <c r="E1832" s="0" t="s">
        <v>1809</v>
      </c>
      <c r="F1832" s="0" t="n">
        <v>4</v>
      </c>
      <c r="G1832" s="0" t="n">
        <v>0</v>
      </c>
      <c r="H1832" s="0" t="s">
        <v>122</v>
      </c>
      <c r="K1832" s="0" t="s">
        <v>118</v>
      </c>
      <c r="L1832" s="0" t="s">
        <v>3275</v>
      </c>
    </row>
    <row r="1833" customFormat="false" ht="15" hidden="false" customHeight="false" outlineLevel="0" collapsed="false">
      <c r="A1833" s="0" t="s">
        <v>2782</v>
      </c>
      <c r="B1833" s="0" t="s">
        <v>154</v>
      </c>
      <c r="C1833" s="0" t="s">
        <v>755</v>
      </c>
      <c r="D1833" s="0" t="s">
        <v>120</v>
      </c>
      <c r="E1833" s="0" t="s">
        <v>1811</v>
      </c>
      <c r="F1833" s="0" t="n">
        <v>4</v>
      </c>
      <c r="G1833" s="0" t="n">
        <v>0</v>
      </c>
      <c r="H1833" s="0" t="s">
        <v>122</v>
      </c>
      <c r="K1833" s="0" t="s">
        <v>123</v>
      </c>
      <c r="L1833" s="0" t="s">
        <v>3276</v>
      </c>
    </row>
    <row r="1834" customFormat="false" ht="15" hidden="false" customHeight="false" outlineLevel="0" collapsed="false">
      <c r="A1834" s="0" t="s">
        <v>2782</v>
      </c>
      <c r="B1834" s="0" t="s">
        <v>154</v>
      </c>
      <c r="C1834" s="0" t="s">
        <v>755</v>
      </c>
      <c r="D1834" s="0" t="s">
        <v>125</v>
      </c>
      <c r="E1834" s="0" t="s">
        <v>1813</v>
      </c>
      <c r="F1834" s="0" t="n">
        <v>4</v>
      </c>
      <c r="G1834" s="0" t="n">
        <v>0</v>
      </c>
      <c r="H1834" s="0" t="s">
        <v>122</v>
      </c>
      <c r="K1834" s="0" t="s">
        <v>127</v>
      </c>
      <c r="L1834" s="0" t="s">
        <v>3277</v>
      </c>
    </row>
    <row r="1835" customFormat="false" ht="15" hidden="false" customHeight="false" outlineLevel="0" collapsed="false">
      <c r="A1835" s="0" t="s">
        <v>2782</v>
      </c>
      <c r="B1835" s="0" t="s">
        <v>154</v>
      </c>
      <c r="C1835" s="0" t="s">
        <v>755</v>
      </c>
      <c r="D1835" s="0" t="s">
        <v>53</v>
      </c>
      <c r="E1835" s="0" t="s">
        <v>1815</v>
      </c>
      <c r="F1835" s="0" t="n">
        <v>4</v>
      </c>
      <c r="G1835" s="0" t="n">
        <v>0</v>
      </c>
      <c r="H1835" s="0" t="s">
        <v>122</v>
      </c>
      <c r="K1835" s="0" t="s">
        <v>132</v>
      </c>
      <c r="L1835" s="0" t="s">
        <v>3278</v>
      </c>
    </row>
    <row r="1836" customFormat="false" ht="15" hidden="false" customHeight="false" outlineLevel="0" collapsed="false">
      <c r="A1836" s="0" t="s">
        <v>2782</v>
      </c>
      <c r="B1836" s="0" t="s">
        <v>154</v>
      </c>
      <c r="C1836" s="0" t="s">
        <v>755</v>
      </c>
      <c r="D1836" s="0" t="s">
        <v>56</v>
      </c>
      <c r="E1836" s="0" t="s">
        <v>1817</v>
      </c>
      <c r="F1836" s="0" t="n">
        <v>4</v>
      </c>
      <c r="G1836" s="0" t="n">
        <v>0</v>
      </c>
      <c r="H1836" s="0" t="s">
        <v>122</v>
      </c>
      <c r="K1836" s="0" t="s">
        <v>135</v>
      </c>
      <c r="L1836" s="0" t="s">
        <v>3279</v>
      </c>
    </row>
    <row r="1837" customFormat="false" ht="15" hidden="false" customHeight="false" outlineLevel="0" collapsed="false">
      <c r="A1837" s="0" t="s">
        <v>2782</v>
      </c>
      <c r="B1837" s="0" t="s">
        <v>154</v>
      </c>
      <c r="C1837" s="0" t="s">
        <v>755</v>
      </c>
      <c r="D1837" s="0" t="s">
        <v>59</v>
      </c>
      <c r="E1837" s="0" t="s">
        <v>1819</v>
      </c>
      <c r="F1837" s="0" t="n">
        <v>4</v>
      </c>
      <c r="G1837" s="0" t="n">
        <v>0</v>
      </c>
      <c r="H1837" s="0" t="s">
        <v>122</v>
      </c>
      <c r="K1837" s="0" t="s">
        <v>138</v>
      </c>
      <c r="L1837" s="0" t="s">
        <v>3280</v>
      </c>
    </row>
    <row r="1838" customFormat="false" ht="15" hidden="false" customHeight="false" outlineLevel="0" collapsed="false">
      <c r="A1838" s="0" t="s">
        <v>2782</v>
      </c>
      <c r="B1838" s="0" t="s">
        <v>154</v>
      </c>
      <c r="C1838" s="0" t="s">
        <v>755</v>
      </c>
      <c r="D1838" s="0" t="s">
        <v>67</v>
      </c>
      <c r="E1838" s="0" t="s">
        <v>1821</v>
      </c>
      <c r="F1838" s="0" t="n">
        <v>4</v>
      </c>
      <c r="G1838" s="0" t="n">
        <v>0</v>
      </c>
      <c r="H1838" s="0" t="s">
        <v>122</v>
      </c>
      <c r="K1838" s="0" t="s">
        <v>143</v>
      </c>
      <c r="L1838" s="0" t="s">
        <v>3281</v>
      </c>
    </row>
    <row r="1839" customFormat="false" ht="15" hidden="false" customHeight="false" outlineLevel="0" collapsed="false">
      <c r="A1839" s="0" t="s">
        <v>2782</v>
      </c>
      <c r="B1839" s="0" t="s">
        <v>154</v>
      </c>
      <c r="C1839" s="0" t="s">
        <v>755</v>
      </c>
      <c r="D1839" s="0" t="s">
        <v>70</v>
      </c>
      <c r="E1839" s="0" t="s">
        <v>1823</v>
      </c>
      <c r="F1839" s="0" t="n">
        <v>4</v>
      </c>
      <c r="G1839" s="0" t="n">
        <v>0</v>
      </c>
      <c r="H1839" s="0" t="s">
        <v>122</v>
      </c>
      <c r="K1839" s="0" t="s">
        <v>146</v>
      </c>
      <c r="L1839" s="0" t="s">
        <v>3282</v>
      </c>
    </row>
    <row r="1840" customFormat="false" ht="15" hidden="false" customHeight="false" outlineLevel="0" collapsed="false">
      <c r="A1840" s="0" t="s">
        <v>2782</v>
      </c>
      <c r="B1840" s="0" t="s">
        <v>154</v>
      </c>
      <c r="C1840" s="0" t="s">
        <v>755</v>
      </c>
      <c r="D1840" s="0" t="s">
        <v>73</v>
      </c>
      <c r="E1840" s="0" t="s">
        <v>1825</v>
      </c>
      <c r="F1840" s="0" t="n">
        <v>4</v>
      </c>
      <c r="G1840" s="0" t="n">
        <v>0</v>
      </c>
      <c r="H1840" s="0" t="s">
        <v>122</v>
      </c>
      <c r="K1840" s="0" t="s">
        <v>149</v>
      </c>
      <c r="L1840" s="0" t="s">
        <v>3283</v>
      </c>
    </row>
    <row r="1841" customFormat="false" ht="15" hidden="false" customHeight="false" outlineLevel="0" collapsed="false">
      <c r="A1841" s="0" t="s">
        <v>2782</v>
      </c>
      <c r="B1841" s="0" t="s">
        <v>154</v>
      </c>
      <c r="C1841" s="0" t="s">
        <v>755</v>
      </c>
      <c r="D1841" s="0" t="s">
        <v>76</v>
      </c>
      <c r="E1841" s="0" t="s">
        <v>1827</v>
      </c>
      <c r="F1841" s="0" t="n">
        <v>4</v>
      </c>
      <c r="G1841" s="0" t="n">
        <v>0</v>
      </c>
      <c r="H1841" s="0" t="s">
        <v>122</v>
      </c>
      <c r="K1841" s="0" t="s">
        <v>152</v>
      </c>
      <c r="L1841" s="0" t="s">
        <v>3284</v>
      </c>
    </row>
    <row r="1842" customFormat="false" ht="15" hidden="false" customHeight="false" outlineLevel="0" collapsed="false">
      <c r="A1842" s="0" t="s">
        <v>2782</v>
      </c>
      <c r="B1842" s="0" t="s">
        <v>154</v>
      </c>
      <c r="C1842" s="0" t="s">
        <v>755</v>
      </c>
      <c r="D1842" s="0" t="s">
        <v>79</v>
      </c>
      <c r="E1842" s="0" t="s">
        <v>1829</v>
      </c>
      <c r="F1842" s="0" t="n">
        <v>4</v>
      </c>
      <c r="G1842" s="0" t="n">
        <v>0</v>
      </c>
      <c r="H1842" s="0" t="s">
        <v>122</v>
      </c>
      <c r="K1842" s="0" t="s">
        <v>156</v>
      </c>
      <c r="L1842" s="0" t="s">
        <v>3285</v>
      </c>
    </row>
    <row r="1843" customFormat="false" ht="15" hidden="false" customHeight="false" outlineLevel="0" collapsed="false">
      <c r="A1843" s="0" t="s">
        <v>2782</v>
      </c>
      <c r="B1843" s="0" t="s">
        <v>154</v>
      </c>
      <c r="C1843" s="0" t="s">
        <v>755</v>
      </c>
      <c r="D1843" s="0" t="s">
        <v>82</v>
      </c>
      <c r="E1843" s="0" t="s">
        <v>1831</v>
      </c>
      <c r="F1843" s="0" t="n">
        <v>4</v>
      </c>
      <c r="G1843" s="0" t="n">
        <v>0</v>
      </c>
      <c r="H1843" s="0" t="s">
        <v>122</v>
      </c>
      <c r="K1843" s="0" t="s">
        <v>160</v>
      </c>
      <c r="L1843" s="0" t="s">
        <v>3286</v>
      </c>
    </row>
    <row r="1844" customFormat="false" ht="15" hidden="false" customHeight="false" outlineLevel="0" collapsed="false">
      <c r="A1844" s="0" t="s">
        <v>2782</v>
      </c>
      <c r="B1844" s="0" t="s">
        <v>154</v>
      </c>
      <c r="C1844" s="0" t="s">
        <v>780</v>
      </c>
      <c r="D1844" s="0" t="s">
        <v>115</v>
      </c>
      <c r="E1844" s="0" t="s">
        <v>1833</v>
      </c>
      <c r="F1844" s="0" t="n">
        <v>4</v>
      </c>
      <c r="G1844" s="0" t="n">
        <v>0</v>
      </c>
      <c r="H1844" s="0" t="s">
        <v>122</v>
      </c>
      <c r="K1844" s="0" t="s">
        <v>118</v>
      </c>
      <c r="L1844" s="0" t="s">
        <v>3287</v>
      </c>
    </row>
    <row r="1845" customFormat="false" ht="15" hidden="false" customHeight="false" outlineLevel="0" collapsed="false">
      <c r="A1845" s="0" t="s">
        <v>2782</v>
      </c>
      <c r="B1845" s="0" t="s">
        <v>154</v>
      </c>
      <c r="C1845" s="0" t="s">
        <v>780</v>
      </c>
      <c r="D1845" s="0" t="s">
        <v>120</v>
      </c>
      <c r="E1845" s="0" t="s">
        <v>1835</v>
      </c>
      <c r="F1845" s="0" t="n">
        <v>4</v>
      </c>
      <c r="G1845" s="0" t="n">
        <v>0</v>
      </c>
      <c r="H1845" s="0" t="s">
        <v>122</v>
      </c>
      <c r="K1845" s="0" t="s">
        <v>123</v>
      </c>
      <c r="L1845" s="0" t="s">
        <v>3288</v>
      </c>
    </row>
    <row r="1846" customFormat="false" ht="15" hidden="false" customHeight="false" outlineLevel="0" collapsed="false">
      <c r="A1846" s="0" t="s">
        <v>2782</v>
      </c>
      <c r="B1846" s="0" t="s">
        <v>154</v>
      </c>
      <c r="C1846" s="0" t="s">
        <v>780</v>
      </c>
      <c r="D1846" s="0" t="s">
        <v>125</v>
      </c>
      <c r="E1846" s="0" t="s">
        <v>1837</v>
      </c>
      <c r="F1846" s="0" t="n">
        <v>4</v>
      </c>
      <c r="G1846" s="0" t="n">
        <v>0</v>
      </c>
      <c r="H1846" s="0" t="s">
        <v>122</v>
      </c>
      <c r="K1846" s="0" t="s">
        <v>127</v>
      </c>
      <c r="L1846" s="0" t="s">
        <v>3289</v>
      </c>
    </row>
    <row r="1847" customFormat="false" ht="15" hidden="false" customHeight="false" outlineLevel="0" collapsed="false">
      <c r="A1847" s="0" t="s">
        <v>2782</v>
      </c>
      <c r="B1847" s="0" t="s">
        <v>154</v>
      </c>
      <c r="C1847" s="0" t="s">
        <v>780</v>
      </c>
      <c r="D1847" s="0" t="s">
        <v>53</v>
      </c>
      <c r="E1847" s="0" t="s">
        <v>1839</v>
      </c>
      <c r="F1847" s="0" t="n">
        <v>4</v>
      </c>
      <c r="G1847" s="0" t="n">
        <v>0</v>
      </c>
      <c r="H1847" s="0" t="s">
        <v>122</v>
      </c>
      <c r="K1847" s="0" t="s">
        <v>132</v>
      </c>
      <c r="L1847" s="0" t="s">
        <v>3290</v>
      </c>
    </row>
    <row r="1848" customFormat="false" ht="15" hidden="false" customHeight="false" outlineLevel="0" collapsed="false">
      <c r="A1848" s="0" t="s">
        <v>2782</v>
      </c>
      <c r="B1848" s="0" t="s">
        <v>154</v>
      </c>
      <c r="C1848" s="0" t="s">
        <v>780</v>
      </c>
      <c r="D1848" s="0" t="s">
        <v>56</v>
      </c>
      <c r="E1848" s="0" t="s">
        <v>1841</v>
      </c>
      <c r="F1848" s="0" t="n">
        <v>4</v>
      </c>
      <c r="G1848" s="0" t="n">
        <v>0</v>
      </c>
      <c r="H1848" s="0" t="s">
        <v>122</v>
      </c>
      <c r="K1848" s="0" t="s">
        <v>135</v>
      </c>
      <c r="L1848" s="0" t="s">
        <v>3291</v>
      </c>
    </row>
    <row r="1849" customFormat="false" ht="15" hidden="false" customHeight="false" outlineLevel="0" collapsed="false">
      <c r="A1849" s="0" t="s">
        <v>2782</v>
      </c>
      <c r="B1849" s="0" t="s">
        <v>154</v>
      </c>
      <c r="C1849" s="0" t="s">
        <v>780</v>
      </c>
      <c r="D1849" s="0" t="s">
        <v>59</v>
      </c>
      <c r="E1849" s="0" t="s">
        <v>1843</v>
      </c>
      <c r="F1849" s="0" t="n">
        <v>4</v>
      </c>
      <c r="G1849" s="0" t="n">
        <v>0</v>
      </c>
      <c r="H1849" s="0" t="s">
        <v>122</v>
      </c>
      <c r="K1849" s="0" t="s">
        <v>138</v>
      </c>
      <c r="L1849" s="0" t="s">
        <v>3292</v>
      </c>
    </row>
    <row r="1850" customFormat="false" ht="15" hidden="false" customHeight="false" outlineLevel="0" collapsed="false">
      <c r="A1850" s="0" t="s">
        <v>2782</v>
      </c>
      <c r="B1850" s="0" t="s">
        <v>154</v>
      </c>
      <c r="C1850" s="0" t="s">
        <v>780</v>
      </c>
      <c r="D1850" s="0" t="s">
        <v>67</v>
      </c>
      <c r="E1850" s="0" t="s">
        <v>1845</v>
      </c>
      <c r="F1850" s="0" t="n">
        <v>4</v>
      </c>
      <c r="G1850" s="0" t="n">
        <v>0</v>
      </c>
      <c r="H1850" s="0" t="s">
        <v>122</v>
      </c>
      <c r="K1850" s="0" t="s">
        <v>143</v>
      </c>
      <c r="L1850" s="0" t="s">
        <v>3293</v>
      </c>
    </row>
    <row r="1851" customFormat="false" ht="15" hidden="false" customHeight="false" outlineLevel="0" collapsed="false">
      <c r="A1851" s="0" t="s">
        <v>2782</v>
      </c>
      <c r="B1851" s="0" t="s">
        <v>154</v>
      </c>
      <c r="C1851" s="0" t="s">
        <v>780</v>
      </c>
      <c r="D1851" s="0" t="s">
        <v>70</v>
      </c>
      <c r="E1851" s="0" t="s">
        <v>1847</v>
      </c>
      <c r="F1851" s="0" t="n">
        <v>4</v>
      </c>
      <c r="G1851" s="0" t="n">
        <v>0</v>
      </c>
      <c r="H1851" s="0" t="s">
        <v>122</v>
      </c>
      <c r="K1851" s="0" t="s">
        <v>146</v>
      </c>
      <c r="L1851" s="0" t="s">
        <v>3294</v>
      </c>
    </row>
    <row r="1852" customFormat="false" ht="15" hidden="false" customHeight="false" outlineLevel="0" collapsed="false">
      <c r="A1852" s="0" t="s">
        <v>2782</v>
      </c>
      <c r="B1852" s="0" t="s">
        <v>154</v>
      </c>
      <c r="C1852" s="0" t="s">
        <v>780</v>
      </c>
      <c r="D1852" s="0" t="s">
        <v>73</v>
      </c>
      <c r="E1852" s="0" t="s">
        <v>1849</v>
      </c>
      <c r="F1852" s="0" t="n">
        <v>4</v>
      </c>
      <c r="G1852" s="0" t="n">
        <v>0</v>
      </c>
      <c r="H1852" s="0" t="s">
        <v>122</v>
      </c>
      <c r="K1852" s="0" t="s">
        <v>149</v>
      </c>
      <c r="L1852" s="0" t="s">
        <v>3295</v>
      </c>
    </row>
    <row r="1853" customFormat="false" ht="15" hidden="false" customHeight="false" outlineLevel="0" collapsed="false">
      <c r="A1853" s="0" t="s">
        <v>2782</v>
      </c>
      <c r="B1853" s="0" t="s">
        <v>154</v>
      </c>
      <c r="C1853" s="0" t="s">
        <v>780</v>
      </c>
      <c r="D1853" s="0" t="s">
        <v>76</v>
      </c>
      <c r="E1853" s="0" t="s">
        <v>1851</v>
      </c>
      <c r="F1853" s="0" t="n">
        <v>4</v>
      </c>
      <c r="G1853" s="0" t="n">
        <v>0</v>
      </c>
      <c r="H1853" s="0" t="s">
        <v>122</v>
      </c>
      <c r="K1853" s="0" t="s">
        <v>152</v>
      </c>
      <c r="L1853" s="0" t="s">
        <v>3296</v>
      </c>
    </row>
    <row r="1854" customFormat="false" ht="15" hidden="false" customHeight="false" outlineLevel="0" collapsed="false">
      <c r="A1854" s="0" t="s">
        <v>2782</v>
      </c>
      <c r="B1854" s="0" t="s">
        <v>154</v>
      </c>
      <c r="C1854" s="0" t="s">
        <v>780</v>
      </c>
      <c r="D1854" s="0" t="s">
        <v>79</v>
      </c>
      <c r="E1854" s="0" t="s">
        <v>1853</v>
      </c>
      <c r="F1854" s="0" t="n">
        <v>4</v>
      </c>
      <c r="G1854" s="0" t="n">
        <v>0</v>
      </c>
      <c r="H1854" s="0" t="s">
        <v>122</v>
      </c>
      <c r="K1854" s="0" t="s">
        <v>156</v>
      </c>
      <c r="L1854" s="0" t="s">
        <v>3297</v>
      </c>
    </row>
    <row r="1855" customFormat="false" ht="15" hidden="false" customHeight="false" outlineLevel="0" collapsed="false">
      <c r="A1855" s="0" t="s">
        <v>2782</v>
      </c>
      <c r="B1855" s="0" t="s">
        <v>154</v>
      </c>
      <c r="C1855" s="0" t="s">
        <v>780</v>
      </c>
      <c r="D1855" s="0" t="s">
        <v>82</v>
      </c>
      <c r="E1855" s="0" t="s">
        <v>1855</v>
      </c>
      <c r="F1855" s="0" t="n">
        <v>4</v>
      </c>
      <c r="G1855" s="0" t="n">
        <v>0</v>
      </c>
      <c r="H1855" s="0" t="s">
        <v>122</v>
      </c>
      <c r="K1855" s="0" t="s">
        <v>160</v>
      </c>
      <c r="L1855" s="0" t="s">
        <v>3298</v>
      </c>
    </row>
    <row r="1856" customFormat="false" ht="15" hidden="false" customHeight="false" outlineLevel="0" collapsed="false">
      <c r="A1856" s="0" t="s">
        <v>2782</v>
      </c>
      <c r="B1856" s="0" t="s">
        <v>154</v>
      </c>
      <c r="C1856" s="0" t="s">
        <v>805</v>
      </c>
      <c r="D1856" s="0" t="s">
        <v>115</v>
      </c>
      <c r="E1856" s="0" t="s">
        <v>1857</v>
      </c>
      <c r="F1856" s="0" t="n">
        <v>4</v>
      </c>
      <c r="G1856" s="0" t="n">
        <v>0</v>
      </c>
      <c r="H1856" s="0" t="s">
        <v>122</v>
      </c>
      <c r="K1856" s="0" t="s">
        <v>118</v>
      </c>
      <c r="L1856" s="0" t="s">
        <v>3299</v>
      </c>
    </row>
    <row r="1857" customFormat="false" ht="15" hidden="false" customHeight="false" outlineLevel="0" collapsed="false">
      <c r="A1857" s="0" t="s">
        <v>2782</v>
      </c>
      <c r="B1857" s="0" t="s">
        <v>154</v>
      </c>
      <c r="C1857" s="0" t="s">
        <v>805</v>
      </c>
      <c r="D1857" s="0" t="s">
        <v>120</v>
      </c>
      <c r="E1857" s="0" t="s">
        <v>1859</v>
      </c>
      <c r="F1857" s="0" t="n">
        <v>4</v>
      </c>
      <c r="G1857" s="0" t="n">
        <v>0</v>
      </c>
      <c r="H1857" s="0" t="s">
        <v>122</v>
      </c>
      <c r="K1857" s="0" t="s">
        <v>123</v>
      </c>
      <c r="L1857" s="0" t="s">
        <v>3300</v>
      </c>
    </row>
    <row r="1858" customFormat="false" ht="15" hidden="false" customHeight="false" outlineLevel="0" collapsed="false">
      <c r="A1858" s="0" t="s">
        <v>2782</v>
      </c>
      <c r="B1858" s="0" t="s">
        <v>154</v>
      </c>
      <c r="C1858" s="0" t="s">
        <v>805</v>
      </c>
      <c r="D1858" s="0" t="s">
        <v>125</v>
      </c>
      <c r="E1858" s="0" t="s">
        <v>1861</v>
      </c>
      <c r="F1858" s="0" t="n">
        <v>4</v>
      </c>
      <c r="G1858" s="0" t="n">
        <v>0</v>
      </c>
      <c r="H1858" s="0" t="s">
        <v>122</v>
      </c>
      <c r="K1858" s="0" t="s">
        <v>127</v>
      </c>
      <c r="L1858" s="0" t="s">
        <v>3301</v>
      </c>
    </row>
    <row r="1859" customFormat="false" ht="15" hidden="false" customHeight="false" outlineLevel="0" collapsed="false">
      <c r="A1859" s="0" t="s">
        <v>2782</v>
      </c>
      <c r="B1859" s="0" t="s">
        <v>154</v>
      </c>
      <c r="C1859" s="0" t="s">
        <v>805</v>
      </c>
      <c r="D1859" s="0" t="s">
        <v>53</v>
      </c>
      <c r="E1859" s="0" t="s">
        <v>1863</v>
      </c>
      <c r="F1859" s="0" t="n">
        <v>4</v>
      </c>
      <c r="G1859" s="0" t="n">
        <v>0</v>
      </c>
      <c r="H1859" s="0" t="s">
        <v>122</v>
      </c>
      <c r="K1859" s="0" t="s">
        <v>132</v>
      </c>
      <c r="L1859" s="0" t="s">
        <v>3302</v>
      </c>
    </row>
    <row r="1860" customFormat="false" ht="15" hidden="false" customHeight="false" outlineLevel="0" collapsed="false">
      <c r="A1860" s="0" t="s">
        <v>2782</v>
      </c>
      <c r="B1860" s="0" t="s">
        <v>154</v>
      </c>
      <c r="C1860" s="0" t="s">
        <v>805</v>
      </c>
      <c r="D1860" s="0" t="s">
        <v>56</v>
      </c>
      <c r="E1860" s="0" t="s">
        <v>1865</v>
      </c>
      <c r="F1860" s="0" t="n">
        <v>4</v>
      </c>
      <c r="G1860" s="0" t="n">
        <v>0</v>
      </c>
      <c r="H1860" s="0" t="s">
        <v>122</v>
      </c>
      <c r="K1860" s="0" t="s">
        <v>135</v>
      </c>
      <c r="L1860" s="0" t="s">
        <v>3303</v>
      </c>
    </row>
    <row r="1861" customFormat="false" ht="15" hidden="false" customHeight="false" outlineLevel="0" collapsed="false">
      <c r="A1861" s="0" t="s">
        <v>2782</v>
      </c>
      <c r="B1861" s="0" t="s">
        <v>154</v>
      </c>
      <c r="C1861" s="0" t="s">
        <v>805</v>
      </c>
      <c r="D1861" s="0" t="s">
        <v>59</v>
      </c>
      <c r="E1861" s="0" t="s">
        <v>1867</v>
      </c>
      <c r="F1861" s="0" t="n">
        <v>4</v>
      </c>
      <c r="G1861" s="0" t="n">
        <v>0</v>
      </c>
      <c r="H1861" s="0" t="s">
        <v>122</v>
      </c>
      <c r="K1861" s="0" t="s">
        <v>138</v>
      </c>
      <c r="L1861" s="0" t="s">
        <v>3304</v>
      </c>
    </row>
    <row r="1862" customFormat="false" ht="15" hidden="false" customHeight="false" outlineLevel="0" collapsed="false">
      <c r="A1862" s="0" t="s">
        <v>2782</v>
      </c>
      <c r="B1862" s="0" t="s">
        <v>154</v>
      </c>
      <c r="C1862" s="0" t="s">
        <v>805</v>
      </c>
      <c r="D1862" s="0" t="s">
        <v>67</v>
      </c>
      <c r="E1862" s="0" t="s">
        <v>1869</v>
      </c>
      <c r="F1862" s="0" t="n">
        <v>4</v>
      </c>
      <c r="G1862" s="0" t="n">
        <v>0</v>
      </c>
      <c r="H1862" s="0" t="s">
        <v>122</v>
      </c>
      <c r="K1862" s="0" t="s">
        <v>143</v>
      </c>
      <c r="L1862" s="0" t="s">
        <v>3305</v>
      </c>
    </row>
    <row r="1863" customFormat="false" ht="15" hidden="false" customHeight="false" outlineLevel="0" collapsed="false">
      <c r="A1863" s="0" t="s">
        <v>2782</v>
      </c>
      <c r="B1863" s="0" t="s">
        <v>154</v>
      </c>
      <c r="C1863" s="0" t="s">
        <v>805</v>
      </c>
      <c r="D1863" s="0" t="s">
        <v>70</v>
      </c>
      <c r="E1863" s="0" t="s">
        <v>1871</v>
      </c>
      <c r="F1863" s="0" t="n">
        <v>4</v>
      </c>
      <c r="G1863" s="0" t="n">
        <v>0</v>
      </c>
      <c r="H1863" s="0" t="s">
        <v>122</v>
      </c>
      <c r="K1863" s="0" t="s">
        <v>146</v>
      </c>
      <c r="L1863" s="0" t="s">
        <v>3306</v>
      </c>
    </row>
    <row r="1864" customFormat="false" ht="15" hidden="false" customHeight="false" outlineLevel="0" collapsed="false">
      <c r="A1864" s="0" t="s">
        <v>2782</v>
      </c>
      <c r="B1864" s="0" t="s">
        <v>154</v>
      </c>
      <c r="C1864" s="0" t="s">
        <v>805</v>
      </c>
      <c r="D1864" s="0" t="s">
        <v>73</v>
      </c>
      <c r="E1864" s="0" t="s">
        <v>1873</v>
      </c>
      <c r="F1864" s="0" t="n">
        <v>4</v>
      </c>
      <c r="G1864" s="0" t="n">
        <v>0</v>
      </c>
      <c r="H1864" s="0" t="s">
        <v>122</v>
      </c>
      <c r="K1864" s="0" t="s">
        <v>149</v>
      </c>
      <c r="L1864" s="0" t="s">
        <v>3307</v>
      </c>
    </row>
    <row r="1865" customFormat="false" ht="15" hidden="false" customHeight="false" outlineLevel="0" collapsed="false">
      <c r="A1865" s="0" t="s">
        <v>2782</v>
      </c>
      <c r="B1865" s="0" t="s">
        <v>154</v>
      </c>
      <c r="C1865" s="0" t="s">
        <v>805</v>
      </c>
      <c r="D1865" s="0" t="s">
        <v>76</v>
      </c>
      <c r="E1865" s="0" t="s">
        <v>1875</v>
      </c>
      <c r="F1865" s="0" t="n">
        <v>4</v>
      </c>
      <c r="G1865" s="0" t="n">
        <v>0</v>
      </c>
      <c r="H1865" s="0" t="s">
        <v>122</v>
      </c>
      <c r="K1865" s="0" t="s">
        <v>152</v>
      </c>
      <c r="L1865" s="0" t="s">
        <v>3308</v>
      </c>
    </row>
    <row r="1866" customFormat="false" ht="15" hidden="false" customHeight="false" outlineLevel="0" collapsed="false">
      <c r="A1866" s="0" t="s">
        <v>2782</v>
      </c>
      <c r="B1866" s="0" t="s">
        <v>154</v>
      </c>
      <c r="C1866" s="0" t="s">
        <v>805</v>
      </c>
      <c r="D1866" s="0" t="s">
        <v>79</v>
      </c>
      <c r="E1866" s="0" t="s">
        <v>1877</v>
      </c>
      <c r="F1866" s="0" t="n">
        <v>4</v>
      </c>
      <c r="G1866" s="0" t="n">
        <v>0</v>
      </c>
      <c r="H1866" s="0" t="s">
        <v>122</v>
      </c>
      <c r="K1866" s="0" t="s">
        <v>156</v>
      </c>
      <c r="L1866" s="0" t="s">
        <v>3309</v>
      </c>
    </row>
    <row r="1867" customFormat="false" ht="15" hidden="false" customHeight="false" outlineLevel="0" collapsed="false">
      <c r="A1867" s="0" t="s">
        <v>2782</v>
      </c>
      <c r="B1867" s="0" t="s">
        <v>154</v>
      </c>
      <c r="C1867" s="0" t="s">
        <v>805</v>
      </c>
      <c r="D1867" s="0" t="s">
        <v>82</v>
      </c>
      <c r="E1867" s="0" t="s">
        <v>1879</v>
      </c>
      <c r="F1867" s="0" t="n">
        <v>4</v>
      </c>
      <c r="G1867" s="0" t="n">
        <v>0</v>
      </c>
      <c r="H1867" s="0" t="s">
        <v>122</v>
      </c>
      <c r="K1867" s="0" t="s">
        <v>160</v>
      </c>
      <c r="L1867" s="0" t="s">
        <v>3310</v>
      </c>
    </row>
    <row r="1868" customFormat="false" ht="15" hidden="false" customHeight="false" outlineLevel="0" collapsed="false">
      <c r="A1868" s="0" t="s">
        <v>2782</v>
      </c>
      <c r="B1868" s="0" t="s">
        <v>154</v>
      </c>
      <c r="C1868" s="0" t="s">
        <v>830</v>
      </c>
      <c r="D1868" s="0" t="s">
        <v>115</v>
      </c>
      <c r="E1868" s="0" t="s">
        <v>1881</v>
      </c>
      <c r="F1868" s="0" t="n">
        <v>4</v>
      </c>
      <c r="G1868" s="0" t="n">
        <v>0</v>
      </c>
      <c r="H1868" s="0" t="s">
        <v>122</v>
      </c>
      <c r="K1868" s="0" t="s">
        <v>118</v>
      </c>
      <c r="L1868" s="0" t="s">
        <v>3311</v>
      </c>
    </row>
    <row r="1869" customFormat="false" ht="15" hidden="false" customHeight="false" outlineLevel="0" collapsed="false">
      <c r="A1869" s="0" t="s">
        <v>2782</v>
      </c>
      <c r="B1869" s="0" t="s">
        <v>154</v>
      </c>
      <c r="C1869" s="0" t="s">
        <v>830</v>
      </c>
      <c r="D1869" s="0" t="s">
        <v>120</v>
      </c>
      <c r="E1869" s="0" t="s">
        <v>1883</v>
      </c>
      <c r="F1869" s="0" t="n">
        <v>4</v>
      </c>
      <c r="G1869" s="0" t="n">
        <v>0</v>
      </c>
      <c r="H1869" s="0" t="s">
        <v>122</v>
      </c>
      <c r="K1869" s="0" t="s">
        <v>123</v>
      </c>
      <c r="L1869" s="0" t="s">
        <v>3312</v>
      </c>
    </row>
    <row r="1870" customFormat="false" ht="15" hidden="false" customHeight="false" outlineLevel="0" collapsed="false">
      <c r="A1870" s="0" t="s">
        <v>2782</v>
      </c>
      <c r="B1870" s="0" t="s">
        <v>154</v>
      </c>
      <c r="C1870" s="0" t="s">
        <v>830</v>
      </c>
      <c r="D1870" s="0" t="s">
        <v>125</v>
      </c>
      <c r="E1870" s="0" t="s">
        <v>1885</v>
      </c>
      <c r="F1870" s="0" t="n">
        <v>4</v>
      </c>
      <c r="G1870" s="0" t="n">
        <v>0</v>
      </c>
      <c r="H1870" s="0" t="s">
        <v>122</v>
      </c>
      <c r="K1870" s="0" t="s">
        <v>127</v>
      </c>
      <c r="L1870" s="0" t="s">
        <v>3313</v>
      </c>
    </row>
    <row r="1871" customFormat="false" ht="15" hidden="false" customHeight="false" outlineLevel="0" collapsed="false">
      <c r="A1871" s="0" t="s">
        <v>2782</v>
      </c>
      <c r="B1871" s="0" t="s">
        <v>154</v>
      </c>
      <c r="C1871" s="0" t="s">
        <v>830</v>
      </c>
      <c r="D1871" s="0" t="s">
        <v>53</v>
      </c>
      <c r="E1871" s="0" t="s">
        <v>1887</v>
      </c>
      <c r="F1871" s="0" t="n">
        <v>4</v>
      </c>
      <c r="G1871" s="0" t="n">
        <v>0</v>
      </c>
      <c r="H1871" s="0" t="s">
        <v>122</v>
      </c>
      <c r="K1871" s="0" t="s">
        <v>132</v>
      </c>
      <c r="L1871" s="0" t="s">
        <v>3314</v>
      </c>
    </row>
    <row r="1872" customFormat="false" ht="15" hidden="false" customHeight="false" outlineLevel="0" collapsed="false">
      <c r="A1872" s="0" t="s">
        <v>2782</v>
      </c>
      <c r="B1872" s="0" t="s">
        <v>154</v>
      </c>
      <c r="C1872" s="0" t="s">
        <v>830</v>
      </c>
      <c r="D1872" s="0" t="s">
        <v>56</v>
      </c>
      <c r="E1872" s="0" t="s">
        <v>1889</v>
      </c>
      <c r="F1872" s="0" t="n">
        <v>4</v>
      </c>
      <c r="G1872" s="0" t="n">
        <v>0</v>
      </c>
      <c r="H1872" s="0" t="s">
        <v>122</v>
      </c>
      <c r="K1872" s="0" t="s">
        <v>135</v>
      </c>
      <c r="L1872" s="0" t="s">
        <v>3315</v>
      </c>
    </row>
    <row r="1873" customFormat="false" ht="15" hidden="false" customHeight="false" outlineLevel="0" collapsed="false">
      <c r="A1873" s="0" t="s">
        <v>2782</v>
      </c>
      <c r="B1873" s="0" t="s">
        <v>154</v>
      </c>
      <c r="C1873" s="0" t="s">
        <v>830</v>
      </c>
      <c r="D1873" s="0" t="s">
        <v>59</v>
      </c>
      <c r="E1873" s="0" t="s">
        <v>1891</v>
      </c>
      <c r="F1873" s="0" t="n">
        <v>4</v>
      </c>
      <c r="G1873" s="0" t="n">
        <v>0</v>
      </c>
      <c r="H1873" s="0" t="s">
        <v>122</v>
      </c>
      <c r="K1873" s="0" t="s">
        <v>138</v>
      </c>
      <c r="L1873" s="0" t="s">
        <v>3316</v>
      </c>
    </row>
    <row r="1874" customFormat="false" ht="15" hidden="false" customHeight="false" outlineLevel="0" collapsed="false">
      <c r="A1874" s="0" t="s">
        <v>2782</v>
      </c>
      <c r="B1874" s="0" t="s">
        <v>154</v>
      </c>
      <c r="C1874" s="0" t="s">
        <v>830</v>
      </c>
      <c r="D1874" s="0" t="s">
        <v>67</v>
      </c>
      <c r="E1874" s="0" t="s">
        <v>1893</v>
      </c>
      <c r="F1874" s="0" t="n">
        <v>4</v>
      </c>
      <c r="G1874" s="0" t="n">
        <v>0</v>
      </c>
      <c r="H1874" s="0" t="s">
        <v>122</v>
      </c>
      <c r="K1874" s="0" t="s">
        <v>143</v>
      </c>
      <c r="L1874" s="0" t="s">
        <v>3317</v>
      </c>
    </row>
    <row r="1875" customFormat="false" ht="15" hidden="false" customHeight="false" outlineLevel="0" collapsed="false">
      <c r="A1875" s="0" t="s">
        <v>2782</v>
      </c>
      <c r="B1875" s="0" t="s">
        <v>154</v>
      </c>
      <c r="C1875" s="0" t="s">
        <v>830</v>
      </c>
      <c r="D1875" s="0" t="s">
        <v>70</v>
      </c>
      <c r="E1875" s="0" t="s">
        <v>1895</v>
      </c>
      <c r="F1875" s="0" t="n">
        <v>4</v>
      </c>
      <c r="G1875" s="0" t="n">
        <v>0</v>
      </c>
      <c r="H1875" s="0" t="s">
        <v>122</v>
      </c>
      <c r="K1875" s="0" t="s">
        <v>146</v>
      </c>
      <c r="L1875" s="0" t="s">
        <v>3318</v>
      </c>
    </row>
    <row r="1876" customFormat="false" ht="15" hidden="false" customHeight="false" outlineLevel="0" collapsed="false">
      <c r="A1876" s="0" t="s">
        <v>2782</v>
      </c>
      <c r="B1876" s="0" t="s">
        <v>154</v>
      </c>
      <c r="C1876" s="0" t="s">
        <v>830</v>
      </c>
      <c r="D1876" s="0" t="s">
        <v>73</v>
      </c>
      <c r="E1876" s="0" t="s">
        <v>1897</v>
      </c>
      <c r="F1876" s="0" t="n">
        <v>4</v>
      </c>
      <c r="G1876" s="0" t="n">
        <v>0</v>
      </c>
      <c r="H1876" s="0" t="s">
        <v>122</v>
      </c>
      <c r="K1876" s="0" t="s">
        <v>149</v>
      </c>
      <c r="L1876" s="0" t="s">
        <v>3319</v>
      </c>
    </row>
    <row r="1877" customFormat="false" ht="15" hidden="false" customHeight="false" outlineLevel="0" collapsed="false">
      <c r="A1877" s="0" t="s">
        <v>2782</v>
      </c>
      <c r="B1877" s="0" t="s">
        <v>154</v>
      </c>
      <c r="C1877" s="0" t="s">
        <v>830</v>
      </c>
      <c r="D1877" s="0" t="s">
        <v>76</v>
      </c>
      <c r="E1877" s="0" t="s">
        <v>1899</v>
      </c>
      <c r="F1877" s="0" t="n">
        <v>4</v>
      </c>
      <c r="G1877" s="0" t="n">
        <v>0</v>
      </c>
      <c r="H1877" s="0" t="s">
        <v>122</v>
      </c>
      <c r="K1877" s="0" t="s">
        <v>152</v>
      </c>
      <c r="L1877" s="0" t="s">
        <v>3320</v>
      </c>
    </row>
    <row r="1878" customFormat="false" ht="15" hidden="false" customHeight="false" outlineLevel="0" collapsed="false">
      <c r="A1878" s="0" t="s">
        <v>2782</v>
      </c>
      <c r="B1878" s="0" t="s">
        <v>154</v>
      </c>
      <c r="C1878" s="0" t="s">
        <v>830</v>
      </c>
      <c r="D1878" s="0" t="s">
        <v>79</v>
      </c>
      <c r="E1878" s="0" t="s">
        <v>1901</v>
      </c>
      <c r="F1878" s="0" t="n">
        <v>4</v>
      </c>
      <c r="G1878" s="0" t="n">
        <v>0</v>
      </c>
      <c r="H1878" s="0" t="s">
        <v>122</v>
      </c>
      <c r="K1878" s="0" t="s">
        <v>156</v>
      </c>
      <c r="L1878" s="0" t="s">
        <v>3321</v>
      </c>
    </row>
    <row r="1879" customFormat="false" ht="15" hidden="false" customHeight="false" outlineLevel="0" collapsed="false">
      <c r="A1879" s="0" t="s">
        <v>2782</v>
      </c>
      <c r="B1879" s="0" t="s">
        <v>154</v>
      </c>
      <c r="C1879" s="0" t="s">
        <v>830</v>
      </c>
      <c r="D1879" s="0" t="s">
        <v>82</v>
      </c>
      <c r="E1879" s="0" t="s">
        <v>1903</v>
      </c>
      <c r="F1879" s="0" t="n">
        <v>4</v>
      </c>
      <c r="G1879" s="0" t="n">
        <v>0</v>
      </c>
      <c r="H1879" s="0" t="s">
        <v>122</v>
      </c>
      <c r="K1879" s="0" t="s">
        <v>160</v>
      </c>
      <c r="L1879" s="0" t="s">
        <v>3322</v>
      </c>
    </row>
    <row r="1880" customFormat="false" ht="15" hidden="false" customHeight="false" outlineLevel="0" collapsed="false">
      <c r="A1880" s="0" t="s">
        <v>2782</v>
      </c>
      <c r="B1880" s="0" t="s">
        <v>154</v>
      </c>
      <c r="C1880" s="0" t="s">
        <v>855</v>
      </c>
      <c r="D1880" s="0" t="s">
        <v>115</v>
      </c>
      <c r="E1880" s="0" t="s">
        <v>1905</v>
      </c>
      <c r="F1880" s="0" t="n">
        <v>4</v>
      </c>
      <c r="G1880" s="0" t="n">
        <v>0</v>
      </c>
      <c r="H1880" s="0" t="s">
        <v>122</v>
      </c>
      <c r="K1880" s="0" t="s">
        <v>118</v>
      </c>
      <c r="L1880" s="0" t="s">
        <v>3323</v>
      </c>
    </row>
    <row r="1881" customFormat="false" ht="15" hidden="false" customHeight="false" outlineLevel="0" collapsed="false">
      <c r="A1881" s="0" t="s">
        <v>2782</v>
      </c>
      <c r="B1881" s="0" t="s">
        <v>154</v>
      </c>
      <c r="C1881" s="0" t="s">
        <v>855</v>
      </c>
      <c r="D1881" s="0" t="s">
        <v>120</v>
      </c>
      <c r="E1881" s="0" t="s">
        <v>1907</v>
      </c>
      <c r="F1881" s="0" t="n">
        <v>4</v>
      </c>
      <c r="G1881" s="0" t="n">
        <v>0</v>
      </c>
      <c r="H1881" s="0" t="s">
        <v>122</v>
      </c>
      <c r="K1881" s="0" t="s">
        <v>123</v>
      </c>
      <c r="L1881" s="0" t="s">
        <v>3324</v>
      </c>
    </row>
    <row r="1882" customFormat="false" ht="15" hidden="false" customHeight="false" outlineLevel="0" collapsed="false">
      <c r="A1882" s="0" t="s">
        <v>2782</v>
      </c>
      <c r="B1882" s="0" t="s">
        <v>154</v>
      </c>
      <c r="C1882" s="0" t="s">
        <v>855</v>
      </c>
      <c r="D1882" s="0" t="s">
        <v>125</v>
      </c>
      <c r="E1882" s="0" t="s">
        <v>1909</v>
      </c>
      <c r="F1882" s="0" t="n">
        <v>4</v>
      </c>
      <c r="G1882" s="0" t="n">
        <v>0</v>
      </c>
      <c r="H1882" s="0" t="s">
        <v>122</v>
      </c>
      <c r="K1882" s="0" t="s">
        <v>127</v>
      </c>
      <c r="L1882" s="0" t="s">
        <v>3325</v>
      </c>
    </row>
    <row r="1883" customFormat="false" ht="15" hidden="false" customHeight="false" outlineLevel="0" collapsed="false">
      <c r="A1883" s="0" t="s">
        <v>2782</v>
      </c>
      <c r="B1883" s="0" t="s">
        <v>154</v>
      </c>
      <c r="C1883" s="0" t="s">
        <v>855</v>
      </c>
      <c r="D1883" s="0" t="s">
        <v>53</v>
      </c>
      <c r="E1883" s="0" t="s">
        <v>1911</v>
      </c>
      <c r="F1883" s="0" t="n">
        <v>4</v>
      </c>
      <c r="G1883" s="0" t="n">
        <v>0</v>
      </c>
      <c r="H1883" s="0" t="s">
        <v>122</v>
      </c>
      <c r="K1883" s="0" t="s">
        <v>132</v>
      </c>
      <c r="L1883" s="0" t="s">
        <v>3326</v>
      </c>
    </row>
    <row r="1884" customFormat="false" ht="15" hidden="false" customHeight="false" outlineLevel="0" collapsed="false">
      <c r="A1884" s="0" t="s">
        <v>2782</v>
      </c>
      <c r="B1884" s="0" t="s">
        <v>154</v>
      </c>
      <c r="C1884" s="0" t="s">
        <v>855</v>
      </c>
      <c r="D1884" s="0" t="s">
        <v>56</v>
      </c>
      <c r="E1884" s="0" t="s">
        <v>1913</v>
      </c>
      <c r="F1884" s="0" t="n">
        <v>4</v>
      </c>
      <c r="G1884" s="0" t="n">
        <v>0</v>
      </c>
      <c r="H1884" s="0" t="s">
        <v>122</v>
      </c>
      <c r="K1884" s="0" t="s">
        <v>135</v>
      </c>
      <c r="L1884" s="0" t="s">
        <v>3327</v>
      </c>
    </row>
    <row r="1885" customFormat="false" ht="15" hidden="false" customHeight="false" outlineLevel="0" collapsed="false">
      <c r="A1885" s="0" t="s">
        <v>2782</v>
      </c>
      <c r="B1885" s="0" t="s">
        <v>154</v>
      </c>
      <c r="C1885" s="0" t="s">
        <v>855</v>
      </c>
      <c r="D1885" s="0" t="s">
        <v>59</v>
      </c>
      <c r="E1885" s="0" t="s">
        <v>1915</v>
      </c>
      <c r="F1885" s="0" t="n">
        <v>4</v>
      </c>
      <c r="G1885" s="0" t="n">
        <v>0</v>
      </c>
      <c r="H1885" s="0" t="s">
        <v>122</v>
      </c>
      <c r="K1885" s="0" t="s">
        <v>138</v>
      </c>
      <c r="L1885" s="0" t="s">
        <v>3328</v>
      </c>
    </row>
    <row r="1886" customFormat="false" ht="15" hidden="false" customHeight="false" outlineLevel="0" collapsed="false">
      <c r="A1886" s="0" t="s">
        <v>2782</v>
      </c>
      <c r="B1886" s="0" t="s">
        <v>154</v>
      </c>
      <c r="C1886" s="0" t="s">
        <v>855</v>
      </c>
      <c r="D1886" s="0" t="s">
        <v>67</v>
      </c>
      <c r="E1886" s="0" t="s">
        <v>1917</v>
      </c>
      <c r="F1886" s="0" t="n">
        <v>4</v>
      </c>
      <c r="G1886" s="0" t="n">
        <v>0</v>
      </c>
      <c r="H1886" s="0" t="s">
        <v>122</v>
      </c>
      <c r="K1886" s="0" t="s">
        <v>143</v>
      </c>
      <c r="L1886" s="0" t="s">
        <v>3329</v>
      </c>
    </row>
    <row r="1887" customFormat="false" ht="15" hidden="false" customHeight="false" outlineLevel="0" collapsed="false">
      <c r="A1887" s="0" t="s">
        <v>2782</v>
      </c>
      <c r="B1887" s="0" t="s">
        <v>154</v>
      </c>
      <c r="C1887" s="0" t="s">
        <v>855</v>
      </c>
      <c r="D1887" s="0" t="s">
        <v>70</v>
      </c>
      <c r="E1887" s="0" t="s">
        <v>1919</v>
      </c>
      <c r="F1887" s="0" t="n">
        <v>4</v>
      </c>
      <c r="G1887" s="0" t="n">
        <v>0</v>
      </c>
      <c r="H1887" s="0" t="s">
        <v>122</v>
      </c>
      <c r="K1887" s="0" t="s">
        <v>146</v>
      </c>
      <c r="L1887" s="0" t="s">
        <v>3330</v>
      </c>
    </row>
    <row r="1888" customFormat="false" ht="15" hidden="false" customHeight="false" outlineLevel="0" collapsed="false">
      <c r="A1888" s="0" t="s">
        <v>2782</v>
      </c>
      <c r="B1888" s="0" t="s">
        <v>154</v>
      </c>
      <c r="C1888" s="0" t="s">
        <v>855</v>
      </c>
      <c r="D1888" s="0" t="s">
        <v>73</v>
      </c>
      <c r="E1888" s="0" t="s">
        <v>1921</v>
      </c>
      <c r="F1888" s="0" t="n">
        <v>4</v>
      </c>
      <c r="G1888" s="0" t="n">
        <v>0</v>
      </c>
      <c r="H1888" s="0" t="s">
        <v>122</v>
      </c>
      <c r="K1888" s="0" t="s">
        <v>149</v>
      </c>
      <c r="L1888" s="0" t="s">
        <v>3331</v>
      </c>
    </row>
    <row r="1889" customFormat="false" ht="15" hidden="false" customHeight="false" outlineLevel="0" collapsed="false">
      <c r="A1889" s="0" t="s">
        <v>2782</v>
      </c>
      <c r="B1889" s="0" t="s">
        <v>154</v>
      </c>
      <c r="C1889" s="0" t="s">
        <v>855</v>
      </c>
      <c r="D1889" s="0" t="s">
        <v>76</v>
      </c>
      <c r="E1889" s="0" t="s">
        <v>1923</v>
      </c>
      <c r="F1889" s="0" t="n">
        <v>4</v>
      </c>
      <c r="G1889" s="0" t="n">
        <v>0</v>
      </c>
      <c r="H1889" s="0" t="s">
        <v>122</v>
      </c>
      <c r="K1889" s="0" t="s">
        <v>152</v>
      </c>
      <c r="L1889" s="0" t="s">
        <v>3332</v>
      </c>
    </row>
    <row r="1890" customFormat="false" ht="15" hidden="false" customHeight="false" outlineLevel="0" collapsed="false">
      <c r="A1890" s="0" t="s">
        <v>2782</v>
      </c>
      <c r="B1890" s="0" t="s">
        <v>154</v>
      </c>
      <c r="C1890" s="0" t="s">
        <v>855</v>
      </c>
      <c r="D1890" s="0" t="s">
        <v>79</v>
      </c>
      <c r="E1890" s="0" t="s">
        <v>1925</v>
      </c>
      <c r="F1890" s="0" t="n">
        <v>4</v>
      </c>
      <c r="G1890" s="0" t="n">
        <v>0</v>
      </c>
      <c r="H1890" s="0" t="s">
        <v>122</v>
      </c>
      <c r="K1890" s="0" t="s">
        <v>156</v>
      </c>
      <c r="L1890" s="0" t="s">
        <v>3333</v>
      </c>
    </row>
    <row r="1891" customFormat="false" ht="15" hidden="false" customHeight="false" outlineLevel="0" collapsed="false">
      <c r="A1891" s="0" t="s">
        <v>2782</v>
      </c>
      <c r="B1891" s="0" t="s">
        <v>154</v>
      </c>
      <c r="C1891" s="0" t="s">
        <v>855</v>
      </c>
      <c r="D1891" s="0" t="s">
        <v>82</v>
      </c>
      <c r="E1891" s="0" t="s">
        <v>1927</v>
      </c>
      <c r="F1891" s="0" t="n">
        <v>4</v>
      </c>
      <c r="G1891" s="0" t="n">
        <v>0</v>
      </c>
      <c r="H1891" s="0" t="s">
        <v>122</v>
      </c>
      <c r="K1891" s="0" t="s">
        <v>160</v>
      </c>
      <c r="L1891" s="0" t="s">
        <v>3334</v>
      </c>
    </row>
    <row r="1892" customFormat="false" ht="15" hidden="false" customHeight="false" outlineLevel="0" collapsed="false">
      <c r="A1892" s="0" t="s">
        <v>3335</v>
      </c>
      <c r="B1892" s="0" t="s">
        <v>129</v>
      </c>
      <c r="C1892" s="0" t="s">
        <v>114</v>
      </c>
      <c r="D1892" s="0" t="s">
        <v>528</v>
      </c>
      <c r="E1892" s="0" t="s">
        <v>1232</v>
      </c>
      <c r="F1892" s="0" t="n">
        <v>5</v>
      </c>
      <c r="G1892" s="0" t="n">
        <v>0</v>
      </c>
      <c r="H1892" s="0" t="s">
        <v>122</v>
      </c>
      <c r="K1892" s="0" t="s">
        <v>118</v>
      </c>
      <c r="L1892" s="0" t="s">
        <v>3336</v>
      </c>
    </row>
    <row r="1893" customFormat="false" ht="15" hidden="false" customHeight="false" outlineLevel="0" collapsed="false">
      <c r="A1893" s="0" t="s">
        <v>3335</v>
      </c>
      <c r="B1893" s="0" t="s">
        <v>129</v>
      </c>
      <c r="C1893" s="0" t="s">
        <v>114</v>
      </c>
      <c r="D1893" s="0" t="s">
        <v>531</v>
      </c>
      <c r="E1893" s="0" t="s">
        <v>1234</v>
      </c>
      <c r="F1893" s="0" t="n">
        <v>5</v>
      </c>
      <c r="G1893" s="0" t="n">
        <v>0</v>
      </c>
      <c r="H1893" s="0" t="s">
        <v>122</v>
      </c>
      <c r="K1893" s="0" t="s">
        <v>123</v>
      </c>
      <c r="L1893" s="0" t="s">
        <v>3337</v>
      </c>
    </row>
    <row r="1894" customFormat="false" ht="15" hidden="false" customHeight="false" outlineLevel="0" collapsed="false">
      <c r="A1894" s="0" t="s">
        <v>3335</v>
      </c>
      <c r="B1894" s="0" t="s">
        <v>129</v>
      </c>
      <c r="C1894" s="0" t="s">
        <v>114</v>
      </c>
      <c r="D1894" s="0" t="s">
        <v>534</v>
      </c>
      <c r="E1894" s="0" t="s">
        <v>1237</v>
      </c>
      <c r="F1894" s="0" t="n">
        <v>5</v>
      </c>
      <c r="G1894" s="0" t="n">
        <v>0</v>
      </c>
      <c r="H1894" s="0" t="s">
        <v>122</v>
      </c>
      <c r="K1894" s="0" t="s">
        <v>127</v>
      </c>
      <c r="L1894" s="0" t="s">
        <v>3338</v>
      </c>
    </row>
    <row r="1895" customFormat="false" ht="15" hidden="false" customHeight="false" outlineLevel="0" collapsed="false">
      <c r="A1895" s="0" t="s">
        <v>3335</v>
      </c>
      <c r="B1895" s="0" t="s">
        <v>129</v>
      </c>
      <c r="C1895" s="0" t="s">
        <v>114</v>
      </c>
      <c r="D1895" s="0" t="s">
        <v>52</v>
      </c>
      <c r="E1895" s="0" t="s">
        <v>1239</v>
      </c>
      <c r="F1895" s="0" t="n">
        <v>5</v>
      </c>
      <c r="G1895" s="0" t="n">
        <v>0</v>
      </c>
      <c r="H1895" s="0" t="s">
        <v>122</v>
      </c>
      <c r="K1895" s="0" t="s">
        <v>132</v>
      </c>
      <c r="L1895" s="0" t="s">
        <v>3339</v>
      </c>
    </row>
    <row r="1896" customFormat="false" ht="15" hidden="false" customHeight="false" outlineLevel="0" collapsed="false">
      <c r="A1896" s="0" t="s">
        <v>3335</v>
      </c>
      <c r="B1896" s="0" t="s">
        <v>129</v>
      </c>
      <c r="C1896" s="0" t="s">
        <v>114</v>
      </c>
      <c r="D1896" s="0" t="s">
        <v>55</v>
      </c>
      <c r="E1896" s="0" t="s">
        <v>1241</v>
      </c>
      <c r="F1896" s="0" t="n">
        <v>5</v>
      </c>
      <c r="G1896" s="0" t="n">
        <v>0</v>
      </c>
      <c r="H1896" s="0" t="s">
        <v>122</v>
      </c>
      <c r="K1896" s="0" t="s">
        <v>135</v>
      </c>
      <c r="L1896" s="0" t="s">
        <v>3340</v>
      </c>
    </row>
    <row r="1897" customFormat="false" ht="15" hidden="false" customHeight="false" outlineLevel="0" collapsed="false">
      <c r="A1897" s="0" t="s">
        <v>3335</v>
      </c>
      <c r="B1897" s="0" t="s">
        <v>129</v>
      </c>
      <c r="C1897" s="0" t="s">
        <v>114</v>
      </c>
      <c r="D1897" s="0" t="s">
        <v>58</v>
      </c>
      <c r="E1897" s="0" t="s">
        <v>1243</v>
      </c>
      <c r="F1897" s="0" t="n">
        <v>5</v>
      </c>
      <c r="G1897" s="0" t="n">
        <v>0</v>
      </c>
      <c r="H1897" s="0" t="s">
        <v>122</v>
      </c>
      <c r="K1897" s="0" t="s">
        <v>138</v>
      </c>
      <c r="L1897" s="0" t="s">
        <v>3341</v>
      </c>
    </row>
    <row r="1898" customFormat="false" ht="15" hidden="false" customHeight="false" outlineLevel="0" collapsed="false">
      <c r="A1898" s="0" t="s">
        <v>3335</v>
      </c>
      <c r="B1898" s="0" t="s">
        <v>129</v>
      </c>
      <c r="C1898" s="0" t="s">
        <v>114</v>
      </c>
      <c r="D1898" s="0" t="s">
        <v>65</v>
      </c>
      <c r="E1898" s="0" t="s">
        <v>1245</v>
      </c>
      <c r="F1898" s="0" t="n">
        <v>5</v>
      </c>
      <c r="G1898" s="0" t="n">
        <v>0</v>
      </c>
      <c r="H1898" s="0" t="s">
        <v>122</v>
      </c>
      <c r="K1898" s="0" t="s">
        <v>143</v>
      </c>
      <c r="L1898" s="0" t="s">
        <v>3342</v>
      </c>
    </row>
    <row r="1899" customFormat="false" ht="15" hidden="false" customHeight="false" outlineLevel="0" collapsed="false">
      <c r="A1899" s="0" t="s">
        <v>3335</v>
      </c>
      <c r="B1899" s="0" t="s">
        <v>129</v>
      </c>
      <c r="C1899" s="0" t="s">
        <v>114</v>
      </c>
      <c r="D1899" s="0" t="s">
        <v>69</v>
      </c>
      <c r="E1899" s="0" t="s">
        <v>1247</v>
      </c>
      <c r="F1899" s="0" t="n">
        <v>5</v>
      </c>
      <c r="G1899" s="0" t="n">
        <v>0</v>
      </c>
      <c r="H1899" s="0" t="s">
        <v>122</v>
      </c>
      <c r="K1899" s="0" t="s">
        <v>146</v>
      </c>
      <c r="L1899" s="0" t="s">
        <v>3343</v>
      </c>
    </row>
    <row r="1900" customFormat="false" ht="15" hidden="false" customHeight="false" outlineLevel="0" collapsed="false">
      <c r="A1900" s="0" t="s">
        <v>3335</v>
      </c>
      <c r="B1900" s="0" t="s">
        <v>129</v>
      </c>
      <c r="C1900" s="0" t="s">
        <v>114</v>
      </c>
      <c r="D1900" s="0" t="s">
        <v>72</v>
      </c>
      <c r="E1900" s="0" t="s">
        <v>1249</v>
      </c>
      <c r="F1900" s="0" t="n">
        <v>5</v>
      </c>
      <c r="G1900" s="0" t="n">
        <v>0</v>
      </c>
      <c r="H1900" s="0" t="s">
        <v>122</v>
      </c>
      <c r="K1900" s="0" t="s">
        <v>149</v>
      </c>
      <c r="L1900" s="0" t="s">
        <v>3344</v>
      </c>
    </row>
    <row r="1901" customFormat="false" ht="15" hidden="false" customHeight="false" outlineLevel="0" collapsed="false">
      <c r="A1901" s="0" t="s">
        <v>3335</v>
      </c>
      <c r="B1901" s="0" t="s">
        <v>129</v>
      </c>
      <c r="C1901" s="0" t="s">
        <v>114</v>
      </c>
      <c r="D1901" s="0" t="s">
        <v>75</v>
      </c>
      <c r="E1901" s="0" t="s">
        <v>1251</v>
      </c>
      <c r="F1901" s="0" t="n">
        <v>5</v>
      </c>
      <c r="G1901" s="0" t="n">
        <v>0</v>
      </c>
      <c r="H1901" s="0" t="s">
        <v>122</v>
      </c>
      <c r="K1901" s="0" t="s">
        <v>152</v>
      </c>
      <c r="L1901" s="0" t="s">
        <v>3345</v>
      </c>
    </row>
    <row r="1902" customFormat="false" ht="15" hidden="false" customHeight="false" outlineLevel="0" collapsed="false">
      <c r="A1902" s="0" t="s">
        <v>3335</v>
      </c>
      <c r="B1902" s="0" t="s">
        <v>129</v>
      </c>
      <c r="C1902" s="0" t="s">
        <v>114</v>
      </c>
      <c r="D1902" s="0" t="s">
        <v>78</v>
      </c>
      <c r="E1902" s="0" t="s">
        <v>1253</v>
      </c>
      <c r="F1902" s="0" t="n">
        <v>5</v>
      </c>
      <c r="G1902" s="0" t="n">
        <v>0</v>
      </c>
      <c r="H1902" s="0" t="s">
        <v>122</v>
      </c>
      <c r="K1902" s="0" t="s">
        <v>156</v>
      </c>
      <c r="L1902" s="0" t="s">
        <v>3346</v>
      </c>
    </row>
    <row r="1903" customFormat="false" ht="15" hidden="false" customHeight="false" outlineLevel="0" collapsed="false">
      <c r="A1903" s="0" t="s">
        <v>3335</v>
      </c>
      <c r="B1903" s="0" t="s">
        <v>129</v>
      </c>
      <c r="C1903" s="0" t="s">
        <v>114</v>
      </c>
      <c r="D1903" s="0" t="s">
        <v>81</v>
      </c>
      <c r="E1903" s="0" t="s">
        <v>1255</v>
      </c>
      <c r="F1903" s="0" t="n">
        <v>5</v>
      </c>
      <c r="G1903" s="0" t="n">
        <v>0</v>
      </c>
      <c r="H1903" s="0" t="s">
        <v>122</v>
      </c>
      <c r="K1903" s="0" t="s">
        <v>160</v>
      </c>
      <c r="L1903" s="0" t="s">
        <v>3347</v>
      </c>
    </row>
    <row r="1904" customFormat="false" ht="15" hidden="false" customHeight="false" outlineLevel="0" collapsed="false">
      <c r="A1904" s="0" t="s">
        <v>3335</v>
      </c>
      <c r="B1904" s="0" t="s">
        <v>129</v>
      </c>
      <c r="C1904" s="0" t="s">
        <v>162</v>
      </c>
      <c r="D1904" s="0" t="s">
        <v>528</v>
      </c>
      <c r="E1904" s="0" t="s">
        <v>1257</v>
      </c>
      <c r="F1904" s="0" t="n">
        <v>5</v>
      </c>
      <c r="G1904" s="0" t="n">
        <v>0</v>
      </c>
      <c r="H1904" s="0" t="s">
        <v>122</v>
      </c>
      <c r="K1904" s="0" t="s">
        <v>118</v>
      </c>
      <c r="L1904" s="0" t="s">
        <v>3348</v>
      </c>
    </row>
    <row r="1905" customFormat="false" ht="15" hidden="false" customHeight="false" outlineLevel="0" collapsed="false">
      <c r="A1905" s="0" t="s">
        <v>3335</v>
      </c>
      <c r="B1905" s="0" t="s">
        <v>129</v>
      </c>
      <c r="C1905" s="0" t="s">
        <v>162</v>
      </c>
      <c r="D1905" s="0" t="s">
        <v>531</v>
      </c>
      <c r="E1905" s="0" t="s">
        <v>1259</v>
      </c>
      <c r="F1905" s="0" t="n">
        <v>5</v>
      </c>
      <c r="G1905" s="0" t="n">
        <v>2</v>
      </c>
      <c r="H1905" s="0" t="s">
        <v>122</v>
      </c>
      <c r="I1905" s="0" t="s">
        <v>3349</v>
      </c>
      <c r="K1905" s="0" t="s">
        <v>123</v>
      </c>
      <c r="L1905" s="0" t="s">
        <v>3350</v>
      </c>
    </row>
    <row r="1906" customFormat="false" ht="15" hidden="false" customHeight="false" outlineLevel="0" collapsed="false">
      <c r="A1906" s="0" t="s">
        <v>3335</v>
      </c>
      <c r="B1906" s="0" t="s">
        <v>129</v>
      </c>
      <c r="C1906" s="0" t="s">
        <v>162</v>
      </c>
      <c r="D1906" s="0" t="s">
        <v>534</v>
      </c>
      <c r="E1906" s="0" t="s">
        <v>1261</v>
      </c>
      <c r="F1906" s="0" t="n">
        <v>5</v>
      </c>
      <c r="G1906" s="0" t="n">
        <v>0</v>
      </c>
      <c r="H1906" s="0" t="s">
        <v>122</v>
      </c>
      <c r="K1906" s="0" t="s">
        <v>127</v>
      </c>
      <c r="L1906" s="0" t="s">
        <v>3351</v>
      </c>
    </row>
    <row r="1907" customFormat="false" ht="15" hidden="false" customHeight="false" outlineLevel="0" collapsed="false">
      <c r="A1907" s="0" t="s">
        <v>3335</v>
      </c>
      <c r="B1907" s="0" t="s">
        <v>129</v>
      </c>
      <c r="C1907" s="0" t="s">
        <v>162</v>
      </c>
      <c r="D1907" s="0" t="s">
        <v>52</v>
      </c>
      <c r="E1907" s="0" t="s">
        <v>1264</v>
      </c>
      <c r="F1907" s="0" t="n">
        <v>5</v>
      </c>
      <c r="G1907" s="0" t="n">
        <v>0</v>
      </c>
      <c r="H1907" s="0" t="s">
        <v>122</v>
      </c>
      <c r="K1907" s="0" t="s">
        <v>132</v>
      </c>
      <c r="L1907" s="0" t="s">
        <v>3352</v>
      </c>
    </row>
    <row r="1908" customFormat="false" ht="15" hidden="false" customHeight="false" outlineLevel="0" collapsed="false">
      <c r="A1908" s="0" t="s">
        <v>3335</v>
      </c>
      <c r="B1908" s="0" t="s">
        <v>129</v>
      </c>
      <c r="C1908" s="0" t="s">
        <v>162</v>
      </c>
      <c r="D1908" s="0" t="s">
        <v>55</v>
      </c>
      <c r="E1908" s="0" t="s">
        <v>1266</v>
      </c>
      <c r="F1908" s="0" t="n">
        <v>5</v>
      </c>
      <c r="G1908" s="0" t="n">
        <v>0</v>
      </c>
      <c r="H1908" s="0" t="s">
        <v>122</v>
      </c>
      <c r="K1908" s="0" t="s">
        <v>135</v>
      </c>
      <c r="L1908" s="0" t="s">
        <v>3353</v>
      </c>
    </row>
    <row r="1909" customFormat="false" ht="15" hidden="false" customHeight="false" outlineLevel="0" collapsed="false">
      <c r="A1909" s="0" t="s">
        <v>3335</v>
      </c>
      <c r="B1909" s="0" t="s">
        <v>129</v>
      </c>
      <c r="C1909" s="0" t="s">
        <v>162</v>
      </c>
      <c r="D1909" s="0" t="s">
        <v>58</v>
      </c>
      <c r="E1909" s="0" t="s">
        <v>1268</v>
      </c>
      <c r="F1909" s="0" t="n">
        <v>5</v>
      </c>
      <c r="G1909" s="0" t="n">
        <v>0</v>
      </c>
      <c r="H1909" s="0" t="s">
        <v>122</v>
      </c>
      <c r="K1909" s="0" t="s">
        <v>138</v>
      </c>
      <c r="L1909" s="0" t="s">
        <v>3354</v>
      </c>
    </row>
    <row r="1910" customFormat="false" ht="15" hidden="false" customHeight="false" outlineLevel="0" collapsed="false">
      <c r="A1910" s="0" t="s">
        <v>3335</v>
      </c>
      <c r="B1910" s="0" t="s">
        <v>129</v>
      </c>
      <c r="C1910" s="0" t="s">
        <v>162</v>
      </c>
      <c r="D1910" s="0" t="s">
        <v>65</v>
      </c>
      <c r="E1910" s="0" t="s">
        <v>1270</v>
      </c>
      <c r="F1910" s="0" t="n">
        <v>5</v>
      </c>
      <c r="G1910" s="0" t="n">
        <v>0</v>
      </c>
      <c r="H1910" s="0" t="s">
        <v>122</v>
      </c>
      <c r="K1910" s="0" t="s">
        <v>143</v>
      </c>
      <c r="L1910" s="0" t="s">
        <v>3355</v>
      </c>
    </row>
    <row r="1911" customFormat="false" ht="15" hidden="false" customHeight="false" outlineLevel="0" collapsed="false">
      <c r="A1911" s="0" t="s">
        <v>3335</v>
      </c>
      <c r="B1911" s="0" t="s">
        <v>129</v>
      </c>
      <c r="C1911" s="0" t="s">
        <v>162</v>
      </c>
      <c r="D1911" s="0" t="s">
        <v>69</v>
      </c>
      <c r="E1911" s="0" t="s">
        <v>1272</v>
      </c>
      <c r="F1911" s="0" t="n">
        <v>5</v>
      </c>
      <c r="G1911" s="0" t="n">
        <v>1</v>
      </c>
      <c r="H1911" s="0" t="s">
        <v>122</v>
      </c>
      <c r="I1911" s="0" t="s">
        <v>3349</v>
      </c>
      <c r="K1911" s="0" t="s">
        <v>146</v>
      </c>
      <c r="L1911" s="0" t="s">
        <v>3356</v>
      </c>
    </row>
    <row r="1912" customFormat="false" ht="15" hidden="false" customHeight="false" outlineLevel="0" collapsed="false">
      <c r="A1912" s="0" t="s">
        <v>3335</v>
      </c>
      <c r="B1912" s="0" t="s">
        <v>129</v>
      </c>
      <c r="C1912" s="0" t="s">
        <v>162</v>
      </c>
      <c r="D1912" s="0" t="s">
        <v>72</v>
      </c>
      <c r="E1912" s="0" t="s">
        <v>1274</v>
      </c>
      <c r="F1912" s="0" t="n">
        <v>5</v>
      </c>
      <c r="G1912" s="0" t="n">
        <v>0</v>
      </c>
      <c r="H1912" s="0" t="s">
        <v>122</v>
      </c>
      <c r="K1912" s="0" t="s">
        <v>149</v>
      </c>
      <c r="L1912" s="0" t="s">
        <v>3357</v>
      </c>
    </row>
    <row r="1913" customFormat="false" ht="15" hidden="false" customHeight="false" outlineLevel="0" collapsed="false">
      <c r="A1913" s="0" t="s">
        <v>3335</v>
      </c>
      <c r="B1913" s="0" t="s">
        <v>129</v>
      </c>
      <c r="C1913" s="0" t="s">
        <v>162</v>
      </c>
      <c r="D1913" s="0" t="s">
        <v>75</v>
      </c>
      <c r="E1913" s="0" t="s">
        <v>1276</v>
      </c>
      <c r="F1913" s="0" t="n">
        <v>5</v>
      </c>
      <c r="G1913" s="0" t="n">
        <v>0</v>
      </c>
      <c r="H1913" s="0" t="s">
        <v>122</v>
      </c>
      <c r="K1913" s="0" t="s">
        <v>152</v>
      </c>
      <c r="L1913" s="0" t="s">
        <v>3358</v>
      </c>
    </row>
    <row r="1914" customFormat="false" ht="15" hidden="false" customHeight="false" outlineLevel="0" collapsed="false">
      <c r="A1914" s="0" t="s">
        <v>3335</v>
      </c>
      <c r="B1914" s="0" t="s">
        <v>129</v>
      </c>
      <c r="C1914" s="0" t="s">
        <v>162</v>
      </c>
      <c r="D1914" s="0" t="s">
        <v>78</v>
      </c>
      <c r="E1914" s="0" t="s">
        <v>1278</v>
      </c>
      <c r="F1914" s="0" t="n">
        <v>5</v>
      </c>
      <c r="G1914" s="0" t="n">
        <v>0</v>
      </c>
      <c r="H1914" s="0" t="s">
        <v>122</v>
      </c>
      <c r="K1914" s="0" t="s">
        <v>156</v>
      </c>
      <c r="L1914" s="0" t="s">
        <v>3359</v>
      </c>
    </row>
    <row r="1915" customFormat="false" ht="15" hidden="false" customHeight="false" outlineLevel="0" collapsed="false">
      <c r="A1915" s="0" t="s">
        <v>3335</v>
      </c>
      <c r="B1915" s="0" t="s">
        <v>129</v>
      </c>
      <c r="C1915" s="0" t="s">
        <v>162</v>
      </c>
      <c r="D1915" s="0" t="s">
        <v>81</v>
      </c>
      <c r="E1915" s="0" t="s">
        <v>1280</v>
      </c>
      <c r="F1915" s="0" t="n">
        <v>5</v>
      </c>
      <c r="G1915" s="0" t="n">
        <v>0</v>
      </c>
      <c r="H1915" s="0" t="s">
        <v>122</v>
      </c>
      <c r="K1915" s="0" t="s">
        <v>160</v>
      </c>
      <c r="L1915" s="0" t="s">
        <v>3360</v>
      </c>
    </row>
    <row r="1916" customFormat="false" ht="15" hidden="false" customHeight="false" outlineLevel="0" collapsed="false">
      <c r="A1916" s="0" t="s">
        <v>3335</v>
      </c>
      <c r="B1916" s="0" t="s">
        <v>129</v>
      </c>
      <c r="C1916" s="0" t="s">
        <v>189</v>
      </c>
      <c r="D1916" s="0" t="s">
        <v>528</v>
      </c>
      <c r="E1916" s="0" t="s">
        <v>1282</v>
      </c>
      <c r="F1916" s="0" t="n">
        <v>5</v>
      </c>
      <c r="G1916" s="0" t="n">
        <v>0</v>
      </c>
      <c r="H1916" s="0" t="s">
        <v>122</v>
      </c>
      <c r="K1916" s="0" t="s">
        <v>118</v>
      </c>
      <c r="L1916" s="0" t="s">
        <v>3361</v>
      </c>
    </row>
    <row r="1917" customFormat="false" ht="15" hidden="false" customHeight="false" outlineLevel="0" collapsed="false">
      <c r="A1917" s="0" t="s">
        <v>3335</v>
      </c>
      <c r="B1917" s="0" t="s">
        <v>129</v>
      </c>
      <c r="C1917" s="0" t="s">
        <v>189</v>
      </c>
      <c r="D1917" s="0" t="s">
        <v>531</v>
      </c>
      <c r="E1917" s="0" t="s">
        <v>1284</v>
      </c>
      <c r="F1917" s="0" t="n">
        <v>5</v>
      </c>
      <c r="G1917" s="0" t="n">
        <v>0</v>
      </c>
      <c r="H1917" s="0" t="s">
        <v>122</v>
      </c>
      <c r="K1917" s="0" t="s">
        <v>123</v>
      </c>
      <c r="L1917" s="0" t="s">
        <v>3362</v>
      </c>
    </row>
    <row r="1918" customFormat="false" ht="15" hidden="false" customHeight="false" outlineLevel="0" collapsed="false">
      <c r="A1918" s="0" t="s">
        <v>3335</v>
      </c>
      <c r="B1918" s="0" t="s">
        <v>129</v>
      </c>
      <c r="C1918" s="0" t="s">
        <v>189</v>
      </c>
      <c r="D1918" s="0" t="s">
        <v>534</v>
      </c>
      <c r="E1918" s="0" t="s">
        <v>1286</v>
      </c>
      <c r="F1918" s="0" t="n">
        <v>5</v>
      </c>
      <c r="G1918" s="0" t="n">
        <v>5</v>
      </c>
      <c r="H1918" s="0" t="s">
        <v>117</v>
      </c>
      <c r="I1918" s="0" t="s">
        <v>3363</v>
      </c>
      <c r="K1918" s="0" t="s">
        <v>127</v>
      </c>
      <c r="L1918" s="0" t="s">
        <v>3364</v>
      </c>
    </row>
    <row r="1919" customFormat="false" ht="15" hidden="false" customHeight="false" outlineLevel="0" collapsed="false">
      <c r="A1919" s="0" t="s">
        <v>3335</v>
      </c>
      <c r="B1919" s="0" t="s">
        <v>129</v>
      </c>
      <c r="C1919" s="0" t="s">
        <v>189</v>
      </c>
      <c r="D1919" s="0" t="s">
        <v>52</v>
      </c>
      <c r="E1919" s="0" t="s">
        <v>1289</v>
      </c>
      <c r="F1919" s="0" t="n">
        <v>5</v>
      </c>
      <c r="G1919" s="0" t="n">
        <v>0</v>
      </c>
      <c r="H1919" s="0" t="s">
        <v>122</v>
      </c>
      <c r="K1919" s="0" t="s">
        <v>132</v>
      </c>
      <c r="L1919" s="0" t="s">
        <v>3365</v>
      </c>
    </row>
    <row r="1920" customFormat="false" ht="15" hidden="false" customHeight="false" outlineLevel="0" collapsed="false">
      <c r="A1920" s="0" t="s">
        <v>3335</v>
      </c>
      <c r="B1920" s="0" t="s">
        <v>129</v>
      </c>
      <c r="C1920" s="0" t="s">
        <v>189</v>
      </c>
      <c r="D1920" s="0" t="s">
        <v>55</v>
      </c>
      <c r="E1920" s="0" t="s">
        <v>1291</v>
      </c>
      <c r="F1920" s="0" t="n">
        <v>5</v>
      </c>
      <c r="G1920" s="0" t="n">
        <v>0</v>
      </c>
      <c r="H1920" s="0" t="s">
        <v>122</v>
      </c>
      <c r="K1920" s="0" t="s">
        <v>135</v>
      </c>
      <c r="L1920" s="0" t="s">
        <v>3366</v>
      </c>
    </row>
    <row r="1921" customFormat="false" ht="15" hidden="false" customHeight="false" outlineLevel="0" collapsed="false">
      <c r="A1921" s="0" t="s">
        <v>3335</v>
      </c>
      <c r="B1921" s="0" t="s">
        <v>129</v>
      </c>
      <c r="C1921" s="0" t="s">
        <v>189</v>
      </c>
      <c r="D1921" s="0" t="s">
        <v>58</v>
      </c>
      <c r="E1921" s="0" t="s">
        <v>1294</v>
      </c>
      <c r="F1921" s="0" t="n">
        <v>5</v>
      </c>
      <c r="G1921" s="0" t="n">
        <v>0</v>
      </c>
      <c r="H1921" s="0" t="s">
        <v>122</v>
      </c>
      <c r="K1921" s="0" t="s">
        <v>138</v>
      </c>
      <c r="L1921" s="0" t="s">
        <v>3367</v>
      </c>
    </row>
    <row r="1922" customFormat="false" ht="15" hidden="false" customHeight="false" outlineLevel="0" collapsed="false">
      <c r="A1922" s="0" t="s">
        <v>3335</v>
      </c>
      <c r="B1922" s="0" t="s">
        <v>129</v>
      </c>
      <c r="C1922" s="0" t="s">
        <v>189</v>
      </c>
      <c r="D1922" s="0" t="s">
        <v>65</v>
      </c>
      <c r="E1922" s="0" t="s">
        <v>1296</v>
      </c>
      <c r="F1922" s="0" t="n">
        <v>5</v>
      </c>
      <c r="G1922" s="0" t="n">
        <v>0</v>
      </c>
      <c r="H1922" s="0" t="s">
        <v>122</v>
      </c>
      <c r="K1922" s="0" t="s">
        <v>143</v>
      </c>
      <c r="L1922" s="0" t="s">
        <v>3368</v>
      </c>
    </row>
    <row r="1923" customFormat="false" ht="15" hidden="false" customHeight="false" outlineLevel="0" collapsed="false">
      <c r="A1923" s="0" t="s">
        <v>3335</v>
      </c>
      <c r="B1923" s="0" t="s">
        <v>129</v>
      </c>
      <c r="C1923" s="0" t="s">
        <v>189</v>
      </c>
      <c r="D1923" s="0" t="s">
        <v>69</v>
      </c>
      <c r="E1923" s="0" t="s">
        <v>1298</v>
      </c>
      <c r="F1923" s="0" t="n">
        <v>5</v>
      </c>
      <c r="G1923" s="0" t="n">
        <v>0</v>
      </c>
      <c r="H1923" s="0" t="s">
        <v>122</v>
      </c>
      <c r="K1923" s="0" t="s">
        <v>146</v>
      </c>
      <c r="L1923" s="0" t="s">
        <v>3369</v>
      </c>
    </row>
    <row r="1924" customFormat="false" ht="15" hidden="false" customHeight="false" outlineLevel="0" collapsed="false">
      <c r="A1924" s="0" t="s">
        <v>3335</v>
      </c>
      <c r="B1924" s="0" t="s">
        <v>129</v>
      </c>
      <c r="C1924" s="0" t="s">
        <v>189</v>
      </c>
      <c r="D1924" s="0" t="s">
        <v>72</v>
      </c>
      <c r="E1924" s="0" t="s">
        <v>1300</v>
      </c>
      <c r="F1924" s="0" t="n">
        <v>5</v>
      </c>
      <c r="G1924" s="0" t="n">
        <v>0</v>
      </c>
      <c r="H1924" s="0" t="s">
        <v>122</v>
      </c>
      <c r="K1924" s="0" t="s">
        <v>149</v>
      </c>
      <c r="L1924" s="0" t="s">
        <v>3370</v>
      </c>
    </row>
    <row r="1925" customFormat="false" ht="15" hidden="false" customHeight="false" outlineLevel="0" collapsed="false">
      <c r="A1925" s="0" t="s">
        <v>3335</v>
      </c>
      <c r="B1925" s="0" t="s">
        <v>129</v>
      </c>
      <c r="C1925" s="0" t="s">
        <v>189</v>
      </c>
      <c r="D1925" s="0" t="s">
        <v>75</v>
      </c>
      <c r="E1925" s="0" t="s">
        <v>1302</v>
      </c>
      <c r="F1925" s="0" t="n">
        <v>5</v>
      </c>
      <c r="G1925" s="0" t="n">
        <v>0</v>
      </c>
      <c r="H1925" s="0" t="s">
        <v>122</v>
      </c>
      <c r="K1925" s="0" t="s">
        <v>152</v>
      </c>
      <c r="L1925" s="0" t="s">
        <v>3371</v>
      </c>
    </row>
    <row r="1926" customFormat="false" ht="15" hidden="false" customHeight="false" outlineLevel="0" collapsed="false">
      <c r="A1926" s="0" t="s">
        <v>3335</v>
      </c>
      <c r="B1926" s="0" t="s">
        <v>129</v>
      </c>
      <c r="C1926" s="0" t="s">
        <v>189</v>
      </c>
      <c r="D1926" s="0" t="s">
        <v>78</v>
      </c>
      <c r="E1926" s="0" t="s">
        <v>1304</v>
      </c>
      <c r="F1926" s="0" t="n">
        <v>5</v>
      </c>
      <c r="G1926" s="0" t="n">
        <v>0</v>
      </c>
      <c r="H1926" s="0" t="s">
        <v>122</v>
      </c>
      <c r="K1926" s="0" t="s">
        <v>156</v>
      </c>
      <c r="L1926" s="0" t="s">
        <v>3372</v>
      </c>
    </row>
    <row r="1927" customFormat="false" ht="15" hidden="false" customHeight="false" outlineLevel="0" collapsed="false">
      <c r="A1927" s="0" t="s">
        <v>3335</v>
      </c>
      <c r="B1927" s="0" t="s">
        <v>129</v>
      </c>
      <c r="C1927" s="0" t="s">
        <v>189</v>
      </c>
      <c r="D1927" s="0" t="s">
        <v>81</v>
      </c>
      <c r="E1927" s="0" t="s">
        <v>1306</v>
      </c>
      <c r="F1927" s="0" t="n">
        <v>5</v>
      </c>
      <c r="G1927" s="0" t="n">
        <v>0</v>
      </c>
      <c r="H1927" s="0" t="s">
        <v>122</v>
      </c>
      <c r="K1927" s="0" t="s">
        <v>160</v>
      </c>
      <c r="L1927" s="0" t="s">
        <v>3373</v>
      </c>
    </row>
    <row r="1928" customFormat="false" ht="15" hidden="false" customHeight="false" outlineLevel="0" collapsed="false">
      <c r="A1928" s="0" t="s">
        <v>3335</v>
      </c>
      <c r="B1928" s="0" t="s">
        <v>129</v>
      </c>
      <c r="C1928" s="0" t="s">
        <v>215</v>
      </c>
      <c r="D1928" s="0" t="s">
        <v>528</v>
      </c>
      <c r="E1928" s="0" t="s">
        <v>1308</v>
      </c>
      <c r="F1928" s="0" t="n">
        <v>5</v>
      </c>
      <c r="G1928" s="0" t="n">
        <v>0</v>
      </c>
      <c r="H1928" s="0" t="s">
        <v>122</v>
      </c>
      <c r="K1928" s="0" t="s">
        <v>118</v>
      </c>
      <c r="L1928" s="0" t="s">
        <v>3374</v>
      </c>
    </row>
    <row r="1929" customFormat="false" ht="15" hidden="false" customHeight="false" outlineLevel="0" collapsed="false">
      <c r="A1929" s="0" t="s">
        <v>3335</v>
      </c>
      <c r="B1929" s="0" t="s">
        <v>129</v>
      </c>
      <c r="C1929" s="0" t="s">
        <v>215</v>
      </c>
      <c r="D1929" s="0" t="s">
        <v>531</v>
      </c>
      <c r="E1929" s="0" t="s">
        <v>1310</v>
      </c>
      <c r="F1929" s="0" t="n">
        <v>5</v>
      </c>
      <c r="G1929" s="0" t="n">
        <v>0</v>
      </c>
      <c r="H1929" s="0" t="s">
        <v>122</v>
      </c>
      <c r="K1929" s="0" t="s">
        <v>123</v>
      </c>
      <c r="L1929" s="0" t="s">
        <v>3375</v>
      </c>
    </row>
    <row r="1930" customFormat="false" ht="15" hidden="false" customHeight="false" outlineLevel="0" collapsed="false">
      <c r="A1930" s="0" t="s">
        <v>3335</v>
      </c>
      <c r="B1930" s="0" t="s">
        <v>129</v>
      </c>
      <c r="C1930" s="0" t="s">
        <v>215</v>
      </c>
      <c r="D1930" s="0" t="s">
        <v>534</v>
      </c>
      <c r="E1930" s="0" t="s">
        <v>1312</v>
      </c>
      <c r="F1930" s="0" t="n">
        <v>5</v>
      </c>
      <c r="G1930" s="0" t="n">
        <v>0</v>
      </c>
      <c r="H1930" s="0" t="s">
        <v>122</v>
      </c>
      <c r="K1930" s="0" t="s">
        <v>127</v>
      </c>
      <c r="L1930" s="0" t="s">
        <v>3376</v>
      </c>
    </row>
    <row r="1931" customFormat="false" ht="15" hidden="false" customHeight="false" outlineLevel="0" collapsed="false">
      <c r="A1931" s="0" t="s">
        <v>3335</v>
      </c>
      <c r="B1931" s="0" t="s">
        <v>129</v>
      </c>
      <c r="C1931" s="0" t="s">
        <v>215</v>
      </c>
      <c r="D1931" s="0" t="s">
        <v>52</v>
      </c>
      <c r="E1931" s="0" t="s">
        <v>1314</v>
      </c>
      <c r="F1931" s="0" t="n">
        <v>5</v>
      </c>
      <c r="G1931" s="0" t="n">
        <v>1</v>
      </c>
      <c r="H1931" s="0" t="s">
        <v>122</v>
      </c>
      <c r="I1931" s="0" t="s">
        <v>3377</v>
      </c>
      <c r="K1931" s="0" t="s">
        <v>132</v>
      </c>
      <c r="L1931" s="0" t="s">
        <v>3378</v>
      </c>
    </row>
    <row r="1932" customFormat="false" ht="15" hidden="false" customHeight="false" outlineLevel="0" collapsed="false">
      <c r="A1932" s="0" t="s">
        <v>3335</v>
      </c>
      <c r="B1932" s="0" t="s">
        <v>129</v>
      </c>
      <c r="C1932" s="0" t="s">
        <v>215</v>
      </c>
      <c r="D1932" s="0" t="s">
        <v>55</v>
      </c>
      <c r="E1932" s="0" t="s">
        <v>1316</v>
      </c>
      <c r="F1932" s="0" t="n">
        <v>5</v>
      </c>
      <c r="G1932" s="0" t="n">
        <v>0</v>
      </c>
      <c r="H1932" s="0" t="s">
        <v>122</v>
      </c>
      <c r="K1932" s="0" t="s">
        <v>135</v>
      </c>
      <c r="L1932" s="0" t="s">
        <v>3379</v>
      </c>
    </row>
    <row r="1933" customFormat="false" ht="15" hidden="false" customHeight="false" outlineLevel="0" collapsed="false">
      <c r="A1933" s="0" t="s">
        <v>3335</v>
      </c>
      <c r="B1933" s="0" t="s">
        <v>129</v>
      </c>
      <c r="C1933" s="0" t="s">
        <v>215</v>
      </c>
      <c r="D1933" s="0" t="s">
        <v>58</v>
      </c>
      <c r="E1933" s="0" t="s">
        <v>1318</v>
      </c>
      <c r="F1933" s="0" t="n">
        <v>5</v>
      </c>
      <c r="G1933" s="0" t="n">
        <v>0</v>
      </c>
      <c r="H1933" s="0" t="s">
        <v>122</v>
      </c>
      <c r="K1933" s="0" t="s">
        <v>138</v>
      </c>
      <c r="L1933" s="0" t="s">
        <v>3380</v>
      </c>
    </row>
    <row r="1934" customFormat="false" ht="15" hidden="false" customHeight="false" outlineLevel="0" collapsed="false">
      <c r="A1934" s="0" t="s">
        <v>3335</v>
      </c>
      <c r="B1934" s="0" t="s">
        <v>129</v>
      </c>
      <c r="C1934" s="0" t="s">
        <v>215</v>
      </c>
      <c r="D1934" s="0" t="s">
        <v>65</v>
      </c>
      <c r="E1934" s="0" t="s">
        <v>1320</v>
      </c>
      <c r="F1934" s="0" t="n">
        <v>5</v>
      </c>
      <c r="G1934" s="0" t="n">
        <v>0</v>
      </c>
      <c r="H1934" s="0" t="s">
        <v>122</v>
      </c>
      <c r="K1934" s="0" t="s">
        <v>143</v>
      </c>
      <c r="L1934" s="0" t="s">
        <v>3381</v>
      </c>
    </row>
    <row r="1935" customFormat="false" ht="15" hidden="false" customHeight="false" outlineLevel="0" collapsed="false">
      <c r="A1935" s="0" t="s">
        <v>3335</v>
      </c>
      <c r="B1935" s="0" t="s">
        <v>129</v>
      </c>
      <c r="C1935" s="0" t="s">
        <v>215</v>
      </c>
      <c r="D1935" s="0" t="s">
        <v>69</v>
      </c>
      <c r="E1935" s="0" t="s">
        <v>1322</v>
      </c>
      <c r="F1935" s="0" t="n">
        <v>5</v>
      </c>
      <c r="G1935" s="0" t="n">
        <v>0</v>
      </c>
      <c r="H1935" s="0" t="s">
        <v>122</v>
      </c>
      <c r="K1935" s="0" t="s">
        <v>146</v>
      </c>
      <c r="L1935" s="0" t="s">
        <v>3382</v>
      </c>
    </row>
    <row r="1936" customFormat="false" ht="15" hidden="false" customHeight="false" outlineLevel="0" collapsed="false">
      <c r="A1936" s="0" t="s">
        <v>3335</v>
      </c>
      <c r="B1936" s="0" t="s">
        <v>129</v>
      </c>
      <c r="C1936" s="0" t="s">
        <v>215</v>
      </c>
      <c r="D1936" s="0" t="s">
        <v>72</v>
      </c>
      <c r="E1936" s="0" t="s">
        <v>1324</v>
      </c>
      <c r="F1936" s="0" t="n">
        <v>5</v>
      </c>
      <c r="G1936" s="0" t="n">
        <v>0</v>
      </c>
      <c r="H1936" s="0" t="s">
        <v>122</v>
      </c>
      <c r="K1936" s="0" t="s">
        <v>149</v>
      </c>
      <c r="L1936" s="0" t="s">
        <v>3383</v>
      </c>
    </row>
    <row r="1937" customFormat="false" ht="15" hidden="false" customHeight="false" outlineLevel="0" collapsed="false">
      <c r="A1937" s="0" t="s">
        <v>3335</v>
      </c>
      <c r="B1937" s="0" t="s">
        <v>129</v>
      </c>
      <c r="C1937" s="0" t="s">
        <v>215</v>
      </c>
      <c r="D1937" s="0" t="s">
        <v>75</v>
      </c>
      <c r="E1937" s="0" t="s">
        <v>1326</v>
      </c>
      <c r="F1937" s="0" t="n">
        <v>5</v>
      </c>
      <c r="G1937" s="0" t="n">
        <v>0</v>
      </c>
      <c r="H1937" s="0" t="s">
        <v>122</v>
      </c>
      <c r="K1937" s="0" t="s">
        <v>152</v>
      </c>
      <c r="L1937" s="0" t="s">
        <v>3384</v>
      </c>
    </row>
    <row r="1938" customFormat="false" ht="15" hidden="false" customHeight="false" outlineLevel="0" collapsed="false">
      <c r="A1938" s="0" t="s">
        <v>3335</v>
      </c>
      <c r="B1938" s="0" t="s">
        <v>129</v>
      </c>
      <c r="C1938" s="0" t="s">
        <v>215</v>
      </c>
      <c r="D1938" s="0" t="s">
        <v>78</v>
      </c>
      <c r="E1938" s="0" t="s">
        <v>1328</v>
      </c>
      <c r="F1938" s="0" t="n">
        <v>5</v>
      </c>
      <c r="G1938" s="0" t="n">
        <v>0</v>
      </c>
      <c r="H1938" s="0" t="s">
        <v>122</v>
      </c>
      <c r="K1938" s="0" t="s">
        <v>156</v>
      </c>
      <c r="L1938" s="0" t="s">
        <v>3385</v>
      </c>
    </row>
    <row r="1939" customFormat="false" ht="15" hidden="false" customHeight="false" outlineLevel="0" collapsed="false">
      <c r="A1939" s="0" t="s">
        <v>3335</v>
      </c>
      <c r="B1939" s="0" t="s">
        <v>129</v>
      </c>
      <c r="C1939" s="0" t="s">
        <v>215</v>
      </c>
      <c r="D1939" s="0" t="s">
        <v>81</v>
      </c>
      <c r="E1939" s="0" t="s">
        <v>1331</v>
      </c>
      <c r="F1939" s="0" t="n">
        <v>5</v>
      </c>
      <c r="G1939" s="0" t="n">
        <v>0</v>
      </c>
      <c r="H1939" s="0" t="s">
        <v>122</v>
      </c>
      <c r="K1939" s="0" t="s">
        <v>160</v>
      </c>
      <c r="L1939" s="0" t="s">
        <v>3386</v>
      </c>
    </row>
    <row r="1940" customFormat="false" ht="15" hidden="false" customHeight="false" outlineLevel="0" collapsed="false">
      <c r="A1940" s="0" t="s">
        <v>3335</v>
      </c>
      <c r="B1940" s="0" t="s">
        <v>129</v>
      </c>
      <c r="C1940" s="0" t="s">
        <v>241</v>
      </c>
      <c r="D1940" s="0" t="s">
        <v>528</v>
      </c>
      <c r="E1940" s="0" t="s">
        <v>1333</v>
      </c>
      <c r="F1940" s="0" t="n">
        <v>5</v>
      </c>
      <c r="G1940" s="0" t="n">
        <v>0</v>
      </c>
      <c r="H1940" s="0" t="s">
        <v>122</v>
      </c>
      <c r="K1940" s="0" t="s">
        <v>118</v>
      </c>
      <c r="L1940" s="0" t="s">
        <v>3387</v>
      </c>
    </row>
    <row r="1941" customFormat="false" ht="15" hidden="false" customHeight="false" outlineLevel="0" collapsed="false">
      <c r="A1941" s="0" t="s">
        <v>3335</v>
      </c>
      <c r="B1941" s="0" t="s">
        <v>129</v>
      </c>
      <c r="C1941" s="0" t="s">
        <v>241</v>
      </c>
      <c r="D1941" s="0" t="s">
        <v>531</v>
      </c>
      <c r="E1941" s="0" t="s">
        <v>1335</v>
      </c>
      <c r="F1941" s="0" t="n">
        <v>5</v>
      </c>
      <c r="G1941" s="0" t="n">
        <v>1</v>
      </c>
      <c r="H1941" s="0" t="s">
        <v>122</v>
      </c>
      <c r="I1941" s="0" t="s">
        <v>3377</v>
      </c>
      <c r="K1941" s="0" t="s">
        <v>123</v>
      </c>
      <c r="L1941" s="0" t="s">
        <v>3388</v>
      </c>
    </row>
    <row r="1942" customFormat="false" ht="15" hidden="false" customHeight="false" outlineLevel="0" collapsed="false">
      <c r="A1942" s="0" t="s">
        <v>3335</v>
      </c>
      <c r="B1942" s="0" t="s">
        <v>129</v>
      </c>
      <c r="C1942" s="0" t="s">
        <v>241</v>
      </c>
      <c r="D1942" s="0" t="s">
        <v>534</v>
      </c>
      <c r="E1942" s="0" t="s">
        <v>1337</v>
      </c>
      <c r="F1942" s="0" t="n">
        <v>5</v>
      </c>
      <c r="G1942" s="0" t="n">
        <v>0</v>
      </c>
      <c r="H1942" s="0" t="s">
        <v>122</v>
      </c>
      <c r="K1942" s="0" t="s">
        <v>127</v>
      </c>
      <c r="L1942" s="0" t="s">
        <v>3389</v>
      </c>
    </row>
    <row r="1943" customFormat="false" ht="15" hidden="false" customHeight="false" outlineLevel="0" collapsed="false">
      <c r="A1943" s="0" t="s">
        <v>3335</v>
      </c>
      <c r="B1943" s="0" t="s">
        <v>129</v>
      </c>
      <c r="C1943" s="0" t="s">
        <v>241</v>
      </c>
      <c r="D1943" s="0" t="s">
        <v>52</v>
      </c>
      <c r="E1943" s="0" t="s">
        <v>1339</v>
      </c>
      <c r="F1943" s="0" t="n">
        <v>5</v>
      </c>
      <c r="G1943" s="0" t="n">
        <v>0</v>
      </c>
      <c r="H1943" s="0" t="s">
        <v>122</v>
      </c>
      <c r="K1943" s="0" t="s">
        <v>132</v>
      </c>
      <c r="L1943" s="0" t="s">
        <v>3390</v>
      </c>
    </row>
    <row r="1944" customFormat="false" ht="15" hidden="false" customHeight="false" outlineLevel="0" collapsed="false">
      <c r="A1944" s="0" t="s">
        <v>3335</v>
      </c>
      <c r="B1944" s="0" t="s">
        <v>129</v>
      </c>
      <c r="C1944" s="0" t="s">
        <v>241</v>
      </c>
      <c r="D1944" s="0" t="s">
        <v>55</v>
      </c>
      <c r="E1944" s="0" t="s">
        <v>1341</v>
      </c>
      <c r="F1944" s="0" t="n">
        <v>5</v>
      </c>
      <c r="G1944" s="0" t="n">
        <v>0</v>
      </c>
      <c r="H1944" s="0" t="s">
        <v>122</v>
      </c>
      <c r="K1944" s="0" t="s">
        <v>135</v>
      </c>
      <c r="L1944" s="0" t="s">
        <v>3391</v>
      </c>
    </row>
    <row r="1945" customFormat="false" ht="15" hidden="false" customHeight="false" outlineLevel="0" collapsed="false">
      <c r="A1945" s="0" t="s">
        <v>3335</v>
      </c>
      <c r="B1945" s="0" t="s">
        <v>129</v>
      </c>
      <c r="C1945" s="0" t="s">
        <v>241</v>
      </c>
      <c r="D1945" s="0" t="s">
        <v>58</v>
      </c>
      <c r="E1945" s="0" t="s">
        <v>1343</v>
      </c>
      <c r="F1945" s="0" t="n">
        <v>5</v>
      </c>
      <c r="G1945" s="0" t="n">
        <v>0</v>
      </c>
      <c r="H1945" s="0" t="s">
        <v>122</v>
      </c>
      <c r="K1945" s="0" t="s">
        <v>138</v>
      </c>
      <c r="L1945" s="0" t="s">
        <v>3392</v>
      </c>
    </row>
    <row r="1946" customFormat="false" ht="15" hidden="false" customHeight="false" outlineLevel="0" collapsed="false">
      <c r="A1946" s="0" t="s">
        <v>3335</v>
      </c>
      <c r="B1946" s="0" t="s">
        <v>129</v>
      </c>
      <c r="C1946" s="0" t="s">
        <v>241</v>
      </c>
      <c r="D1946" s="0" t="s">
        <v>65</v>
      </c>
      <c r="E1946" s="0" t="s">
        <v>1345</v>
      </c>
      <c r="F1946" s="0" t="n">
        <v>5</v>
      </c>
      <c r="G1946" s="0" t="n">
        <v>0</v>
      </c>
      <c r="H1946" s="0" t="s">
        <v>122</v>
      </c>
      <c r="K1946" s="0" t="s">
        <v>143</v>
      </c>
      <c r="L1946" s="0" t="s">
        <v>3393</v>
      </c>
    </row>
    <row r="1947" customFormat="false" ht="15" hidden="false" customHeight="false" outlineLevel="0" collapsed="false">
      <c r="A1947" s="0" t="s">
        <v>3335</v>
      </c>
      <c r="B1947" s="0" t="s">
        <v>129</v>
      </c>
      <c r="C1947" s="0" t="s">
        <v>241</v>
      </c>
      <c r="D1947" s="0" t="s">
        <v>69</v>
      </c>
      <c r="E1947" s="0" t="s">
        <v>1347</v>
      </c>
      <c r="F1947" s="0" t="n">
        <v>5</v>
      </c>
      <c r="G1947" s="0" t="n">
        <v>0</v>
      </c>
      <c r="H1947" s="0" t="s">
        <v>122</v>
      </c>
      <c r="K1947" s="0" t="s">
        <v>146</v>
      </c>
      <c r="L1947" s="0" t="s">
        <v>3394</v>
      </c>
    </row>
    <row r="1948" customFormat="false" ht="15" hidden="false" customHeight="false" outlineLevel="0" collapsed="false">
      <c r="A1948" s="0" t="s">
        <v>3335</v>
      </c>
      <c r="B1948" s="0" t="s">
        <v>129</v>
      </c>
      <c r="C1948" s="0" t="s">
        <v>241</v>
      </c>
      <c r="D1948" s="0" t="s">
        <v>72</v>
      </c>
      <c r="E1948" s="0" t="s">
        <v>1349</v>
      </c>
      <c r="F1948" s="0" t="n">
        <v>5</v>
      </c>
      <c r="G1948" s="0" t="n">
        <v>0</v>
      </c>
      <c r="H1948" s="0" t="s">
        <v>122</v>
      </c>
      <c r="K1948" s="0" t="s">
        <v>149</v>
      </c>
      <c r="L1948" s="0" t="s">
        <v>3395</v>
      </c>
    </row>
    <row r="1949" customFormat="false" ht="15" hidden="false" customHeight="false" outlineLevel="0" collapsed="false">
      <c r="A1949" s="0" t="s">
        <v>3335</v>
      </c>
      <c r="B1949" s="0" t="s">
        <v>129</v>
      </c>
      <c r="C1949" s="0" t="s">
        <v>241</v>
      </c>
      <c r="D1949" s="0" t="s">
        <v>75</v>
      </c>
      <c r="E1949" s="0" t="s">
        <v>1351</v>
      </c>
      <c r="F1949" s="0" t="n">
        <v>5</v>
      </c>
      <c r="G1949" s="0" t="n">
        <v>0</v>
      </c>
      <c r="H1949" s="0" t="s">
        <v>122</v>
      </c>
      <c r="K1949" s="0" t="s">
        <v>152</v>
      </c>
      <c r="L1949" s="0" t="s">
        <v>3396</v>
      </c>
    </row>
    <row r="1950" customFormat="false" ht="15" hidden="false" customHeight="false" outlineLevel="0" collapsed="false">
      <c r="A1950" s="0" t="s">
        <v>3335</v>
      </c>
      <c r="B1950" s="0" t="s">
        <v>129</v>
      </c>
      <c r="C1950" s="0" t="s">
        <v>241</v>
      </c>
      <c r="D1950" s="0" t="s">
        <v>78</v>
      </c>
      <c r="E1950" s="0" t="s">
        <v>1353</v>
      </c>
      <c r="F1950" s="0" t="n">
        <v>5</v>
      </c>
      <c r="G1950" s="0" t="n">
        <v>0</v>
      </c>
      <c r="H1950" s="0" t="s">
        <v>122</v>
      </c>
      <c r="K1950" s="0" t="s">
        <v>156</v>
      </c>
      <c r="L1950" s="0" t="s">
        <v>3397</v>
      </c>
    </row>
    <row r="1951" customFormat="false" ht="15" hidden="false" customHeight="false" outlineLevel="0" collapsed="false">
      <c r="A1951" s="0" t="s">
        <v>3335</v>
      </c>
      <c r="B1951" s="0" t="s">
        <v>129</v>
      </c>
      <c r="C1951" s="0" t="s">
        <v>241</v>
      </c>
      <c r="D1951" s="0" t="s">
        <v>81</v>
      </c>
      <c r="E1951" s="0" t="s">
        <v>1356</v>
      </c>
      <c r="F1951" s="0" t="n">
        <v>5</v>
      </c>
      <c r="G1951" s="0" t="n">
        <v>0</v>
      </c>
      <c r="H1951" s="0" t="s">
        <v>122</v>
      </c>
      <c r="K1951" s="0" t="s">
        <v>160</v>
      </c>
      <c r="L1951" s="0" t="s">
        <v>3398</v>
      </c>
    </row>
    <row r="1952" customFormat="false" ht="15" hidden="false" customHeight="false" outlineLevel="0" collapsed="false">
      <c r="A1952" s="0" t="s">
        <v>3335</v>
      </c>
      <c r="B1952" s="0" t="s">
        <v>129</v>
      </c>
      <c r="C1952" s="0" t="s">
        <v>268</v>
      </c>
      <c r="D1952" s="0" t="s">
        <v>528</v>
      </c>
      <c r="E1952" s="0" t="s">
        <v>1358</v>
      </c>
      <c r="F1952" s="0" t="n">
        <v>5</v>
      </c>
      <c r="G1952" s="0" t="n">
        <v>0</v>
      </c>
      <c r="H1952" s="0" t="s">
        <v>122</v>
      </c>
      <c r="K1952" s="0" t="s">
        <v>118</v>
      </c>
      <c r="L1952" s="0" t="s">
        <v>3399</v>
      </c>
    </row>
    <row r="1953" customFormat="false" ht="15" hidden="false" customHeight="false" outlineLevel="0" collapsed="false">
      <c r="A1953" s="0" t="s">
        <v>3335</v>
      </c>
      <c r="B1953" s="0" t="s">
        <v>129</v>
      </c>
      <c r="C1953" s="0" t="s">
        <v>268</v>
      </c>
      <c r="D1953" s="0" t="s">
        <v>531</v>
      </c>
      <c r="E1953" s="0" t="s">
        <v>1360</v>
      </c>
      <c r="F1953" s="0" t="n">
        <v>5</v>
      </c>
      <c r="G1953" s="0" t="n">
        <v>1</v>
      </c>
      <c r="H1953" s="0" t="s">
        <v>122</v>
      </c>
      <c r="I1953" s="0" t="s">
        <v>3400</v>
      </c>
      <c r="K1953" s="0" t="s">
        <v>123</v>
      </c>
      <c r="L1953" s="0" t="s">
        <v>3401</v>
      </c>
    </row>
    <row r="1954" customFormat="false" ht="15" hidden="false" customHeight="false" outlineLevel="0" collapsed="false">
      <c r="A1954" s="0" t="s">
        <v>3335</v>
      </c>
      <c r="B1954" s="0" t="s">
        <v>129</v>
      </c>
      <c r="C1954" s="0" t="s">
        <v>268</v>
      </c>
      <c r="D1954" s="0" t="s">
        <v>534</v>
      </c>
      <c r="E1954" s="0" t="s">
        <v>1362</v>
      </c>
      <c r="F1954" s="0" t="n">
        <v>5</v>
      </c>
      <c r="G1954" s="0" t="n">
        <v>5</v>
      </c>
      <c r="H1954" s="0" t="s">
        <v>117</v>
      </c>
      <c r="I1954" s="0" t="s">
        <v>3363</v>
      </c>
      <c r="K1954" s="0" t="s">
        <v>127</v>
      </c>
      <c r="L1954" s="0" t="s">
        <v>3402</v>
      </c>
    </row>
    <row r="1955" customFormat="false" ht="15" hidden="false" customHeight="false" outlineLevel="0" collapsed="false">
      <c r="A1955" s="0" t="s">
        <v>3335</v>
      </c>
      <c r="B1955" s="0" t="s">
        <v>129</v>
      </c>
      <c r="C1955" s="0" t="s">
        <v>268</v>
      </c>
      <c r="D1955" s="0" t="s">
        <v>52</v>
      </c>
      <c r="E1955" s="0" t="s">
        <v>1364</v>
      </c>
      <c r="F1955" s="0" t="n">
        <v>5</v>
      </c>
      <c r="G1955" s="0" t="n">
        <v>0</v>
      </c>
      <c r="H1955" s="0" t="s">
        <v>122</v>
      </c>
      <c r="K1955" s="0" t="s">
        <v>132</v>
      </c>
      <c r="L1955" s="0" t="s">
        <v>3403</v>
      </c>
    </row>
    <row r="1956" customFormat="false" ht="15" hidden="false" customHeight="false" outlineLevel="0" collapsed="false">
      <c r="A1956" s="0" t="s">
        <v>3335</v>
      </c>
      <c r="B1956" s="0" t="s">
        <v>129</v>
      </c>
      <c r="C1956" s="0" t="s">
        <v>268</v>
      </c>
      <c r="D1956" s="0" t="s">
        <v>55</v>
      </c>
      <c r="E1956" s="0" t="s">
        <v>1366</v>
      </c>
      <c r="F1956" s="0" t="n">
        <v>5</v>
      </c>
      <c r="G1956" s="0" t="n">
        <v>0</v>
      </c>
      <c r="H1956" s="0" t="s">
        <v>122</v>
      </c>
      <c r="K1956" s="0" t="s">
        <v>135</v>
      </c>
      <c r="L1956" s="0" t="s">
        <v>3404</v>
      </c>
    </row>
    <row r="1957" customFormat="false" ht="15" hidden="false" customHeight="false" outlineLevel="0" collapsed="false">
      <c r="A1957" s="0" t="s">
        <v>3335</v>
      </c>
      <c r="B1957" s="0" t="s">
        <v>129</v>
      </c>
      <c r="C1957" s="0" t="s">
        <v>268</v>
      </c>
      <c r="D1957" s="0" t="s">
        <v>58</v>
      </c>
      <c r="E1957" s="0" t="s">
        <v>1368</v>
      </c>
      <c r="F1957" s="0" t="n">
        <v>5</v>
      </c>
      <c r="G1957" s="0" t="n">
        <v>1</v>
      </c>
      <c r="H1957" s="0" t="s">
        <v>122</v>
      </c>
      <c r="I1957" s="0" t="s">
        <v>3377</v>
      </c>
      <c r="K1957" s="0" t="s">
        <v>138</v>
      </c>
      <c r="L1957" s="0" t="s">
        <v>3405</v>
      </c>
    </row>
    <row r="1958" customFormat="false" ht="15" hidden="false" customHeight="false" outlineLevel="0" collapsed="false">
      <c r="A1958" s="0" t="s">
        <v>3335</v>
      </c>
      <c r="B1958" s="0" t="s">
        <v>129</v>
      </c>
      <c r="C1958" s="0" t="s">
        <v>268</v>
      </c>
      <c r="D1958" s="0" t="s">
        <v>65</v>
      </c>
      <c r="E1958" s="0" t="s">
        <v>1370</v>
      </c>
      <c r="F1958" s="0" t="n">
        <v>5</v>
      </c>
      <c r="G1958" s="0" t="n">
        <v>2</v>
      </c>
      <c r="H1958" s="0" t="s">
        <v>122</v>
      </c>
      <c r="I1958" s="0" t="s">
        <v>3363</v>
      </c>
      <c r="K1958" s="0" t="s">
        <v>143</v>
      </c>
      <c r="L1958" s="0" t="s">
        <v>3406</v>
      </c>
    </row>
    <row r="1959" customFormat="false" ht="15" hidden="false" customHeight="false" outlineLevel="0" collapsed="false">
      <c r="A1959" s="0" t="s">
        <v>3335</v>
      </c>
      <c r="B1959" s="0" t="s">
        <v>129</v>
      </c>
      <c r="C1959" s="0" t="s">
        <v>268</v>
      </c>
      <c r="D1959" s="0" t="s">
        <v>69</v>
      </c>
      <c r="E1959" s="0" t="s">
        <v>1372</v>
      </c>
      <c r="F1959" s="0" t="n">
        <v>5</v>
      </c>
      <c r="G1959" s="0" t="n">
        <v>0</v>
      </c>
      <c r="H1959" s="0" t="s">
        <v>122</v>
      </c>
      <c r="K1959" s="0" t="s">
        <v>146</v>
      </c>
      <c r="L1959" s="0" t="s">
        <v>3407</v>
      </c>
    </row>
    <row r="1960" customFormat="false" ht="15" hidden="false" customHeight="false" outlineLevel="0" collapsed="false">
      <c r="A1960" s="0" t="s">
        <v>3335</v>
      </c>
      <c r="B1960" s="0" t="s">
        <v>129</v>
      </c>
      <c r="C1960" s="0" t="s">
        <v>268</v>
      </c>
      <c r="D1960" s="0" t="s">
        <v>72</v>
      </c>
      <c r="E1960" s="0" t="s">
        <v>1374</v>
      </c>
      <c r="F1960" s="0" t="n">
        <v>5</v>
      </c>
      <c r="G1960" s="0" t="n">
        <v>0</v>
      </c>
      <c r="H1960" s="0" t="s">
        <v>122</v>
      </c>
      <c r="K1960" s="0" t="s">
        <v>149</v>
      </c>
      <c r="L1960" s="0" t="s">
        <v>3408</v>
      </c>
    </row>
    <row r="1961" customFormat="false" ht="15" hidden="false" customHeight="false" outlineLevel="0" collapsed="false">
      <c r="A1961" s="0" t="s">
        <v>3335</v>
      </c>
      <c r="B1961" s="0" t="s">
        <v>129</v>
      </c>
      <c r="C1961" s="0" t="s">
        <v>268</v>
      </c>
      <c r="D1961" s="0" t="s">
        <v>75</v>
      </c>
      <c r="E1961" s="0" t="s">
        <v>1376</v>
      </c>
      <c r="F1961" s="0" t="n">
        <v>5</v>
      </c>
      <c r="G1961" s="0" t="n">
        <v>0</v>
      </c>
      <c r="H1961" s="0" t="s">
        <v>122</v>
      </c>
      <c r="K1961" s="0" t="s">
        <v>152</v>
      </c>
      <c r="L1961" s="0" t="s">
        <v>3409</v>
      </c>
    </row>
    <row r="1962" customFormat="false" ht="15" hidden="false" customHeight="false" outlineLevel="0" collapsed="false">
      <c r="A1962" s="0" t="s">
        <v>3335</v>
      </c>
      <c r="B1962" s="0" t="s">
        <v>129</v>
      </c>
      <c r="C1962" s="0" t="s">
        <v>268</v>
      </c>
      <c r="D1962" s="0" t="s">
        <v>78</v>
      </c>
      <c r="E1962" s="0" t="s">
        <v>1378</v>
      </c>
      <c r="F1962" s="0" t="n">
        <v>5</v>
      </c>
      <c r="G1962" s="0" t="n">
        <v>0</v>
      </c>
      <c r="H1962" s="0" t="s">
        <v>122</v>
      </c>
      <c r="K1962" s="0" t="s">
        <v>156</v>
      </c>
      <c r="L1962" s="0" t="s">
        <v>3410</v>
      </c>
    </row>
    <row r="1963" customFormat="false" ht="15" hidden="false" customHeight="false" outlineLevel="0" collapsed="false">
      <c r="A1963" s="0" t="s">
        <v>3335</v>
      </c>
      <c r="B1963" s="0" t="s">
        <v>129</v>
      </c>
      <c r="C1963" s="0" t="s">
        <v>268</v>
      </c>
      <c r="D1963" s="0" t="s">
        <v>81</v>
      </c>
      <c r="E1963" s="0" t="s">
        <v>1380</v>
      </c>
      <c r="F1963" s="0" t="n">
        <v>5</v>
      </c>
      <c r="G1963" s="0" t="n">
        <v>0</v>
      </c>
      <c r="H1963" s="0" t="s">
        <v>122</v>
      </c>
      <c r="K1963" s="0" t="s">
        <v>160</v>
      </c>
      <c r="L1963" s="0" t="s">
        <v>3411</v>
      </c>
    </row>
    <row r="1964" customFormat="false" ht="15" hidden="false" customHeight="false" outlineLevel="0" collapsed="false">
      <c r="A1964" s="0" t="s">
        <v>3335</v>
      </c>
      <c r="B1964" s="0" t="s">
        <v>129</v>
      </c>
      <c r="C1964" s="0" t="s">
        <v>294</v>
      </c>
      <c r="D1964" s="0" t="s">
        <v>528</v>
      </c>
      <c r="E1964" s="0" t="s">
        <v>1382</v>
      </c>
      <c r="F1964" s="0" t="n">
        <v>5</v>
      </c>
      <c r="G1964" s="0" t="n">
        <v>0</v>
      </c>
      <c r="H1964" s="0" t="s">
        <v>122</v>
      </c>
      <c r="K1964" s="0" t="s">
        <v>118</v>
      </c>
      <c r="L1964" s="0" t="s">
        <v>3412</v>
      </c>
    </row>
    <row r="1965" customFormat="false" ht="15" hidden="false" customHeight="false" outlineLevel="0" collapsed="false">
      <c r="A1965" s="0" t="s">
        <v>3335</v>
      </c>
      <c r="B1965" s="0" t="s">
        <v>129</v>
      </c>
      <c r="C1965" s="0" t="s">
        <v>294</v>
      </c>
      <c r="D1965" s="0" t="s">
        <v>531</v>
      </c>
      <c r="E1965" s="0" t="s">
        <v>1384</v>
      </c>
      <c r="F1965" s="0" t="n">
        <v>5</v>
      </c>
      <c r="G1965" s="0" t="n">
        <v>0</v>
      </c>
      <c r="H1965" s="0" t="s">
        <v>122</v>
      </c>
      <c r="K1965" s="0" t="s">
        <v>123</v>
      </c>
      <c r="L1965" s="0" t="s">
        <v>3413</v>
      </c>
    </row>
    <row r="1966" customFormat="false" ht="15" hidden="false" customHeight="false" outlineLevel="0" collapsed="false">
      <c r="A1966" s="0" t="s">
        <v>3335</v>
      </c>
      <c r="B1966" s="0" t="s">
        <v>129</v>
      </c>
      <c r="C1966" s="0" t="s">
        <v>294</v>
      </c>
      <c r="D1966" s="0" t="s">
        <v>534</v>
      </c>
      <c r="E1966" s="0" t="s">
        <v>1386</v>
      </c>
      <c r="F1966" s="0" t="n">
        <v>5</v>
      </c>
      <c r="G1966" s="0" t="n">
        <v>2</v>
      </c>
      <c r="H1966" s="0" t="s">
        <v>122</v>
      </c>
      <c r="I1966" s="0" t="s">
        <v>3349</v>
      </c>
      <c r="K1966" s="0" t="s">
        <v>127</v>
      </c>
      <c r="L1966" s="0" t="s">
        <v>3414</v>
      </c>
    </row>
    <row r="1967" customFormat="false" ht="15" hidden="false" customHeight="false" outlineLevel="0" collapsed="false">
      <c r="A1967" s="0" t="s">
        <v>3335</v>
      </c>
      <c r="B1967" s="0" t="s">
        <v>129</v>
      </c>
      <c r="C1967" s="0" t="s">
        <v>294</v>
      </c>
      <c r="D1967" s="0" t="s">
        <v>52</v>
      </c>
      <c r="E1967" s="0" t="s">
        <v>1388</v>
      </c>
      <c r="F1967" s="0" t="n">
        <v>5</v>
      </c>
      <c r="G1967" s="0" t="n">
        <v>0</v>
      </c>
      <c r="H1967" s="0" t="s">
        <v>122</v>
      </c>
      <c r="K1967" s="0" t="s">
        <v>132</v>
      </c>
      <c r="L1967" s="0" t="s">
        <v>3415</v>
      </c>
    </row>
    <row r="1968" customFormat="false" ht="15" hidden="false" customHeight="false" outlineLevel="0" collapsed="false">
      <c r="A1968" s="0" t="s">
        <v>3335</v>
      </c>
      <c r="B1968" s="0" t="s">
        <v>129</v>
      </c>
      <c r="C1968" s="0" t="s">
        <v>294</v>
      </c>
      <c r="D1968" s="0" t="s">
        <v>55</v>
      </c>
      <c r="E1968" s="0" t="s">
        <v>1390</v>
      </c>
      <c r="F1968" s="0" t="n">
        <v>5</v>
      </c>
      <c r="G1968" s="0" t="n">
        <v>0</v>
      </c>
      <c r="H1968" s="0" t="s">
        <v>122</v>
      </c>
      <c r="K1968" s="0" t="s">
        <v>135</v>
      </c>
      <c r="L1968" s="0" t="s">
        <v>3416</v>
      </c>
    </row>
    <row r="1969" customFormat="false" ht="15" hidden="false" customHeight="false" outlineLevel="0" collapsed="false">
      <c r="A1969" s="0" t="s">
        <v>3335</v>
      </c>
      <c r="B1969" s="0" t="s">
        <v>129</v>
      </c>
      <c r="C1969" s="0" t="s">
        <v>294</v>
      </c>
      <c r="D1969" s="0" t="s">
        <v>58</v>
      </c>
      <c r="E1969" s="0" t="s">
        <v>1392</v>
      </c>
      <c r="F1969" s="0" t="n">
        <v>5</v>
      </c>
      <c r="G1969" s="0" t="n">
        <v>0</v>
      </c>
      <c r="H1969" s="0" t="s">
        <v>122</v>
      </c>
      <c r="K1969" s="0" t="s">
        <v>138</v>
      </c>
      <c r="L1969" s="0" t="s">
        <v>3417</v>
      </c>
    </row>
    <row r="1970" customFormat="false" ht="15" hidden="false" customHeight="false" outlineLevel="0" collapsed="false">
      <c r="A1970" s="0" t="s">
        <v>3335</v>
      </c>
      <c r="B1970" s="0" t="s">
        <v>129</v>
      </c>
      <c r="C1970" s="0" t="s">
        <v>294</v>
      </c>
      <c r="D1970" s="0" t="s">
        <v>65</v>
      </c>
      <c r="E1970" s="0" t="s">
        <v>1394</v>
      </c>
      <c r="F1970" s="0" t="n">
        <v>5</v>
      </c>
      <c r="G1970" s="0" t="n">
        <v>0</v>
      </c>
      <c r="H1970" s="0" t="s">
        <v>122</v>
      </c>
      <c r="K1970" s="0" t="s">
        <v>143</v>
      </c>
      <c r="L1970" s="0" t="s">
        <v>3418</v>
      </c>
    </row>
    <row r="1971" customFormat="false" ht="15" hidden="false" customHeight="false" outlineLevel="0" collapsed="false">
      <c r="A1971" s="0" t="s">
        <v>3335</v>
      </c>
      <c r="B1971" s="0" t="s">
        <v>129</v>
      </c>
      <c r="C1971" s="0" t="s">
        <v>294</v>
      </c>
      <c r="D1971" s="0" t="s">
        <v>69</v>
      </c>
      <c r="E1971" s="0" t="s">
        <v>1396</v>
      </c>
      <c r="F1971" s="0" t="n">
        <v>5</v>
      </c>
      <c r="G1971" s="0" t="n">
        <v>0</v>
      </c>
      <c r="H1971" s="0" t="s">
        <v>122</v>
      </c>
      <c r="K1971" s="0" t="s">
        <v>146</v>
      </c>
      <c r="L1971" s="0" t="s">
        <v>3419</v>
      </c>
    </row>
    <row r="1972" customFormat="false" ht="15" hidden="false" customHeight="false" outlineLevel="0" collapsed="false">
      <c r="A1972" s="0" t="s">
        <v>3335</v>
      </c>
      <c r="B1972" s="0" t="s">
        <v>129</v>
      </c>
      <c r="C1972" s="0" t="s">
        <v>294</v>
      </c>
      <c r="D1972" s="0" t="s">
        <v>72</v>
      </c>
      <c r="E1972" s="0" t="s">
        <v>1398</v>
      </c>
      <c r="F1972" s="0" t="n">
        <v>5</v>
      </c>
      <c r="G1972" s="0" t="n">
        <v>0</v>
      </c>
      <c r="H1972" s="0" t="s">
        <v>122</v>
      </c>
      <c r="K1972" s="0" t="s">
        <v>149</v>
      </c>
      <c r="L1972" s="0" t="s">
        <v>3420</v>
      </c>
    </row>
    <row r="1973" customFormat="false" ht="15" hidden="false" customHeight="false" outlineLevel="0" collapsed="false">
      <c r="A1973" s="0" t="s">
        <v>3335</v>
      </c>
      <c r="B1973" s="0" t="s">
        <v>129</v>
      </c>
      <c r="C1973" s="0" t="s">
        <v>294</v>
      </c>
      <c r="D1973" s="0" t="s">
        <v>75</v>
      </c>
      <c r="E1973" s="0" t="s">
        <v>1400</v>
      </c>
      <c r="F1973" s="0" t="n">
        <v>5</v>
      </c>
      <c r="G1973" s="0" t="n">
        <v>0</v>
      </c>
      <c r="H1973" s="0" t="s">
        <v>122</v>
      </c>
      <c r="K1973" s="0" t="s">
        <v>152</v>
      </c>
      <c r="L1973" s="0" t="s">
        <v>3421</v>
      </c>
    </row>
    <row r="1974" customFormat="false" ht="15" hidden="false" customHeight="false" outlineLevel="0" collapsed="false">
      <c r="A1974" s="0" t="s">
        <v>3335</v>
      </c>
      <c r="B1974" s="0" t="s">
        <v>129</v>
      </c>
      <c r="C1974" s="0" t="s">
        <v>294</v>
      </c>
      <c r="D1974" s="0" t="s">
        <v>78</v>
      </c>
      <c r="E1974" s="0" t="s">
        <v>1402</v>
      </c>
      <c r="F1974" s="0" t="n">
        <v>5</v>
      </c>
      <c r="G1974" s="0" t="n">
        <v>0</v>
      </c>
      <c r="H1974" s="0" t="s">
        <v>122</v>
      </c>
      <c r="K1974" s="0" t="s">
        <v>156</v>
      </c>
      <c r="L1974" s="0" t="s">
        <v>3422</v>
      </c>
    </row>
    <row r="1975" customFormat="false" ht="15" hidden="false" customHeight="false" outlineLevel="0" collapsed="false">
      <c r="A1975" s="0" t="s">
        <v>3335</v>
      </c>
      <c r="B1975" s="0" t="s">
        <v>129</v>
      </c>
      <c r="C1975" s="0" t="s">
        <v>294</v>
      </c>
      <c r="D1975" s="0" t="s">
        <v>81</v>
      </c>
      <c r="E1975" s="0" t="s">
        <v>1404</v>
      </c>
      <c r="F1975" s="0" t="n">
        <v>5</v>
      </c>
      <c r="G1975" s="0" t="n">
        <v>0</v>
      </c>
      <c r="H1975" s="0" t="s">
        <v>122</v>
      </c>
      <c r="K1975" s="0" t="s">
        <v>160</v>
      </c>
      <c r="L1975" s="0" t="s">
        <v>3423</v>
      </c>
    </row>
    <row r="1976" customFormat="false" ht="15" hidden="false" customHeight="false" outlineLevel="0" collapsed="false">
      <c r="A1976" s="0" t="s">
        <v>3335</v>
      </c>
      <c r="B1976" s="0" t="s">
        <v>319</v>
      </c>
      <c r="C1976" s="0" t="s">
        <v>114</v>
      </c>
      <c r="D1976" s="0" t="s">
        <v>320</v>
      </c>
      <c r="E1976" s="0" t="s">
        <v>321</v>
      </c>
      <c r="F1976" s="0" t="n">
        <v>8</v>
      </c>
      <c r="G1976" s="0" t="n">
        <v>0</v>
      </c>
      <c r="H1976" s="0" t="s">
        <v>122</v>
      </c>
      <c r="K1976" s="0" t="s">
        <v>322</v>
      </c>
      <c r="L1976" s="0" t="s">
        <v>3424</v>
      </c>
    </row>
    <row r="1977" customFormat="false" ht="15" hidden="false" customHeight="false" outlineLevel="0" collapsed="false">
      <c r="A1977" s="0" t="s">
        <v>3335</v>
      </c>
      <c r="B1977" s="0" t="s">
        <v>319</v>
      </c>
      <c r="C1977" s="0" t="s">
        <v>162</v>
      </c>
      <c r="D1977" s="0" t="s">
        <v>320</v>
      </c>
      <c r="E1977" s="0" t="s">
        <v>324</v>
      </c>
      <c r="F1977" s="0" t="n">
        <v>8</v>
      </c>
      <c r="G1977" s="0" t="n">
        <v>0</v>
      </c>
      <c r="H1977" s="0" t="s">
        <v>122</v>
      </c>
      <c r="K1977" s="0" t="s">
        <v>322</v>
      </c>
      <c r="L1977" s="0" t="s">
        <v>3425</v>
      </c>
    </row>
    <row r="1978" customFormat="false" ht="15" hidden="false" customHeight="false" outlineLevel="0" collapsed="false">
      <c r="A1978" s="0" t="s">
        <v>3335</v>
      </c>
      <c r="B1978" s="0" t="s">
        <v>319</v>
      </c>
      <c r="C1978" s="0" t="s">
        <v>189</v>
      </c>
      <c r="D1978" s="0" t="s">
        <v>320</v>
      </c>
      <c r="E1978" s="0" t="s">
        <v>326</v>
      </c>
      <c r="F1978" s="0" t="n">
        <v>8</v>
      </c>
      <c r="G1978" s="0" t="n">
        <v>0</v>
      </c>
      <c r="H1978" s="0" t="s">
        <v>122</v>
      </c>
      <c r="K1978" s="0" t="s">
        <v>322</v>
      </c>
      <c r="L1978" s="0" t="s">
        <v>3426</v>
      </c>
    </row>
    <row r="1979" customFormat="false" ht="15" hidden="false" customHeight="false" outlineLevel="0" collapsed="false">
      <c r="A1979" s="0" t="s">
        <v>3335</v>
      </c>
      <c r="B1979" s="0" t="s">
        <v>319</v>
      </c>
      <c r="C1979" s="0" t="s">
        <v>215</v>
      </c>
      <c r="D1979" s="0" t="s">
        <v>320</v>
      </c>
      <c r="E1979" s="0" t="s">
        <v>328</v>
      </c>
      <c r="F1979" s="0" t="n">
        <v>8</v>
      </c>
      <c r="G1979" s="0" t="n">
        <v>0</v>
      </c>
      <c r="H1979" s="0" t="s">
        <v>122</v>
      </c>
      <c r="K1979" s="0" t="s">
        <v>322</v>
      </c>
      <c r="L1979" s="0" t="s">
        <v>3427</v>
      </c>
    </row>
    <row r="1980" customFormat="false" ht="15" hidden="false" customHeight="false" outlineLevel="0" collapsed="false">
      <c r="A1980" s="0" t="s">
        <v>3335</v>
      </c>
      <c r="B1980" s="0" t="s">
        <v>319</v>
      </c>
      <c r="C1980" s="0" t="s">
        <v>241</v>
      </c>
      <c r="D1980" s="0" t="s">
        <v>320</v>
      </c>
      <c r="E1980" s="0" t="s">
        <v>330</v>
      </c>
      <c r="F1980" s="0" t="n">
        <v>8</v>
      </c>
      <c r="G1980" s="0" t="n">
        <v>0</v>
      </c>
      <c r="H1980" s="0" t="s">
        <v>122</v>
      </c>
      <c r="K1980" s="0" t="s">
        <v>322</v>
      </c>
      <c r="L1980" s="0" t="s">
        <v>3428</v>
      </c>
    </row>
    <row r="1981" customFormat="false" ht="15" hidden="false" customHeight="false" outlineLevel="0" collapsed="false">
      <c r="A1981" s="0" t="s">
        <v>3335</v>
      </c>
      <c r="B1981" s="0" t="s">
        <v>319</v>
      </c>
      <c r="C1981" s="0" t="s">
        <v>268</v>
      </c>
      <c r="D1981" s="0" t="s">
        <v>320</v>
      </c>
      <c r="E1981" s="0" t="s">
        <v>332</v>
      </c>
      <c r="F1981" s="0" t="n">
        <v>8</v>
      </c>
      <c r="G1981" s="0" t="n">
        <v>0</v>
      </c>
      <c r="H1981" s="0" t="s">
        <v>122</v>
      </c>
      <c r="K1981" s="0" t="s">
        <v>322</v>
      </c>
      <c r="L1981" s="0" t="s">
        <v>3429</v>
      </c>
    </row>
    <row r="1982" customFormat="false" ht="15" hidden="false" customHeight="false" outlineLevel="0" collapsed="false">
      <c r="A1982" s="0" t="s">
        <v>3335</v>
      </c>
      <c r="B1982" s="0" t="s">
        <v>319</v>
      </c>
      <c r="C1982" s="0" t="s">
        <v>294</v>
      </c>
      <c r="D1982" s="0" t="s">
        <v>320</v>
      </c>
      <c r="E1982" s="0" t="s">
        <v>334</v>
      </c>
      <c r="F1982" s="0" t="n">
        <v>8</v>
      </c>
      <c r="G1982" s="0" t="n">
        <v>0</v>
      </c>
      <c r="H1982" s="0" t="s">
        <v>122</v>
      </c>
      <c r="K1982" s="0" t="s">
        <v>322</v>
      </c>
      <c r="L1982" s="0" t="s">
        <v>3430</v>
      </c>
    </row>
    <row r="1983" customFormat="false" ht="15" hidden="false" customHeight="false" outlineLevel="0" collapsed="false">
      <c r="A1983" s="0" t="s">
        <v>3335</v>
      </c>
      <c r="B1983" s="0" t="s">
        <v>319</v>
      </c>
      <c r="C1983" s="0" t="s">
        <v>114</v>
      </c>
      <c r="D1983" s="0" t="s">
        <v>86</v>
      </c>
      <c r="E1983" s="0" t="s">
        <v>336</v>
      </c>
      <c r="F1983" s="0" t="n">
        <v>8</v>
      </c>
      <c r="G1983" s="0" t="n">
        <v>0</v>
      </c>
      <c r="H1983" s="0" t="s">
        <v>122</v>
      </c>
      <c r="K1983" s="0" t="s">
        <v>322</v>
      </c>
      <c r="L1983" s="0" t="s">
        <v>3431</v>
      </c>
    </row>
    <row r="1984" customFormat="false" ht="15" hidden="false" customHeight="false" outlineLevel="0" collapsed="false">
      <c r="A1984" s="0" t="s">
        <v>3335</v>
      </c>
      <c r="B1984" s="0" t="s">
        <v>319</v>
      </c>
      <c r="C1984" s="0" t="s">
        <v>162</v>
      </c>
      <c r="D1984" s="0" t="s">
        <v>86</v>
      </c>
      <c r="E1984" s="0" t="s">
        <v>338</v>
      </c>
      <c r="F1984" s="0" t="n">
        <v>8</v>
      </c>
      <c r="G1984" s="0" t="n">
        <v>0</v>
      </c>
      <c r="H1984" s="0" t="s">
        <v>122</v>
      </c>
      <c r="K1984" s="0" t="s">
        <v>322</v>
      </c>
      <c r="L1984" s="0" t="s">
        <v>3432</v>
      </c>
    </row>
    <row r="1985" customFormat="false" ht="15" hidden="false" customHeight="false" outlineLevel="0" collapsed="false">
      <c r="A1985" s="0" t="s">
        <v>3335</v>
      </c>
      <c r="B1985" s="0" t="s">
        <v>319</v>
      </c>
      <c r="C1985" s="0" t="s">
        <v>189</v>
      </c>
      <c r="D1985" s="0" t="s">
        <v>86</v>
      </c>
      <c r="E1985" s="0" t="s">
        <v>340</v>
      </c>
      <c r="F1985" s="0" t="n">
        <v>8</v>
      </c>
      <c r="G1985" s="0" t="n">
        <v>0</v>
      </c>
      <c r="H1985" s="0" t="s">
        <v>122</v>
      </c>
      <c r="K1985" s="0" t="s">
        <v>322</v>
      </c>
      <c r="L1985" s="0" t="s">
        <v>3433</v>
      </c>
    </row>
    <row r="1986" customFormat="false" ht="15" hidden="false" customHeight="false" outlineLevel="0" collapsed="false">
      <c r="A1986" s="0" t="s">
        <v>3335</v>
      </c>
      <c r="B1986" s="0" t="s">
        <v>319</v>
      </c>
      <c r="C1986" s="0" t="s">
        <v>215</v>
      </c>
      <c r="D1986" s="0" t="s">
        <v>86</v>
      </c>
      <c r="E1986" s="0" t="s">
        <v>342</v>
      </c>
      <c r="F1986" s="0" t="n">
        <v>8</v>
      </c>
      <c r="G1986" s="0" t="n">
        <v>0</v>
      </c>
      <c r="H1986" s="0" t="s">
        <v>122</v>
      </c>
      <c r="K1986" s="0" t="s">
        <v>322</v>
      </c>
      <c r="L1986" s="0" t="s">
        <v>3434</v>
      </c>
    </row>
    <row r="1987" customFormat="false" ht="15" hidden="false" customHeight="false" outlineLevel="0" collapsed="false">
      <c r="A1987" s="0" t="s">
        <v>3335</v>
      </c>
      <c r="B1987" s="0" t="s">
        <v>319</v>
      </c>
      <c r="C1987" s="0" t="s">
        <v>241</v>
      </c>
      <c r="D1987" s="0" t="s">
        <v>86</v>
      </c>
      <c r="E1987" s="0" t="s">
        <v>344</v>
      </c>
      <c r="F1987" s="0" t="n">
        <v>8</v>
      </c>
      <c r="G1987" s="0" t="n">
        <v>0</v>
      </c>
      <c r="H1987" s="0" t="s">
        <v>122</v>
      </c>
      <c r="K1987" s="0" t="s">
        <v>322</v>
      </c>
      <c r="L1987" s="0" t="s">
        <v>3435</v>
      </c>
    </row>
    <row r="1988" customFormat="false" ht="15" hidden="false" customHeight="false" outlineLevel="0" collapsed="false">
      <c r="A1988" s="0" t="s">
        <v>3335</v>
      </c>
      <c r="B1988" s="0" t="s">
        <v>319</v>
      </c>
      <c r="C1988" s="0" t="s">
        <v>268</v>
      </c>
      <c r="D1988" s="0" t="s">
        <v>86</v>
      </c>
      <c r="E1988" s="0" t="s">
        <v>346</v>
      </c>
      <c r="F1988" s="0" t="n">
        <v>8</v>
      </c>
      <c r="G1988" s="0" t="n">
        <v>0</v>
      </c>
      <c r="H1988" s="0" t="s">
        <v>122</v>
      </c>
      <c r="K1988" s="0" t="s">
        <v>322</v>
      </c>
      <c r="L1988" s="0" t="s">
        <v>3436</v>
      </c>
    </row>
    <row r="1989" customFormat="false" ht="15" hidden="false" customHeight="false" outlineLevel="0" collapsed="false">
      <c r="A1989" s="0" t="s">
        <v>3335</v>
      </c>
      <c r="B1989" s="0" t="s">
        <v>319</v>
      </c>
      <c r="C1989" s="0" t="s">
        <v>294</v>
      </c>
      <c r="D1989" s="0" t="s">
        <v>86</v>
      </c>
      <c r="E1989" s="0" t="s">
        <v>348</v>
      </c>
      <c r="F1989" s="0" t="n">
        <v>8</v>
      </c>
      <c r="G1989" s="0" t="n">
        <v>0</v>
      </c>
      <c r="H1989" s="0" t="s">
        <v>122</v>
      </c>
      <c r="K1989" s="0" t="s">
        <v>322</v>
      </c>
      <c r="L1989" s="0" t="s">
        <v>3437</v>
      </c>
    </row>
    <row r="1990" customFormat="false" ht="15" hidden="false" customHeight="false" outlineLevel="0" collapsed="false">
      <c r="A1990" s="0" t="s">
        <v>3335</v>
      </c>
      <c r="B1990" s="0" t="s">
        <v>350</v>
      </c>
      <c r="C1990" s="0" t="s">
        <v>351</v>
      </c>
      <c r="D1990" s="0" t="s">
        <v>528</v>
      </c>
      <c r="E1990" s="0" t="s">
        <v>1421</v>
      </c>
      <c r="F1990" s="0" t="n">
        <v>5</v>
      </c>
      <c r="G1990" s="0" t="n">
        <v>0</v>
      </c>
      <c r="H1990" s="0" t="s">
        <v>122</v>
      </c>
      <c r="K1990" s="0" t="s">
        <v>118</v>
      </c>
      <c r="L1990" s="0" t="s">
        <v>3438</v>
      </c>
    </row>
    <row r="1991" customFormat="false" ht="15" hidden="false" customHeight="false" outlineLevel="0" collapsed="false">
      <c r="A1991" s="0" t="s">
        <v>3335</v>
      </c>
      <c r="B1991" s="0" t="s">
        <v>350</v>
      </c>
      <c r="C1991" s="0" t="s">
        <v>351</v>
      </c>
      <c r="D1991" s="0" t="s">
        <v>531</v>
      </c>
      <c r="E1991" s="0" t="s">
        <v>1423</v>
      </c>
      <c r="F1991" s="0" t="n">
        <v>5</v>
      </c>
      <c r="G1991" s="0" t="n">
        <v>1</v>
      </c>
      <c r="H1991" s="0" t="s">
        <v>122</v>
      </c>
      <c r="I1991" s="0" t="s">
        <v>3400</v>
      </c>
      <c r="K1991" s="0" t="s">
        <v>123</v>
      </c>
      <c r="L1991" s="0" t="s">
        <v>3439</v>
      </c>
    </row>
    <row r="1992" customFormat="false" ht="15" hidden="false" customHeight="false" outlineLevel="0" collapsed="false">
      <c r="A1992" s="0" t="s">
        <v>3335</v>
      </c>
      <c r="B1992" s="0" t="s">
        <v>350</v>
      </c>
      <c r="C1992" s="0" t="s">
        <v>351</v>
      </c>
      <c r="D1992" s="0" t="s">
        <v>534</v>
      </c>
      <c r="E1992" s="0" t="s">
        <v>1425</v>
      </c>
      <c r="F1992" s="0" t="n">
        <v>5</v>
      </c>
      <c r="G1992" s="0" t="n">
        <v>0</v>
      </c>
      <c r="H1992" s="0" t="s">
        <v>122</v>
      </c>
      <c r="K1992" s="0" t="s">
        <v>127</v>
      </c>
      <c r="L1992" s="0" t="s">
        <v>3440</v>
      </c>
    </row>
    <row r="1993" customFormat="false" ht="15" hidden="false" customHeight="false" outlineLevel="0" collapsed="false">
      <c r="A1993" s="0" t="s">
        <v>3335</v>
      </c>
      <c r="B1993" s="0" t="s">
        <v>350</v>
      </c>
      <c r="C1993" s="0" t="s">
        <v>351</v>
      </c>
      <c r="D1993" s="0" t="s">
        <v>52</v>
      </c>
      <c r="E1993" s="0" t="s">
        <v>1427</v>
      </c>
      <c r="F1993" s="0" t="n">
        <v>5</v>
      </c>
      <c r="G1993" s="0" t="n">
        <v>0</v>
      </c>
      <c r="H1993" s="0" t="s">
        <v>122</v>
      </c>
      <c r="K1993" s="0" t="s">
        <v>132</v>
      </c>
      <c r="L1993" s="0" t="s">
        <v>3441</v>
      </c>
    </row>
    <row r="1994" customFormat="false" ht="15" hidden="false" customHeight="false" outlineLevel="0" collapsed="false">
      <c r="A1994" s="0" t="s">
        <v>3335</v>
      </c>
      <c r="B1994" s="0" t="s">
        <v>350</v>
      </c>
      <c r="C1994" s="0" t="s">
        <v>351</v>
      </c>
      <c r="D1994" s="0" t="s">
        <v>55</v>
      </c>
      <c r="E1994" s="0" t="s">
        <v>1429</v>
      </c>
      <c r="F1994" s="0" t="n">
        <v>5</v>
      </c>
      <c r="G1994" s="0" t="n">
        <v>0</v>
      </c>
      <c r="H1994" s="0" t="s">
        <v>122</v>
      </c>
      <c r="K1994" s="0" t="s">
        <v>135</v>
      </c>
      <c r="L1994" s="0" t="s">
        <v>3442</v>
      </c>
    </row>
    <row r="1995" customFormat="false" ht="15" hidden="false" customHeight="false" outlineLevel="0" collapsed="false">
      <c r="A1995" s="0" t="s">
        <v>3335</v>
      </c>
      <c r="B1995" s="0" t="s">
        <v>350</v>
      </c>
      <c r="C1995" s="0" t="s">
        <v>351</v>
      </c>
      <c r="D1995" s="0" t="s">
        <v>58</v>
      </c>
      <c r="E1995" s="0" t="s">
        <v>1431</v>
      </c>
      <c r="F1995" s="0" t="n">
        <v>5</v>
      </c>
      <c r="G1995" s="0" t="n">
        <v>0</v>
      </c>
      <c r="H1995" s="0" t="s">
        <v>122</v>
      </c>
      <c r="K1995" s="0" t="s">
        <v>138</v>
      </c>
      <c r="L1995" s="0" t="s">
        <v>3443</v>
      </c>
    </row>
    <row r="1996" customFormat="false" ht="15" hidden="false" customHeight="false" outlineLevel="0" collapsed="false">
      <c r="A1996" s="0" t="s">
        <v>3335</v>
      </c>
      <c r="B1996" s="0" t="s">
        <v>350</v>
      </c>
      <c r="C1996" s="0" t="s">
        <v>351</v>
      </c>
      <c r="D1996" s="0" t="s">
        <v>65</v>
      </c>
      <c r="E1996" s="0" t="s">
        <v>1433</v>
      </c>
      <c r="F1996" s="0" t="n">
        <v>5</v>
      </c>
      <c r="G1996" s="0" t="n">
        <v>0</v>
      </c>
      <c r="H1996" s="0" t="s">
        <v>122</v>
      </c>
      <c r="K1996" s="0" t="s">
        <v>143</v>
      </c>
      <c r="L1996" s="0" t="s">
        <v>3444</v>
      </c>
    </row>
    <row r="1997" customFormat="false" ht="15" hidden="false" customHeight="false" outlineLevel="0" collapsed="false">
      <c r="A1997" s="0" t="s">
        <v>3335</v>
      </c>
      <c r="B1997" s="0" t="s">
        <v>350</v>
      </c>
      <c r="C1997" s="0" t="s">
        <v>351</v>
      </c>
      <c r="D1997" s="0" t="s">
        <v>69</v>
      </c>
      <c r="E1997" s="0" t="s">
        <v>1435</v>
      </c>
      <c r="F1997" s="0" t="n">
        <v>5</v>
      </c>
      <c r="G1997" s="0" t="n">
        <v>0</v>
      </c>
      <c r="H1997" s="0" t="s">
        <v>122</v>
      </c>
      <c r="K1997" s="0" t="s">
        <v>146</v>
      </c>
      <c r="L1997" s="0" t="s">
        <v>3445</v>
      </c>
    </row>
    <row r="1998" customFormat="false" ht="15" hidden="false" customHeight="false" outlineLevel="0" collapsed="false">
      <c r="A1998" s="0" t="s">
        <v>3335</v>
      </c>
      <c r="B1998" s="0" t="s">
        <v>350</v>
      </c>
      <c r="C1998" s="0" t="s">
        <v>351</v>
      </c>
      <c r="D1998" s="0" t="s">
        <v>72</v>
      </c>
      <c r="E1998" s="0" t="s">
        <v>1437</v>
      </c>
      <c r="F1998" s="0" t="n">
        <v>5</v>
      </c>
      <c r="G1998" s="0" t="n">
        <v>0</v>
      </c>
      <c r="H1998" s="0" t="s">
        <v>122</v>
      </c>
      <c r="K1998" s="0" t="s">
        <v>149</v>
      </c>
      <c r="L1998" s="0" t="s">
        <v>3446</v>
      </c>
    </row>
    <row r="1999" customFormat="false" ht="15" hidden="false" customHeight="false" outlineLevel="0" collapsed="false">
      <c r="A1999" s="0" t="s">
        <v>3335</v>
      </c>
      <c r="B1999" s="0" t="s">
        <v>350</v>
      </c>
      <c r="C1999" s="0" t="s">
        <v>351</v>
      </c>
      <c r="D1999" s="0" t="s">
        <v>75</v>
      </c>
      <c r="E1999" s="0" t="s">
        <v>1439</v>
      </c>
      <c r="F1999" s="0" t="n">
        <v>5</v>
      </c>
      <c r="G1999" s="0" t="n">
        <v>0</v>
      </c>
      <c r="H1999" s="0" t="s">
        <v>122</v>
      </c>
      <c r="K1999" s="0" t="s">
        <v>152</v>
      </c>
      <c r="L1999" s="0" t="s">
        <v>3447</v>
      </c>
    </row>
    <row r="2000" customFormat="false" ht="15" hidden="false" customHeight="false" outlineLevel="0" collapsed="false">
      <c r="A2000" s="0" t="s">
        <v>3335</v>
      </c>
      <c r="B2000" s="0" t="s">
        <v>350</v>
      </c>
      <c r="C2000" s="0" t="s">
        <v>351</v>
      </c>
      <c r="D2000" s="0" t="s">
        <v>78</v>
      </c>
      <c r="E2000" s="0" t="s">
        <v>1441</v>
      </c>
      <c r="F2000" s="0" t="n">
        <v>5</v>
      </c>
      <c r="G2000" s="0" t="n">
        <v>0</v>
      </c>
      <c r="H2000" s="0" t="s">
        <v>122</v>
      </c>
      <c r="K2000" s="0" t="s">
        <v>156</v>
      </c>
      <c r="L2000" s="0" t="s">
        <v>3448</v>
      </c>
    </row>
    <row r="2001" customFormat="false" ht="15" hidden="false" customHeight="false" outlineLevel="0" collapsed="false">
      <c r="A2001" s="0" t="s">
        <v>3335</v>
      </c>
      <c r="B2001" s="0" t="s">
        <v>350</v>
      </c>
      <c r="C2001" s="0" t="s">
        <v>351</v>
      </c>
      <c r="D2001" s="0" t="s">
        <v>81</v>
      </c>
      <c r="E2001" s="0" t="s">
        <v>1443</v>
      </c>
      <c r="F2001" s="0" t="n">
        <v>5</v>
      </c>
      <c r="G2001" s="0" t="n">
        <v>0</v>
      </c>
      <c r="H2001" s="0" t="s">
        <v>122</v>
      </c>
      <c r="K2001" s="0" t="s">
        <v>160</v>
      </c>
      <c r="L2001" s="0" t="s">
        <v>3449</v>
      </c>
    </row>
    <row r="2002" customFormat="false" ht="15" hidden="false" customHeight="false" outlineLevel="0" collapsed="false">
      <c r="A2002" s="0" t="s">
        <v>3335</v>
      </c>
      <c r="B2002" s="0" t="s">
        <v>350</v>
      </c>
      <c r="C2002" s="0" t="s">
        <v>376</v>
      </c>
      <c r="D2002" s="0" t="s">
        <v>528</v>
      </c>
      <c r="E2002" s="0" t="s">
        <v>1445</v>
      </c>
      <c r="F2002" s="0" t="n">
        <v>5</v>
      </c>
      <c r="G2002" s="0" t="n">
        <v>0</v>
      </c>
      <c r="H2002" s="0" t="s">
        <v>122</v>
      </c>
      <c r="K2002" s="0" t="s">
        <v>118</v>
      </c>
      <c r="L2002" s="0" t="s">
        <v>3450</v>
      </c>
    </row>
    <row r="2003" customFormat="false" ht="15" hidden="false" customHeight="false" outlineLevel="0" collapsed="false">
      <c r="A2003" s="0" t="s">
        <v>3335</v>
      </c>
      <c r="B2003" s="0" t="s">
        <v>350</v>
      </c>
      <c r="C2003" s="0" t="s">
        <v>376</v>
      </c>
      <c r="D2003" s="0" t="s">
        <v>531</v>
      </c>
      <c r="E2003" s="0" t="s">
        <v>1447</v>
      </c>
      <c r="F2003" s="0" t="n">
        <v>5</v>
      </c>
      <c r="G2003" s="0" t="n">
        <v>0</v>
      </c>
      <c r="H2003" s="0" t="s">
        <v>122</v>
      </c>
      <c r="K2003" s="0" t="s">
        <v>123</v>
      </c>
      <c r="L2003" s="0" t="s">
        <v>3451</v>
      </c>
    </row>
    <row r="2004" customFormat="false" ht="15" hidden="false" customHeight="false" outlineLevel="0" collapsed="false">
      <c r="A2004" s="0" t="s">
        <v>3335</v>
      </c>
      <c r="B2004" s="0" t="s">
        <v>350</v>
      </c>
      <c r="C2004" s="0" t="s">
        <v>376</v>
      </c>
      <c r="D2004" s="0" t="s">
        <v>534</v>
      </c>
      <c r="E2004" s="0" t="s">
        <v>1449</v>
      </c>
      <c r="F2004" s="0" t="n">
        <v>5</v>
      </c>
      <c r="G2004" s="0" t="n">
        <v>0</v>
      </c>
      <c r="H2004" s="0" t="s">
        <v>122</v>
      </c>
      <c r="K2004" s="0" t="s">
        <v>127</v>
      </c>
      <c r="L2004" s="0" t="s">
        <v>3452</v>
      </c>
    </row>
    <row r="2005" customFormat="false" ht="15" hidden="false" customHeight="false" outlineLevel="0" collapsed="false">
      <c r="A2005" s="0" t="s">
        <v>3335</v>
      </c>
      <c r="B2005" s="0" t="s">
        <v>350</v>
      </c>
      <c r="C2005" s="0" t="s">
        <v>376</v>
      </c>
      <c r="D2005" s="0" t="s">
        <v>52</v>
      </c>
      <c r="E2005" s="0" t="s">
        <v>1451</v>
      </c>
      <c r="F2005" s="0" t="n">
        <v>5</v>
      </c>
      <c r="G2005" s="0" t="n">
        <v>0</v>
      </c>
      <c r="H2005" s="0" t="s">
        <v>122</v>
      </c>
      <c r="K2005" s="0" t="s">
        <v>132</v>
      </c>
      <c r="L2005" s="0" t="s">
        <v>3453</v>
      </c>
    </row>
    <row r="2006" customFormat="false" ht="15" hidden="false" customHeight="false" outlineLevel="0" collapsed="false">
      <c r="A2006" s="0" t="s">
        <v>3335</v>
      </c>
      <c r="B2006" s="0" t="s">
        <v>350</v>
      </c>
      <c r="C2006" s="0" t="s">
        <v>376</v>
      </c>
      <c r="D2006" s="0" t="s">
        <v>55</v>
      </c>
      <c r="E2006" s="0" t="s">
        <v>1453</v>
      </c>
      <c r="F2006" s="0" t="n">
        <v>5</v>
      </c>
      <c r="G2006" s="0" t="n">
        <v>0</v>
      </c>
      <c r="H2006" s="0" t="s">
        <v>122</v>
      </c>
      <c r="K2006" s="0" t="s">
        <v>135</v>
      </c>
      <c r="L2006" s="0" t="s">
        <v>3454</v>
      </c>
    </row>
    <row r="2007" customFormat="false" ht="15" hidden="false" customHeight="false" outlineLevel="0" collapsed="false">
      <c r="A2007" s="0" t="s">
        <v>3335</v>
      </c>
      <c r="B2007" s="0" t="s">
        <v>350</v>
      </c>
      <c r="C2007" s="0" t="s">
        <v>376</v>
      </c>
      <c r="D2007" s="0" t="s">
        <v>58</v>
      </c>
      <c r="E2007" s="0" t="s">
        <v>1455</v>
      </c>
      <c r="F2007" s="0" t="n">
        <v>5</v>
      </c>
      <c r="G2007" s="0" t="n">
        <v>0</v>
      </c>
      <c r="H2007" s="0" t="s">
        <v>122</v>
      </c>
      <c r="K2007" s="0" t="s">
        <v>138</v>
      </c>
      <c r="L2007" s="0" t="s">
        <v>3455</v>
      </c>
    </row>
    <row r="2008" customFormat="false" ht="15" hidden="false" customHeight="false" outlineLevel="0" collapsed="false">
      <c r="A2008" s="0" t="s">
        <v>3335</v>
      </c>
      <c r="B2008" s="0" t="s">
        <v>350</v>
      </c>
      <c r="C2008" s="0" t="s">
        <v>376</v>
      </c>
      <c r="D2008" s="0" t="s">
        <v>65</v>
      </c>
      <c r="E2008" s="0" t="s">
        <v>1457</v>
      </c>
      <c r="F2008" s="0" t="n">
        <v>5</v>
      </c>
      <c r="G2008" s="0" t="n">
        <v>0</v>
      </c>
      <c r="H2008" s="0" t="s">
        <v>122</v>
      </c>
      <c r="K2008" s="0" t="s">
        <v>143</v>
      </c>
      <c r="L2008" s="0" t="s">
        <v>3456</v>
      </c>
    </row>
    <row r="2009" customFormat="false" ht="15" hidden="false" customHeight="false" outlineLevel="0" collapsed="false">
      <c r="A2009" s="0" t="s">
        <v>3335</v>
      </c>
      <c r="B2009" s="0" t="s">
        <v>350</v>
      </c>
      <c r="C2009" s="0" t="s">
        <v>376</v>
      </c>
      <c r="D2009" s="0" t="s">
        <v>69</v>
      </c>
      <c r="E2009" s="0" t="s">
        <v>1459</v>
      </c>
      <c r="F2009" s="0" t="n">
        <v>5</v>
      </c>
      <c r="G2009" s="0" t="n">
        <v>0</v>
      </c>
      <c r="H2009" s="0" t="s">
        <v>122</v>
      </c>
      <c r="K2009" s="0" t="s">
        <v>146</v>
      </c>
      <c r="L2009" s="0" t="s">
        <v>3457</v>
      </c>
    </row>
    <row r="2010" customFormat="false" ht="15" hidden="false" customHeight="false" outlineLevel="0" collapsed="false">
      <c r="A2010" s="0" t="s">
        <v>3335</v>
      </c>
      <c r="B2010" s="0" t="s">
        <v>350</v>
      </c>
      <c r="C2010" s="0" t="s">
        <v>376</v>
      </c>
      <c r="D2010" s="0" t="s">
        <v>72</v>
      </c>
      <c r="E2010" s="0" t="s">
        <v>1461</v>
      </c>
      <c r="F2010" s="0" t="n">
        <v>5</v>
      </c>
      <c r="G2010" s="0" t="n">
        <v>0</v>
      </c>
      <c r="H2010" s="0" t="s">
        <v>122</v>
      </c>
      <c r="K2010" s="0" t="s">
        <v>149</v>
      </c>
      <c r="L2010" s="0" t="s">
        <v>3458</v>
      </c>
    </row>
    <row r="2011" customFormat="false" ht="15" hidden="false" customHeight="false" outlineLevel="0" collapsed="false">
      <c r="A2011" s="0" t="s">
        <v>3335</v>
      </c>
      <c r="B2011" s="0" t="s">
        <v>350</v>
      </c>
      <c r="C2011" s="0" t="s">
        <v>376</v>
      </c>
      <c r="D2011" s="0" t="s">
        <v>75</v>
      </c>
      <c r="E2011" s="0" t="s">
        <v>1463</v>
      </c>
      <c r="F2011" s="0" t="n">
        <v>5</v>
      </c>
      <c r="G2011" s="0" t="n">
        <v>0</v>
      </c>
      <c r="H2011" s="0" t="s">
        <v>122</v>
      </c>
      <c r="K2011" s="0" t="s">
        <v>152</v>
      </c>
      <c r="L2011" s="0" t="s">
        <v>3459</v>
      </c>
    </row>
    <row r="2012" customFormat="false" ht="15" hidden="false" customHeight="false" outlineLevel="0" collapsed="false">
      <c r="A2012" s="0" t="s">
        <v>3335</v>
      </c>
      <c r="B2012" s="0" t="s">
        <v>350</v>
      </c>
      <c r="C2012" s="0" t="s">
        <v>376</v>
      </c>
      <c r="D2012" s="0" t="s">
        <v>78</v>
      </c>
      <c r="E2012" s="0" t="s">
        <v>1465</v>
      </c>
      <c r="F2012" s="0" t="n">
        <v>5</v>
      </c>
      <c r="G2012" s="0" t="n">
        <v>0</v>
      </c>
      <c r="H2012" s="0" t="s">
        <v>122</v>
      </c>
      <c r="K2012" s="0" t="s">
        <v>156</v>
      </c>
      <c r="L2012" s="0" t="s">
        <v>3460</v>
      </c>
    </row>
    <row r="2013" customFormat="false" ht="15" hidden="false" customHeight="false" outlineLevel="0" collapsed="false">
      <c r="A2013" s="0" t="s">
        <v>3335</v>
      </c>
      <c r="B2013" s="0" t="s">
        <v>350</v>
      </c>
      <c r="C2013" s="0" t="s">
        <v>376</v>
      </c>
      <c r="D2013" s="0" t="s">
        <v>81</v>
      </c>
      <c r="E2013" s="0" t="s">
        <v>1467</v>
      </c>
      <c r="F2013" s="0" t="n">
        <v>5</v>
      </c>
      <c r="G2013" s="0" t="n">
        <v>0</v>
      </c>
      <c r="H2013" s="0" t="s">
        <v>122</v>
      </c>
      <c r="K2013" s="0" t="s">
        <v>160</v>
      </c>
      <c r="L2013" s="0" t="s">
        <v>3461</v>
      </c>
    </row>
    <row r="2014" customFormat="false" ht="15" hidden="false" customHeight="false" outlineLevel="0" collapsed="false">
      <c r="A2014" s="0" t="s">
        <v>3335</v>
      </c>
      <c r="B2014" s="0" t="s">
        <v>350</v>
      </c>
      <c r="C2014" s="0" t="s">
        <v>401</v>
      </c>
      <c r="D2014" s="0" t="s">
        <v>528</v>
      </c>
      <c r="E2014" s="0" t="s">
        <v>1469</v>
      </c>
      <c r="F2014" s="0" t="n">
        <v>5</v>
      </c>
      <c r="G2014" s="0" t="n">
        <v>0</v>
      </c>
      <c r="H2014" s="0" t="s">
        <v>122</v>
      </c>
      <c r="K2014" s="0" t="s">
        <v>118</v>
      </c>
      <c r="L2014" s="0" t="s">
        <v>3462</v>
      </c>
    </row>
    <row r="2015" customFormat="false" ht="15" hidden="false" customHeight="false" outlineLevel="0" collapsed="false">
      <c r="A2015" s="0" t="s">
        <v>3335</v>
      </c>
      <c r="B2015" s="0" t="s">
        <v>350</v>
      </c>
      <c r="C2015" s="0" t="s">
        <v>401</v>
      </c>
      <c r="D2015" s="0" t="s">
        <v>531</v>
      </c>
      <c r="E2015" s="0" t="s">
        <v>1471</v>
      </c>
      <c r="F2015" s="0" t="n">
        <v>5</v>
      </c>
      <c r="G2015" s="0" t="n">
        <v>0</v>
      </c>
      <c r="H2015" s="0" t="s">
        <v>122</v>
      </c>
      <c r="K2015" s="0" t="s">
        <v>123</v>
      </c>
      <c r="L2015" s="0" t="s">
        <v>3463</v>
      </c>
    </row>
    <row r="2016" customFormat="false" ht="15" hidden="false" customHeight="false" outlineLevel="0" collapsed="false">
      <c r="A2016" s="0" t="s">
        <v>3335</v>
      </c>
      <c r="B2016" s="0" t="s">
        <v>350</v>
      </c>
      <c r="C2016" s="0" t="s">
        <v>401</v>
      </c>
      <c r="D2016" s="0" t="s">
        <v>534</v>
      </c>
      <c r="E2016" s="0" t="s">
        <v>1473</v>
      </c>
      <c r="F2016" s="0" t="n">
        <v>5</v>
      </c>
      <c r="G2016" s="0" t="n">
        <v>2</v>
      </c>
      <c r="H2016" s="0" t="s">
        <v>122</v>
      </c>
      <c r="I2016" s="0" t="s">
        <v>3349</v>
      </c>
      <c r="K2016" s="0" t="s">
        <v>127</v>
      </c>
      <c r="L2016" s="0" t="s">
        <v>3464</v>
      </c>
    </row>
    <row r="2017" customFormat="false" ht="15" hidden="false" customHeight="false" outlineLevel="0" collapsed="false">
      <c r="A2017" s="0" t="s">
        <v>3335</v>
      </c>
      <c r="B2017" s="0" t="s">
        <v>350</v>
      </c>
      <c r="C2017" s="0" t="s">
        <v>401</v>
      </c>
      <c r="D2017" s="0" t="s">
        <v>52</v>
      </c>
      <c r="E2017" s="0" t="s">
        <v>1475</v>
      </c>
      <c r="F2017" s="0" t="n">
        <v>5</v>
      </c>
      <c r="G2017" s="0" t="n">
        <v>4</v>
      </c>
      <c r="H2017" s="0" t="s">
        <v>122</v>
      </c>
      <c r="I2017" s="0" t="s">
        <v>3363</v>
      </c>
      <c r="K2017" s="0" t="s">
        <v>132</v>
      </c>
      <c r="L2017" s="0" t="s">
        <v>3465</v>
      </c>
    </row>
    <row r="2018" customFormat="false" ht="15" hidden="false" customHeight="false" outlineLevel="0" collapsed="false">
      <c r="A2018" s="0" t="s">
        <v>3335</v>
      </c>
      <c r="B2018" s="0" t="s">
        <v>350</v>
      </c>
      <c r="C2018" s="0" t="s">
        <v>401</v>
      </c>
      <c r="D2018" s="0" t="s">
        <v>55</v>
      </c>
      <c r="E2018" s="0" t="s">
        <v>1477</v>
      </c>
      <c r="F2018" s="0" t="n">
        <v>5</v>
      </c>
      <c r="G2018" s="0" t="n">
        <v>0</v>
      </c>
      <c r="H2018" s="0" t="s">
        <v>122</v>
      </c>
      <c r="K2018" s="0" t="s">
        <v>135</v>
      </c>
      <c r="L2018" s="0" t="s">
        <v>3466</v>
      </c>
    </row>
    <row r="2019" customFormat="false" ht="15" hidden="false" customHeight="false" outlineLevel="0" collapsed="false">
      <c r="A2019" s="0" t="s">
        <v>3335</v>
      </c>
      <c r="B2019" s="0" t="s">
        <v>350</v>
      </c>
      <c r="C2019" s="0" t="s">
        <v>401</v>
      </c>
      <c r="D2019" s="0" t="s">
        <v>58</v>
      </c>
      <c r="E2019" s="0" t="s">
        <v>1479</v>
      </c>
      <c r="F2019" s="0" t="n">
        <v>5</v>
      </c>
      <c r="G2019" s="0" t="n">
        <v>0</v>
      </c>
      <c r="H2019" s="0" t="s">
        <v>122</v>
      </c>
      <c r="K2019" s="0" t="s">
        <v>138</v>
      </c>
      <c r="L2019" s="0" t="s">
        <v>3467</v>
      </c>
    </row>
    <row r="2020" customFormat="false" ht="15" hidden="false" customHeight="false" outlineLevel="0" collapsed="false">
      <c r="A2020" s="0" t="s">
        <v>3335</v>
      </c>
      <c r="B2020" s="0" t="s">
        <v>350</v>
      </c>
      <c r="C2020" s="0" t="s">
        <v>401</v>
      </c>
      <c r="D2020" s="0" t="s">
        <v>65</v>
      </c>
      <c r="E2020" s="0" t="s">
        <v>1481</v>
      </c>
      <c r="F2020" s="0" t="n">
        <v>5</v>
      </c>
      <c r="G2020" s="0" t="n">
        <v>0</v>
      </c>
      <c r="H2020" s="0" t="s">
        <v>122</v>
      </c>
      <c r="K2020" s="0" t="s">
        <v>143</v>
      </c>
      <c r="L2020" s="0" t="s">
        <v>3468</v>
      </c>
    </row>
    <row r="2021" customFormat="false" ht="15" hidden="false" customHeight="false" outlineLevel="0" collapsed="false">
      <c r="A2021" s="0" t="s">
        <v>3335</v>
      </c>
      <c r="B2021" s="0" t="s">
        <v>350</v>
      </c>
      <c r="C2021" s="0" t="s">
        <v>401</v>
      </c>
      <c r="D2021" s="0" t="s">
        <v>69</v>
      </c>
      <c r="E2021" s="0" t="s">
        <v>1483</v>
      </c>
      <c r="F2021" s="0" t="n">
        <v>5</v>
      </c>
      <c r="G2021" s="0" t="n">
        <v>0</v>
      </c>
      <c r="H2021" s="0" t="s">
        <v>122</v>
      </c>
      <c r="K2021" s="0" t="s">
        <v>146</v>
      </c>
      <c r="L2021" s="0" t="s">
        <v>3469</v>
      </c>
    </row>
    <row r="2022" customFormat="false" ht="15" hidden="false" customHeight="false" outlineLevel="0" collapsed="false">
      <c r="A2022" s="0" t="s">
        <v>3335</v>
      </c>
      <c r="B2022" s="0" t="s">
        <v>350</v>
      </c>
      <c r="C2022" s="0" t="s">
        <v>401</v>
      </c>
      <c r="D2022" s="0" t="s">
        <v>72</v>
      </c>
      <c r="E2022" s="0" t="s">
        <v>1485</v>
      </c>
      <c r="F2022" s="0" t="n">
        <v>5</v>
      </c>
      <c r="G2022" s="0" t="n">
        <v>0</v>
      </c>
      <c r="H2022" s="0" t="s">
        <v>122</v>
      </c>
      <c r="K2022" s="0" t="s">
        <v>149</v>
      </c>
      <c r="L2022" s="0" t="s">
        <v>3470</v>
      </c>
    </row>
    <row r="2023" customFormat="false" ht="15" hidden="false" customHeight="false" outlineLevel="0" collapsed="false">
      <c r="A2023" s="0" t="s">
        <v>3335</v>
      </c>
      <c r="B2023" s="0" t="s">
        <v>350</v>
      </c>
      <c r="C2023" s="0" t="s">
        <v>401</v>
      </c>
      <c r="D2023" s="0" t="s">
        <v>75</v>
      </c>
      <c r="E2023" s="0" t="s">
        <v>1487</v>
      </c>
      <c r="F2023" s="0" t="n">
        <v>5</v>
      </c>
      <c r="G2023" s="0" t="n">
        <v>0</v>
      </c>
      <c r="H2023" s="0" t="s">
        <v>122</v>
      </c>
      <c r="K2023" s="0" t="s">
        <v>152</v>
      </c>
      <c r="L2023" s="0" t="s">
        <v>3471</v>
      </c>
    </row>
    <row r="2024" customFormat="false" ht="15" hidden="false" customHeight="false" outlineLevel="0" collapsed="false">
      <c r="A2024" s="0" t="s">
        <v>3335</v>
      </c>
      <c r="B2024" s="0" t="s">
        <v>350</v>
      </c>
      <c r="C2024" s="0" t="s">
        <v>401</v>
      </c>
      <c r="D2024" s="0" t="s">
        <v>78</v>
      </c>
      <c r="E2024" s="0" t="s">
        <v>1489</v>
      </c>
      <c r="F2024" s="0" t="n">
        <v>5</v>
      </c>
      <c r="G2024" s="0" t="n">
        <v>0</v>
      </c>
      <c r="H2024" s="0" t="s">
        <v>122</v>
      </c>
      <c r="K2024" s="0" t="s">
        <v>156</v>
      </c>
      <c r="L2024" s="0" t="s">
        <v>3472</v>
      </c>
    </row>
    <row r="2025" customFormat="false" ht="15" hidden="false" customHeight="false" outlineLevel="0" collapsed="false">
      <c r="A2025" s="0" t="s">
        <v>3335</v>
      </c>
      <c r="B2025" s="0" t="s">
        <v>350</v>
      </c>
      <c r="C2025" s="0" t="s">
        <v>401</v>
      </c>
      <c r="D2025" s="0" t="s">
        <v>81</v>
      </c>
      <c r="E2025" s="0" t="s">
        <v>1491</v>
      </c>
      <c r="F2025" s="0" t="n">
        <v>5</v>
      </c>
      <c r="G2025" s="0" t="n">
        <v>0</v>
      </c>
      <c r="H2025" s="0" t="s">
        <v>122</v>
      </c>
      <c r="K2025" s="0" t="s">
        <v>160</v>
      </c>
      <c r="L2025" s="0" t="s">
        <v>3473</v>
      </c>
    </row>
    <row r="2026" customFormat="false" ht="15" hidden="false" customHeight="false" outlineLevel="0" collapsed="false">
      <c r="A2026" s="0" t="s">
        <v>3335</v>
      </c>
      <c r="B2026" s="0" t="s">
        <v>350</v>
      </c>
      <c r="C2026" s="0" t="s">
        <v>426</v>
      </c>
      <c r="D2026" s="0" t="s">
        <v>528</v>
      </c>
      <c r="E2026" s="0" t="s">
        <v>1493</v>
      </c>
      <c r="F2026" s="0" t="n">
        <v>5</v>
      </c>
      <c r="G2026" s="0" t="n">
        <v>0</v>
      </c>
      <c r="H2026" s="0" t="s">
        <v>122</v>
      </c>
      <c r="K2026" s="0" t="s">
        <v>118</v>
      </c>
      <c r="L2026" s="0" t="s">
        <v>3474</v>
      </c>
    </row>
    <row r="2027" customFormat="false" ht="15" hidden="false" customHeight="false" outlineLevel="0" collapsed="false">
      <c r="A2027" s="0" t="s">
        <v>3335</v>
      </c>
      <c r="B2027" s="0" t="s">
        <v>350</v>
      </c>
      <c r="C2027" s="0" t="s">
        <v>426</v>
      </c>
      <c r="D2027" s="0" t="s">
        <v>531</v>
      </c>
      <c r="E2027" s="0" t="s">
        <v>1495</v>
      </c>
      <c r="F2027" s="0" t="n">
        <v>5</v>
      </c>
      <c r="G2027" s="0" t="n">
        <v>1</v>
      </c>
      <c r="H2027" s="0" t="s">
        <v>122</v>
      </c>
      <c r="I2027" s="0" t="s">
        <v>3377</v>
      </c>
      <c r="K2027" s="0" t="s">
        <v>123</v>
      </c>
      <c r="L2027" s="0" t="s">
        <v>3475</v>
      </c>
    </row>
    <row r="2028" customFormat="false" ht="15" hidden="false" customHeight="false" outlineLevel="0" collapsed="false">
      <c r="A2028" s="0" t="s">
        <v>3335</v>
      </c>
      <c r="B2028" s="0" t="s">
        <v>350</v>
      </c>
      <c r="C2028" s="0" t="s">
        <v>426</v>
      </c>
      <c r="D2028" s="0" t="s">
        <v>534</v>
      </c>
      <c r="E2028" s="0" t="s">
        <v>1497</v>
      </c>
      <c r="F2028" s="0" t="n">
        <v>5</v>
      </c>
      <c r="G2028" s="0" t="n">
        <v>0</v>
      </c>
      <c r="H2028" s="0" t="s">
        <v>122</v>
      </c>
      <c r="K2028" s="0" t="s">
        <v>127</v>
      </c>
      <c r="L2028" s="0" t="s">
        <v>3476</v>
      </c>
    </row>
    <row r="2029" customFormat="false" ht="15" hidden="false" customHeight="false" outlineLevel="0" collapsed="false">
      <c r="A2029" s="0" t="s">
        <v>3335</v>
      </c>
      <c r="B2029" s="0" t="s">
        <v>350</v>
      </c>
      <c r="C2029" s="0" t="s">
        <v>426</v>
      </c>
      <c r="D2029" s="0" t="s">
        <v>52</v>
      </c>
      <c r="E2029" s="0" t="s">
        <v>1499</v>
      </c>
      <c r="F2029" s="0" t="n">
        <v>5</v>
      </c>
      <c r="G2029" s="0" t="n">
        <v>0</v>
      </c>
      <c r="H2029" s="0" t="s">
        <v>122</v>
      </c>
      <c r="K2029" s="0" t="s">
        <v>132</v>
      </c>
      <c r="L2029" s="0" t="s">
        <v>3477</v>
      </c>
    </row>
    <row r="2030" customFormat="false" ht="15" hidden="false" customHeight="false" outlineLevel="0" collapsed="false">
      <c r="A2030" s="0" t="s">
        <v>3335</v>
      </c>
      <c r="B2030" s="0" t="s">
        <v>350</v>
      </c>
      <c r="C2030" s="0" t="s">
        <v>426</v>
      </c>
      <c r="D2030" s="0" t="s">
        <v>55</v>
      </c>
      <c r="E2030" s="0" t="s">
        <v>1501</v>
      </c>
      <c r="F2030" s="0" t="n">
        <v>5</v>
      </c>
      <c r="G2030" s="0" t="n">
        <v>0</v>
      </c>
      <c r="H2030" s="0" t="s">
        <v>122</v>
      </c>
      <c r="K2030" s="0" t="s">
        <v>135</v>
      </c>
      <c r="L2030" s="0" t="s">
        <v>3478</v>
      </c>
    </row>
    <row r="2031" customFormat="false" ht="15" hidden="false" customHeight="false" outlineLevel="0" collapsed="false">
      <c r="A2031" s="0" t="s">
        <v>3335</v>
      </c>
      <c r="B2031" s="0" t="s">
        <v>350</v>
      </c>
      <c r="C2031" s="0" t="s">
        <v>426</v>
      </c>
      <c r="D2031" s="0" t="s">
        <v>58</v>
      </c>
      <c r="E2031" s="0" t="s">
        <v>1503</v>
      </c>
      <c r="F2031" s="0" t="n">
        <v>5</v>
      </c>
      <c r="G2031" s="0" t="n">
        <v>0</v>
      </c>
      <c r="H2031" s="0" t="s">
        <v>122</v>
      </c>
      <c r="K2031" s="0" t="s">
        <v>138</v>
      </c>
      <c r="L2031" s="0" t="s">
        <v>3479</v>
      </c>
    </row>
    <row r="2032" customFormat="false" ht="15" hidden="false" customHeight="false" outlineLevel="0" collapsed="false">
      <c r="A2032" s="0" t="s">
        <v>3335</v>
      </c>
      <c r="B2032" s="0" t="s">
        <v>350</v>
      </c>
      <c r="C2032" s="0" t="s">
        <v>426</v>
      </c>
      <c r="D2032" s="0" t="s">
        <v>65</v>
      </c>
      <c r="E2032" s="0" t="s">
        <v>1505</v>
      </c>
      <c r="F2032" s="0" t="n">
        <v>5</v>
      </c>
      <c r="G2032" s="0" t="n">
        <v>0</v>
      </c>
      <c r="H2032" s="0" t="s">
        <v>122</v>
      </c>
      <c r="K2032" s="0" t="s">
        <v>143</v>
      </c>
      <c r="L2032" s="0" t="s">
        <v>3480</v>
      </c>
    </row>
    <row r="2033" customFormat="false" ht="15" hidden="false" customHeight="false" outlineLevel="0" collapsed="false">
      <c r="A2033" s="0" t="s">
        <v>3335</v>
      </c>
      <c r="B2033" s="0" t="s">
        <v>350</v>
      </c>
      <c r="C2033" s="0" t="s">
        <v>426</v>
      </c>
      <c r="D2033" s="0" t="s">
        <v>69</v>
      </c>
      <c r="E2033" s="0" t="s">
        <v>1507</v>
      </c>
      <c r="F2033" s="0" t="n">
        <v>5</v>
      </c>
      <c r="G2033" s="0" t="n">
        <v>0</v>
      </c>
      <c r="H2033" s="0" t="s">
        <v>122</v>
      </c>
      <c r="K2033" s="0" t="s">
        <v>146</v>
      </c>
      <c r="L2033" s="0" t="s">
        <v>3481</v>
      </c>
    </row>
    <row r="2034" customFormat="false" ht="15" hidden="false" customHeight="false" outlineLevel="0" collapsed="false">
      <c r="A2034" s="0" t="s">
        <v>3335</v>
      </c>
      <c r="B2034" s="0" t="s">
        <v>350</v>
      </c>
      <c r="C2034" s="0" t="s">
        <v>426</v>
      </c>
      <c r="D2034" s="0" t="s">
        <v>72</v>
      </c>
      <c r="E2034" s="0" t="s">
        <v>1509</v>
      </c>
      <c r="F2034" s="0" t="n">
        <v>5</v>
      </c>
      <c r="G2034" s="0" t="n">
        <v>0</v>
      </c>
      <c r="H2034" s="0" t="s">
        <v>122</v>
      </c>
      <c r="K2034" s="0" t="s">
        <v>149</v>
      </c>
      <c r="L2034" s="0" t="s">
        <v>3482</v>
      </c>
    </row>
    <row r="2035" customFormat="false" ht="15" hidden="false" customHeight="false" outlineLevel="0" collapsed="false">
      <c r="A2035" s="0" t="s">
        <v>3335</v>
      </c>
      <c r="B2035" s="0" t="s">
        <v>350</v>
      </c>
      <c r="C2035" s="0" t="s">
        <v>426</v>
      </c>
      <c r="D2035" s="0" t="s">
        <v>75</v>
      </c>
      <c r="E2035" s="0" t="s">
        <v>1511</v>
      </c>
      <c r="F2035" s="0" t="n">
        <v>5</v>
      </c>
      <c r="G2035" s="0" t="n">
        <v>0</v>
      </c>
      <c r="H2035" s="0" t="s">
        <v>122</v>
      </c>
      <c r="K2035" s="0" t="s">
        <v>152</v>
      </c>
      <c r="L2035" s="0" t="s">
        <v>3483</v>
      </c>
    </row>
    <row r="2036" customFormat="false" ht="15" hidden="false" customHeight="false" outlineLevel="0" collapsed="false">
      <c r="A2036" s="0" t="s">
        <v>3335</v>
      </c>
      <c r="B2036" s="0" t="s">
        <v>350</v>
      </c>
      <c r="C2036" s="0" t="s">
        <v>426</v>
      </c>
      <c r="D2036" s="0" t="s">
        <v>78</v>
      </c>
      <c r="E2036" s="0" t="s">
        <v>1513</v>
      </c>
      <c r="F2036" s="0" t="n">
        <v>5</v>
      </c>
      <c r="G2036" s="0" t="n">
        <v>0</v>
      </c>
      <c r="H2036" s="0" t="s">
        <v>122</v>
      </c>
      <c r="K2036" s="0" t="s">
        <v>156</v>
      </c>
      <c r="L2036" s="0" t="s">
        <v>3484</v>
      </c>
    </row>
    <row r="2037" customFormat="false" ht="15" hidden="false" customHeight="false" outlineLevel="0" collapsed="false">
      <c r="A2037" s="0" t="s">
        <v>3335</v>
      </c>
      <c r="B2037" s="0" t="s">
        <v>350</v>
      </c>
      <c r="C2037" s="0" t="s">
        <v>426</v>
      </c>
      <c r="D2037" s="0" t="s">
        <v>81</v>
      </c>
      <c r="E2037" s="0" t="s">
        <v>1515</v>
      </c>
      <c r="F2037" s="0" t="n">
        <v>5</v>
      </c>
      <c r="G2037" s="0" t="n">
        <v>0</v>
      </c>
      <c r="H2037" s="0" t="s">
        <v>122</v>
      </c>
      <c r="K2037" s="0" t="s">
        <v>160</v>
      </c>
      <c r="L2037" s="0" t="s">
        <v>3485</v>
      </c>
    </row>
    <row r="2038" customFormat="false" ht="15" hidden="false" customHeight="false" outlineLevel="0" collapsed="false">
      <c r="A2038" s="0" t="s">
        <v>3335</v>
      </c>
      <c r="B2038" s="0" t="s">
        <v>350</v>
      </c>
      <c r="C2038" s="0" t="s">
        <v>451</v>
      </c>
      <c r="D2038" s="0" t="s">
        <v>528</v>
      </c>
      <c r="E2038" s="0" t="s">
        <v>1517</v>
      </c>
      <c r="F2038" s="0" t="n">
        <v>5</v>
      </c>
      <c r="G2038" s="0" t="n">
        <v>0</v>
      </c>
      <c r="H2038" s="0" t="s">
        <v>122</v>
      </c>
      <c r="K2038" s="0" t="s">
        <v>118</v>
      </c>
      <c r="L2038" s="0" t="s">
        <v>3486</v>
      </c>
    </row>
    <row r="2039" customFormat="false" ht="15" hidden="false" customHeight="false" outlineLevel="0" collapsed="false">
      <c r="A2039" s="0" t="s">
        <v>3335</v>
      </c>
      <c r="B2039" s="0" t="s">
        <v>350</v>
      </c>
      <c r="C2039" s="0" t="s">
        <v>451</v>
      </c>
      <c r="D2039" s="0" t="s">
        <v>531</v>
      </c>
      <c r="E2039" s="0" t="s">
        <v>1519</v>
      </c>
      <c r="F2039" s="0" t="n">
        <v>5</v>
      </c>
      <c r="G2039" s="0" t="n">
        <v>2</v>
      </c>
      <c r="H2039" s="0" t="s">
        <v>122</v>
      </c>
      <c r="I2039" s="0" t="s">
        <v>3363</v>
      </c>
      <c r="K2039" s="0" t="s">
        <v>123</v>
      </c>
      <c r="L2039" s="0" t="s">
        <v>3487</v>
      </c>
    </row>
    <row r="2040" customFormat="false" ht="15" hidden="false" customHeight="false" outlineLevel="0" collapsed="false">
      <c r="A2040" s="0" t="s">
        <v>3335</v>
      </c>
      <c r="B2040" s="0" t="s">
        <v>350</v>
      </c>
      <c r="C2040" s="0" t="s">
        <v>451</v>
      </c>
      <c r="D2040" s="0" t="s">
        <v>534</v>
      </c>
      <c r="E2040" s="0" t="s">
        <v>1521</v>
      </c>
      <c r="F2040" s="0" t="n">
        <v>5</v>
      </c>
      <c r="G2040" s="0" t="n">
        <v>0</v>
      </c>
      <c r="H2040" s="0" t="s">
        <v>122</v>
      </c>
      <c r="K2040" s="0" t="s">
        <v>127</v>
      </c>
      <c r="L2040" s="0" t="s">
        <v>3488</v>
      </c>
    </row>
    <row r="2041" customFormat="false" ht="15" hidden="false" customHeight="false" outlineLevel="0" collapsed="false">
      <c r="A2041" s="0" t="s">
        <v>3335</v>
      </c>
      <c r="B2041" s="0" t="s">
        <v>350</v>
      </c>
      <c r="C2041" s="0" t="s">
        <v>451</v>
      </c>
      <c r="D2041" s="0" t="s">
        <v>52</v>
      </c>
      <c r="E2041" s="0" t="s">
        <v>1523</v>
      </c>
      <c r="F2041" s="0" t="n">
        <v>5</v>
      </c>
      <c r="G2041" s="0" t="n">
        <v>0</v>
      </c>
      <c r="H2041" s="0" t="s">
        <v>122</v>
      </c>
      <c r="K2041" s="0" t="s">
        <v>132</v>
      </c>
      <c r="L2041" s="0" t="s">
        <v>3489</v>
      </c>
    </row>
    <row r="2042" customFormat="false" ht="15" hidden="false" customHeight="false" outlineLevel="0" collapsed="false">
      <c r="A2042" s="0" t="s">
        <v>3335</v>
      </c>
      <c r="B2042" s="0" t="s">
        <v>350</v>
      </c>
      <c r="C2042" s="0" t="s">
        <v>451</v>
      </c>
      <c r="D2042" s="0" t="s">
        <v>55</v>
      </c>
      <c r="E2042" s="0" t="s">
        <v>1525</v>
      </c>
      <c r="F2042" s="0" t="n">
        <v>5</v>
      </c>
      <c r="G2042" s="0" t="n">
        <v>0</v>
      </c>
      <c r="H2042" s="0" t="s">
        <v>122</v>
      </c>
      <c r="K2042" s="0" t="s">
        <v>135</v>
      </c>
      <c r="L2042" s="0" t="s">
        <v>3490</v>
      </c>
    </row>
    <row r="2043" customFormat="false" ht="15" hidden="false" customHeight="false" outlineLevel="0" collapsed="false">
      <c r="A2043" s="0" t="s">
        <v>3335</v>
      </c>
      <c r="B2043" s="0" t="s">
        <v>350</v>
      </c>
      <c r="C2043" s="0" t="s">
        <v>451</v>
      </c>
      <c r="D2043" s="0" t="s">
        <v>58</v>
      </c>
      <c r="E2043" s="0" t="s">
        <v>1527</v>
      </c>
      <c r="F2043" s="0" t="n">
        <v>5</v>
      </c>
      <c r="G2043" s="0" t="n">
        <v>0</v>
      </c>
      <c r="H2043" s="0" t="s">
        <v>122</v>
      </c>
      <c r="K2043" s="0" t="s">
        <v>138</v>
      </c>
      <c r="L2043" s="0" t="s">
        <v>3491</v>
      </c>
    </row>
    <row r="2044" customFormat="false" ht="15" hidden="false" customHeight="false" outlineLevel="0" collapsed="false">
      <c r="A2044" s="0" t="s">
        <v>3335</v>
      </c>
      <c r="B2044" s="0" t="s">
        <v>350</v>
      </c>
      <c r="C2044" s="0" t="s">
        <v>451</v>
      </c>
      <c r="D2044" s="0" t="s">
        <v>65</v>
      </c>
      <c r="E2044" s="0" t="s">
        <v>1529</v>
      </c>
      <c r="F2044" s="0" t="n">
        <v>5</v>
      </c>
      <c r="G2044" s="0" t="n">
        <v>0</v>
      </c>
      <c r="H2044" s="0" t="s">
        <v>122</v>
      </c>
      <c r="K2044" s="0" t="s">
        <v>143</v>
      </c>
      <c r="L2044" s="0" t="s">
        <v>3492</v>
      </c>
    </row>
    <row r="2045" customFormat="false" ht="15" hidden="false" customHeight="false" outlineLevel="0" collapsed="false">
      <c r="A2045" s="0" t="s">
        <v>3335</v>
      </c>
      <c r="B2045" s="0" t="s">
        <v>350</v>
      </c>
      <c r="C2045" s="0" t="s">
        <v>451</v>
      </c>
      <c r="D2045" s="0" t="s">
        <v>69</v>
      </c>
      <c r="E2045" s="0" t="s">
        <v>1531</v>
      </c>
      <c r="F2045" s="0" t="n">
        <v>5</v>
      </c>
      <c r="G2045" s="0" t="n">
        <v>0</v>
      </c>
      <c r="H2045" s="0" t="s">
        <v>122</v>
      </c>
      <c r="K2045" s="0" t="s">
        <v>146</v>
      </c>
      <c r="L2045" s="0" t="s">
        <v>3493</v>
      </c>
    </row>
    <row r="2046" customFormat="false" ht="15" hidden="false" customHeight="false" outlineLevel="0" collapsed="false">
      <c r="A2046" s="0" t="s">
        <v>3335</v>
      </c>
      <c r="B2046" s="0" t="s">
        <v>350</v>
      </c>
      <c r="C2046" s="0" t="s">
        <v>451</v>
      </c>
      <c r="D2046" s="0" t="s">
        <v>72</v>
      </c>
      <c r="E2046" s="0" t="s">
        <v>1533</v>
      </c>
      <c r="F2046" s="0" t="n">
        <v>5</v>
      </c>
      <c r="G2046" s="0" t="n">
        <v>0</v>
      </c>
      <c r="H2046" s="0" t="s">
        <v>122</v>
      </c>
      <c r="K2046" s="0" t="s">
        <v>149</v>
      </c>
      <c r="L2046" s="0" t="s">
        <v>3494</v>
      </c>
    </row>
    <row r="2047" customFormat="false" ht="15" hidden="false" customHeight="false" outlineLevel="0" collapsed="false">
      <c r="A2047" s="0" t="s">
        <v>3335</v>
      </c>
      <c r="B2047" s="0" t="s">
        <v>350</v>
      </c>
      <c r="C2047" s="0" t="s">
        <v>451</v>
      </c>
      <c r="D2047" s="0" t="s">
        <v>75</v>
      </c>
      <c r="E2047" s="0" t="s">
        <v>1535</v>
      </c>
      <c r="F2047" s="0" t="n">
        <v>5</v>
      </c>
      <c r="G2047" s="0" t="n">
        <v>0</v>
      </c>
      <c r="H2047" s="0" t="s">
        <v>122</v>
      </c>
      <c r="K2047" s="0" t="s">
        <v>152</v>
      </c>
      <c r="L2047" s="0" t="s">
        <v>3495</v>
      </c>
    </row>
    <row r="2048" customFormat="false" ht="15" hidden="false" customHeight="false" outlineLevel="0" collapsed="false">
      <c r="A2048" s="0" t="s">
        <v>3335</v>
      </c>
      <c r="B2048" s="0" t="s">
        <v>350</v>
      </c>
      <c r="C2048" s="0" t="s">
        <v>451</v>
      </c>
      <c r="D2048" s="0" t="s">
        <v>78</v>
      </c>
      <c r="E2048" s="0" t="s">
        <v>1537</v>
      </c>
      <c r="F2048" s="0" t="n">
        <v>5</v>
      </c>
      <c r="G2048" s="0" t="n">
        <v>0</v>
      </c>
      <c r="H2048" s="0" t="s">
        <v>122</v>
      </c>
      <c r="K2048" s="0" t="s">
        <v>156</v>
      </c>
      <c r="L2048" s="0" t="s">
        <v>3496</v>
      </c>
    </row>
    <row r="2049" customFormat="false" ht="15" hidden="false" customHeight="false" outlineLevel="0" collapsed="false">
      <c r="A2049" s="0" t="s">
        <v>3335</v>
      </c>
      <c r="B2049" s="0" t="s">
        <v>350</v>
      </c>
      <c r="C2049" s="0" t="s">
        <v>451</v>
      </c>
      <c r="D2049" s="0" t="s">
        <v>81</v>
      </c>
      <c r="E2049" s="0" t="s">
        <v>1539</v>
      </c>
      <c r="F2049" s="0" t="n">
        <v>5</v>
      </c>
      <c r="G2049" s="0" t="n">
        <v>0</v>
      </c>
      <c r="H2049" s="0" t="s">
        <v>122</v>
      </c>
      <c r="K2049" s="0" t="s">
        <v>160</v>
      </c>
      <c r="L2049" s="0" t="s">
        <v>3497</v>
      </c>
    </row>
    <row r="2050" customFormat="false" ht="15" hidden="false" customHeight="false" outlineLevel="0" collapsed="false">
      <c r="A2050" s="0" t="s">
        <v>3335</v>
      </c>
      <c r="B2050" s="0" t="s">
        <v>350</v>
      </c>
      <c r="C2050" s="0" t="s">
        <v>476</v>
      </c>
      <c r="D2050" s="0" t="s">
        <v>528</v>
      </c>
      <c r="E2050" s="0" t="s">
        <v>1541</v>
      </c>
      <c r="F2050" s="0" t="n">
        <v>5</v>
      </c>
      <c r="G2050" s="0" t="n">
        <v>0</v>
      </c>
      <c r="H2050" s="0" t="s">
        <v>122</v>
      </c>
      <c r="K2050" s="0" t="s">
        <v>118</v>
      </c>
      <c r="L2050" s="0" t="s">
        <v>3498</v>
      </c>
    </row>
    <row r="2051" customFormat="false" ht="15" hidden="false" customHeight="false" outlineLevel="0" collapsed="false">
      <c r="A2051" s="0" t="s">
        <v>3335</v>
      </c>
      <c r="B2051" s="0" t="s">
        <v>350</v>
      </c>
      <c r="C2051" s="0" t="s">
        <v>476</v>
      </c>
      <c r="D2051" s="0" t="s">
        <v>531</v>
      </c>
      <c r="E2051" s="0" t="s">
        <v>1543</v>
      </c>
      <c r="F2051" s="0" t="n">
        <v>5</v>
      </c>
      <c r="G2051" s="0" t="n">
        <v>3</v>
      </c>
      <c r="H2051" s="0" t="s">
        <v>122</v>
      </c>
      <c r="I2051" s="0" t="s">
        <v>3363</v>
      </c>
      <c r="K2051" s="0" t="s">
        <v>123</v>
      </c>
      <c r="L2051" s="0" t="s">
        <v>3499</v>
      </c>
    </row>
    <row r="2052" customFormat="false" ht="15" hidden="false" customHeight="false" outlineLevel="0" collapsed="false">
      <c r="A2052" s="0" t="s">
        <v>3335</v>
      </c>
      <c r="B2052" s="0" t="s">
        <v>350</v>
      </c>
      <c r="C2052" s="0" t="s">
        <v>476</v>
      </c>
      <c r="D2052" s="0" t="s">
        <v>534</v>
      </c>
      <c r="E2052" s="0" t="s">
        <v>1545</v>
      </c>
      <c r="F2052" s="0" t="n">
        <v>5</v>
      </c>
      <c r="G2052" s="0" t="n">
        <v>0</v>
      </c>
      <c r="H2052" s="0" t="s">
        <v>122</v>
      </c>
      <c r="K2052" s="0" t="s">
        <v>127</v>
      </c>
      <c r="L2052" s="0" t="s">
        <v>3500</v>
      </c>
    </row>
    <row r="2053" customFormat="false" ht="15" hidden="false" customHeight="false" outlineLevel="0" collapsed="false">
      <c r="A2053" s="0" t="s">
        <v>3335</v>
      </c>
      <c r="B2053" s="0" t="s">
        <v>350</v>
      </c>
      <c r="C2053" s="0" t="s">
        <v>476</v>
      </c>
      <c r="D2053" s="0" t="s">
        <v>52</v>
      </c>
      <c r="E2053" s="0" t="s">
        <v>1547</v>
      </c>
      <c r="F2053" s="0" t="n">
        <v>5</v>
      </c>
      <c r="G2053" s="0" t="n">
        <v>5</v>
      </c>
      <c r="H2053" s="0" t="s">
        <v>117</v>
      </c>
      <c r="I2053" s="0" t="s">
        <v>3363</v>
      </c>
      <c r="K2053" s="0" t="s">
        <v>132</v>
      </c>
      <c r="L2053" s="0" t="s">
        <v>3501</v>
      </c>
    </row>
    <row r="2054" customFormat="false" ht="15" hidden="false" customHeight="false" outlineLevel="0" collapsed="false">
      <c r="A2054" s="0" t="s">
        <v>3335</v>
      </c>
      <c r="B2054" s="0" t="s">
        <v>350</v>
      </c>
      <c r="C2054" s="0" t="s">
        <v>476</v>
      </c>
      <c r="D2054" s="0" t="s">
        <v>55</v>
      </c>
      <c r="E2054" s="0" t="s">
        <v>1549</v>
      </c>
      <c r="F2054" s="0" t="n">
        <v>5</v>
      </c>
      <c r="G2054" s="0" t="n">
        <v>0</v>
      </c>
      <c r="H2054" s="0" t="s">
        <v>122</v>
      </c>
      <c r="K2054" s="0" t="s">
        <v>135</v>
      </c>
      <c r="L2054" s="0" t="s">
        <v>3502</v>
      </c>
    </row>
    <row r="2055" customFormat="false" ht="15" hidden="false" customHeight="false" outlineLevel="0" collapsed="false">
      <c r="A2055" s="0" t="s">
        <v>3335</v>
      </c>
      <c r="B2055" s="0" t="s">
        <v>350</v>
      </c>
      <c r="C2055" s="0" t="s">
        <v>476</v>
      </c>
      <c r="D2055" s="0" t="s">
        <v>58</v>
      </c>
      <c r="E2055" s="0" t="s">
        <v>1551</v>
      </c>
      <c r="F2055" s="0" t="n">
        <v>5</v>
      </c>
      <c r="G2055" s="0" t="n">
        <v>0</v>
      </c>
      <c r="H2055" s="0" t="s">
        <v>122</v>
      </c>
      <c r="K2055" s="0" t="s">
        <v>138</v>
      </c>
      <c r="L2055" s="0" t="s">
        <v>3503</v>
      </c>
    </row>
    <row r="2056" customFormat="false" ht="15" hidden="false" customHeight="false" outlineLevel="0" collapsed="false">
      <c r="A2056" s="0" t="s">
        <v>3335</v>
      </c>
      <c r="B2056" s="0" t="s">
        <v>350</v>
      </c>
      <c r="C2056" s="0" t="s">
        <v>476</v>
      </c>
      <c r="D2056" s="0" t="s">
        <v>65</v>
      </c>
      <c r="E2056" s="0" t="s">
        <v>1553</v>
      </c>
      <c r="F2056" s="0" t="n">
        <v>5</v>
      </c>
      <c r="G2056" s="0" t="n">
        <v>0</v>
      </c>
      <c r="H2056" s="0" t="s">
        <v>122</v>
      </c>
      <c r="K2056" s="0" t="s">
        <v>143</v>
      </c>
      <c r="L2056" s="0" t="s">
        <v>3504</v>
      </c>
    </row>
    <row r="2057" customFormat="false" ht="15" hidden="false" customHeight="false" outlineLevel="0" collapsed="false">
      <c r="A2057" s="0" t="s">
        <v>3335</v>
      </c>
      <c r="B2057" s="0" t="s">
        <v>350</v>
      </c>
      <c r="C2057" s="0" t="s">
        <v>476</v>
      </c>
      <c r="D2057" s="0" t="s">
        <v>69</v>
      </c>
      <c r="E2057" s="0" t="s">
        <v>1555</v>
      </c>
      <c r="F2057" s="0" t="n">
        <v>5</v>
      </c>
      <c r="G2057" s="0" t="n">
        <v>0</v>
      </c>
      <c r="H2057" s="0" t="s">
        <v>122</v>
      </c>
      <c r="K2057" s="0" t="s">
        <v>146</v>
      </c>
      <c r="L2057" s="0" t="s">
        <v>3505</v>
      </c>
    </row>
    <row r="2058" customFormat="false" ht="15" hidden="false" customHeight="false" outlineLevel="0" collapsed="false">
      <c r="A2058" s="0" t="s">
        <v>3335</v>
      </c>
      <c r="B2058" s="0" t="s">
        <v>350</v>
      </c>
      <c r="C2058" s="0" t="s">
        <v>476</v>
      </c>
      <c r="D2058" s="0" t="s">
        <v>72</v>
      </c>
      <c r="E2058" s="0" t="s">
        <v>1557</v>
      </c>
      <c r="F2058" s="0" t="n">
        <v>5</v>
      </c>
      <c r="G2058" s="0" t="n">
        <v>0</v>
      </c>
      <c r="H2058" s="0" t="s">
        <v>122</v>
      </c>
      <c r="K2058" s="0" t="s">
        <v>149</v>
      </c>
      <c r="L2058" s="0" t="s">
        <v>3506</v>
      </c>
    </row>
    <row r="2059" customFormat="false" ht="15" hidden="false" customHeight="false" outlineLevel="0" collapsed="false">
      <c r="A2059" s="0" t="s">
        <v>3335</v>
      </c>
      <c r="B2059" s="0" t="s">
        <v>350</v>
      </c>
      <c r="C2059" s="0" t="s">
        <v>476</v>
      </c>
      <c r="D2059" s="0" t="s">
        <v>75</v>
      </c>
      <c r="E2059" s="0" t="s">
        <v>1559</v>
      </c>
      <c r="F2059" s="0" t="n">
        <v>5</v>
      </c>
      <c r="G2059" s="0" t="n">
        <v>0</v>
      </c>
      <c r="H2059" s="0" t="s">
        <v>122</v>
      </c>
      <c r="K2059" s="0" t="s">
        <v>152</v>
      </c>
      <c r="L2059" s="0" t="s">
        <v>3507</v>
      </c>
    </row>
    <row r="2060" customFormat="false" ht="15" hidden="false" customHeight="false" outlineLevel="0" collapsed="false">
      <c r="A2060" s="0" t="s">
        <v>3335</v>
      </c>
      <c r="B2060" s="0" t="s">
        <v>350</v>
      </c>
      <c r="C2060" s="0" t="s">
        <v>476</v>
      </c>
      <c r="D2060" s="0" t="s">
        <v>78</v>
      </c>
      <c r="E2060" s="0" t="s">
        <v>1561</v>
      </c>
      <c r="F2060" s="0" t="n">
        <v>5</v>
      </c>
      <c r="G2060" s="0" t="n">
        <v>2</v>
      </c>
      <c r="H2060" s="0" t="s">
        <v>122</v>
      </c>
      <c r="I2060" s="0" t="s">
        <v>3363</v>
      </c>
      <c r="K2060" s="0" t="s">
        <v>156</v>
      </c>
      <c r="L2060" s="0" t="s">
        <v>3508</v>
      </c>
    </row>
    <row r="2061" customFormat="false" ht="15" hidden="false" customHeight="false" outlineLevel="0" collapsed="false">
      <c r="A2061" s="0" t="s">
        <v>3335</v>
      </c>
      <c r="B2061" s="0" t="s">
        <v>350</v>
      </c>
      <c r="C2061" s="0" t="s">
        <v>476</v>
      </c>
      <c r="D2061" s="0" t="s">
        <v>81</v>
      </c>
      <c r="E2061" s="0" t="s">
        <v>1563</v>
      </c>
      <c r="F2061" s="0" t="n">
        <v>5</v>
      </c>
      <c r="G2061" s="0" t="n">
        <v>0</v>
      </c>
      <c r="H2061" s="0" t="s">
        <v>122</v>
      </c>
      <c r="K2061" s="0" t="s">
        <v>160</v>
      </c>
      <c r="L2061" s="0" t="s">
        <v>3509</v>
      </c>
    </row>
    <row r="2062" customFormat="false" ht="15" hidden="false" customHeight="false" outlineLevel="0" collapsed="false">
      <c r="A2062" s="0" t="s">
        <v>3335</v>
      </c>
      <c r="B2062" s="0" t="s">
        <v>350</v>
      </c>
      <c r="C2062" s="0" t="s">
        <v>502</v>
      </c>
      <c r="D2062" s="0" t="s">
        <v>528</v>
      </c>
      <c r="E2062" s="0" t="s">
        <v>1565</v>
      </c>
      <c r="F2062" s="0" t="n">
        <v>5</v>
      </c>
      <c r="G2062" s="0" t="n">
        <v>0</v>
      </c>
      <c r="H2062" s="0" t="s">
        <v>122</v>
      </c>
      <c r="K2062" s="0" t="s">
        <v>118</v>
      </c>
      <c r="L2062" s="0" t="s">
        <v>3510</v>
      </c>
    </row>
    <row r="2063" customFormat="false" ht="15" hidden="false" customHeight="false" outlineLevel="0" collapsed="false">
      <c r="A2063" s="0" t="s">
        <v>3335</v>
      </c>
      <c r="B2063" s="0" t="s">
        <v>350</v>
      </c>
      <c r="C2063" s="0" t="s">
        <v>502</v>
      </c>
      <c r="D2063" s="0" t="s">
        <v>531</v>
      </c>
      <c r="E2063" s="0" t="s">
        <v>1567</v>
      </c>
      <c r="F2063" s="0" t="n">
        <v>5</v>
      </c>
      <c r="G2063" s="0" t="n">
        <v>3</v>
      </c>
      <c r="H2063" s="0" t="s">
        <v>122</v>
      </c>
      <c r="I2063" s="0" t="s">
        <v>3363</v>
      </c>
      <c r="K2063" s="0" t="s">
        <v>123</v>
      </c>
      <c r="L2063" s="0" t="s">
        <v>3511</v>
      </c>
    </row>
    <row r="2064" customFormat="false" ht="15" hidden="false" customHeight="false" outlineLevel="0" collapsed="false">
      <c r="A2064" s="0" t="s">
        <v>3335</v>
      </c>
      <c r="B2064" s="0" t="s">
        <v>350</v>
      </c>
      <c r="C2064" s="0" t="s">
        <v>502</v>
      </c>
      <c r="D2064" s="0" t="s">
        <v>534</v>
      </c>
      <c r="E2064" s="0" t="s">
        <v>1569</v>
      </c>
      <c r="F2064" s="0" t="n">
        <v>5</v>
      </c>
      <c r="G2064" s="0" t="n">
        <v>3</v>
      </c>
      <c r="H2064" s="0" t="s">
        <v>122</v>
      </c>
      <c r="I2064" s="0" t="s">
        <v>3363</v>
      </c>
      <c r="K2064" s="0" t="s">
        <v>127</v>
      </c>
      <c r="L2064" s="0" t="s">
        <v>3512</v>
      </c>
    </row>
    <row r="2065" customFormat="false" ht="15" hidden="false" customHeight="false" outlineLevel="0" collapsed="false">
      <c r="A2065" s="0" t="s">
        <v>3335</v>
      </c>
      <c r="B2065" s="0" t="s">
        <v>350</v>
      </c>
      <c r="C2065" s="0" t="s">
        <v>502</v>
      </c>
      <c r="D2065" s="0" t="s">
        <v>52</v>
      </c>
      <c r="E2065" s="0" t="s">
        <v>1571</v>
      </c>
      <c r="F2065" s="0" t="n">
        <v>5</v>
      </c>
      <c r="G2065" s="0" t="n">
        <v>0</v>
      </c>
      <c r="H2065" s="0" t="s">
        <v>122</v>
      </c>
      <c r="K2065" s="0" t="s">
        <v>132</v>
      </c>
      <c r="L2065" s="0" t="s">
        <v>3513</v>
      </c>
    </row>
    <row r="2066" customFormat="false" ht="15" hidden="false" customHeight="false" outlineLevel="0" collapsed="false">
      <c r="A2066" s="0" t="s">
        <v>3335</v>
      </c>
      <c r="B2066" s="0" t="s">
        <v>350</v>
      </c>
      <c r="C2066" s="0" t="s">
        <v>502</v>
      </c>
      <c r="D2066" s="0" t="s">
        <v>55</v>
      </c>
      <c r="E2066" s="0" t="s">
        <v>1573</v>
      </c>
      <c r="F2066" s="0" t="n">
        <v>5</v>
      </c>
      <c r="G2066" s="0" t="n">
        <v>0</v>
      </c>
      <c r="H2066" s="0" t="s">
        <v>122</v>
      </c>
      <c r="K2066" s="0" t="s">
        <v>135</v>
      </c>
      <c r="L2066" s="0" t="s">
        <v>3514</v>
      </c>
    </row>
    <row r="2067" customFormat="false" ht="15" hidden="false" customHeight="false" outlineLevel="0" collapsed="false">
      <c r="A2067" s="0" t="s">
        <v>3335</v>
      </c>
      <c r="B2067" s="0" t="s">
        <v>350</v>
      </c>
      <c r="C2067" s="0" t="s">
        <v>502</v>
      </c>
      <c r="D2067" s="0" t="s">
        <v>58</v>
      </c>
      <c r="E2067" s="0" t="s">
        <v>1575</v>
      </c>
      <c r="F2067" s="0" t="n">
        <v>5</v>
      </c>
      <c r="G2067" s="0" t="n">
        <v>0</v>
      </c>
      <c r="H2067" s="0" t="s">
        <v>122</v>
      </c>
      <c r="K2067" s="0" t="s">
        <v>138</v>
      </c>
      <c r="L2067" s="0" t="s">
        <v>3515</v>
      </c>
    </row>
    <row r="2068" customFormat="false" ht="15" hidden="false" customHeight="false" outlineLevel="0" collapsed="false">
      <c r="A2068" s="0" t="s">
        <v>3335</v>
      </c>
      <c r="B2068" s="0" t="s">
        <v>350</v>
      </c>
      <c r="C2068" s="0" t="s">
        <v>502</v>
      </c>
      <c r="D2068" s="0" t="s">
        <v>65</v>
      </c>
      <c r="E2068" s="0" t="s">
        <v>1577</v>
      </c>
      <c r="F2068" s="0" t="n">
        <v>5</v>
      </c>
      <c r="G2068" s="0" t="n">
        <v>0</v>
      </c>
      <c r="H2068" s="0" t="s">
        <v>122</v>
      </c>
      <c r="K2068" s="0" t="s">
        <v>143</v>
      </c>
      <c r="L2068" s="0" t="s">
        <v>3516</v>
      </c>
    </row>
    <row r="2069" customFormat="false" ht="15" hidden="false" customHeight="false" outlineLevel="0" collapsed="false">
      <c r="A2069" s="0" t="s">
        <v>3335</v>
      </c>
      <c r="B2069" s="0" t="s">
        <v>350</v>
      </c>
      <c r="C2069" s="0" t="s">
        <v>502</v>
      </c>
      <c r="D2069" s="0" t="s">
        <v>69</v>
      </c>
      <c r="E2069" s="0" t="s">
        <v>1580</v>
      </c>
      <c r="F2069" s="0" t="n">
        <v>5</v>
      </c>
      <c r="G2069" s="0" t="n">
        <v>0</v>
      </c>
      <c r="H2069" s="0" t="s">
        <v>122</v>
      </c>
      <c r="K2069" s="0" t="s">
        <v>146</v>
      </c>
      <c r="L2069" s="0" t="s">
        <v>3517</v>
      </c>
    </row>
    <row r="2070" customFormat="false" ht="15" hidden="false" customHeight="false" outlineLevel="0" collapsed="false">
      <c r="A2070" s="0" t="s">
        <v>3335</v>
      </c>
      <c r="B2070" s="0" t="s">
        <v>350</v>
      </c>
      <c r="C2070" s="0" t="s">
        <v>502</v>
      </c>
      <c r="D2070" s="0" t="s">
        <v>72</v>
      </c>
      <c r="E2070" s="0" t="s">
        <v>1582</v>
      </c>
      <c r="F2070" s="0" t="n">
        <v>5</v>
      </c>
      <c r="G2070" s="0" t="n">
        <v>0</v>
      </c>
      <c r="H2070" s="0" t="s">
        <v>122</v>
      </c>
      <c r="K2070" s="0" t="s">
        <v>149</v>
      </c>
      <c r="L2070" s="0" t="s">
        <v>3518</v>
      </c>
    </row>
    <row r="2071" customFormat="false" ht="15" hidden="false" customHeight="false" outlineLevel="0" collapsed="false">
      <c r="A2071" s="0" t="s">
        <v>3335</v>
      </c>
      <c r="B2071" s="0" t="s">
        <v>350</v>
      </c>
      <c r="C2071" s="0" t="s">
        <v>502</v>
      </c>
      <c r="D2071" s="0" t="s">
        <v>75</v>
      </c>
      <c r="E2071" s="0" t="s">
        <v>1584</v>
      </c>
      <c r="F2071" s="0" t="n">
        <v>5</v>
      </c>
      <c r="G2071" s="0" t="n">
        <v>0</v>
      </c>
      <c r="H2071" s="0" t="s">
        <v>122</v>
      </c>
      <c r="K2071" s="0" t="s">
        <v>152</v>
      </c>
      <c r="L2071" s="0" t="s">
        <v>3519</v>
      </c>
    </row>
    <row r="2072" customFormat="false" ht="15" hidden="false" customHeight="false" outlineLevel="0" collapsed="false">
      <c r="A2072" s="0" t="s">
        <v>3335</v>
      </c>
      <c r="B2072" s="0" t="s">
        <v>350</v>
      </c>
      <c r="C2072" s="0" t="s">
        <v>502</v>
      </c>
      <c r="D2072" s="0" t="s">
        <v>78</v>
      </c>
      <c r="E2072" s="0" t="s">
        <v>1586</v>
      </c>
      <c r="F2072" s="0" t="n">
        <v>5</v>
      </c>
      <c r="G2072" s="0" t="n">
        <v>1</v>
      </c>
      <c r="H2072" s="0" t="s">
        <v>122</v>
      </c>
      <c r="I2072" s="0" t="s">
        <v>3377</v>
      </c>
      <c r="K2072" s="0" t="s">
        <v>156</v>
      </c>
      <c r="L2072" s="0" t="s">
        <v>3520</v>
      </c>
    </row>
    <row r="2073" customFormat="false" ht="15" hidden="false" customHeight="false" outlineLevel="0" collapsed="false">
      <c r="A2073" s="0" t="s">
        <v>3335</v>
      </c>
      <c r="B2073" s="0" t="s">
        <v>350</v>
      </c>
      <c r="C2073" s="0" t="s">
        <v>502</v>
      </c>
      <c r="D2073" s="0" t="s">
        <v>81</v>
      </c>
      <c r="E2073" s="0" t="s">
        <v>1588</v>
      </c>
      <c r="F2073" s="0" t="n">
        <v>5</v>
      </c>
      <c r="G2073" s="0" t="n">
        <v>0</v>
      </c>
      <c r="H2073" s="0" t="s">
        <v>122</v>
      </c>
      <c r="K2073" s="0" t="s">
        <v>160</v>
      </c>
      <c r="L2073" s="0" t="s">
        <v>3521</v>
      </c>
    </row>
    <row r="2074" customFormat="false" ht="15" hidden="false" customHeight="false" outlineLevel="0" collapsed="false">
      <c r="A2074" s="0" t="s">
        <v>3335</v>
      </c>
      <c r="B2074" s="0" t="s">
        <v>140</v>
      </c>
      <c r="C2074" s="0" t="s">
        <v>527</v>
      </c>
      <c r="D2074" s="0" t="s">
        <v>115</v>
      </c>
      <c r="E2074" s="0" t="s">
        <v>1590</v>
      </c>
      <c r="F2074" s="0" t="n">
        <v>4</v>
      </c>
      <c r="G2074" s="0" t="n">
        <v>0</v>
      </c>
      <c r="H2074" s="0" t="s">
        <v>122</v>
      </c>
      <c r="K2074" s="0" t="s">
        <v>118</v>
      </c>
      <c r="L2074" s="0" t="s">
        <v>3522</v>
      </c>
    </row>
    <row r="2075" customFormat="false" ht="15" hidden="false" customHeight="false" outlineLevel="0" collapsed="false">
      <c r="A2075" s="0" t="s">
        <v>3335</v>
      </c>
      <c r="B2075" s="0" t="s">
        <v>140</v>
      </c>
      <c r="C2075" s="0" t="s">
        <v>527</v>
      </c>
      <c r="D2075" s="0" t="s">
        <v>120</v>
      </c>
      <c r="E2075" s="0" t="s">
        <v>1592</v>
      </c>
      <c r="F2075" s="0" t="n">
        <v>4</v>
      </c>
      <c r="G2075" s="0" t="n">
        <v>0</v>
      </c>
      <c r="H2075" s="0" t="s">
        <v>122</v>
      </c>
      <c r="K2075" s="0" t="s">
        <v>123</v>
      </c>
      <c r="L2075" s="0" t="s">
        <v>3523</v>
      </c>
    </row>
    <row r="2076" customFormat="false" ht="15" hidden="false" customHeight="false" outlineLevel="0" collapsed="false">
      <c r="A2076" s="0" t="s">
        <v>3335</v>
      </c>
      <c r="B2076" s="0" t="s">
        <v>140</v>
      </c>
      <c r="C2076" s="0" t="s">
        <v>527</v>
      </c>
      <c r="D2076" s="0" t="s">
        <v>125</v>
      </c>
      <c r="E2076" s="0" t="s">
        <v>1594</v>
      </c>
      <c r="F2076" s="0" t="n">
        <v>4</v>
      </c>
      <c r="G2076" s="0" t="n">
        <v>0</v>
      </c>
      <c r="H2076" s="0" t="s">
        <v>122</v>
      </c>
      <c r="K2076" s="0" t="s">
        <v>127</v>
      </c>
      <c r="L2076" s="0" t="s">
        <v>3524</v>
      </c>
    </row>
    <row r="2077" customFormat="false" ht="15" hidden="false" customHeight="false" outlineLevel="0" collapsed="false">
      <c r="A2077" s="0" t="s">
        <v>3335</v>
      </c>
      <c r="B2077" s="0" t="s">
        <v>140</v>
      </c>
      <c r="C2077" s="0" t="s">
        <v>527</v>
      </c>
      <c r="D2077" s="0" t="s">
        <v>53</v>
      </c>
      <c r="E2077" s="0" t="s">
        <v>1596</v>
      </c>
      <c r="F2077" s="0" t="n">
        <v>4</v>
      </c>
      <c r="G2077" s="0" t="n">
        <v>0</v>
      </c>
      <c r="H2077" s="0" t="s">
        <v>122</v>
      </c>
      <c r="K2077" s="0" t="s">
        <v>132</v>
      </c>
      <c r="L2077" s="0" t="s">
        <v>3525</v>
      </c>
    </row>
    <row r="2078" customFormat="false" ht="15" hidden="false" customHeight="false" outlineLevel="0" collapsed="false">
      <c r="A2078" s="0" t="s">
        <v>3335</v>
      </c>
      <c r="B2078" s="0" t="s">
        <v>140</v>
      </c>
      <c r="C2078" s="0" t="s">
        <v>527</v>
      </c>
      <c r="D2078" s="0" t="s">
        <v>56</v>
      </c>
      <c r="E2078" s="0" t="s">
        <v>1598</v>
      </c>
      <c r="F2078" s="0" t="n">
        <v>4</v>
      </c>
      <c r="G2078" s="0" t="n">
        <v>0</v>
      </c>
      <c r="H2078" s="0" t="s">
        <v>122</v>
      </c>
      <c r="K2078" s="0" t="s">
        <v>135</v>
      </c>
      <c r="L2078" s="0" t="s">
        <v>3526</v>
      </c>
    </row>
    <row r="2079" customFormat="false" ht="15" hidden="false" customHeight="false" outlineLevel="0" collapsed="false">
      <c r="A2079" s="0" t="s">
        <v>3335</v>
      </c>
      <c r="B2079" s="0" t="s">
        <v>140</v>
      </c>
      <c r="C2079" s="0" t="s">
        <v>527</v>
      </c>
      <c r="D2079" s="0" t="s">
        <v>59</v>
      </c>
      <c r="E2079" s="0" t="s">
        <v>1600</v>
      </c>
      <c r="F2079" s="0" t="n">
        <v>4</v>
      </c>
      <c r="G2079" s="0" t="n">
        <v>0</v>
      </c>
      <c r="H2079" s="0" t="s">
        <v>122</v>
      </c>
      <c r="K2079" s="0" t="s">
        <v>138</v>
      </c>
      <c r="L2079" s="0" t="s">
        <v>3527</v>
      </c>
    </row>
    <row r="2080" customFormat="false" ht="15" hidden="false" customHeight="false" outlineLevel="0" collapsed="false">
      <c r="A2080" s="0" t="s">
        <v>3335</v>
      </c>
      <c r="B2080" s="0" t="s">
        <v>140</v>
      </c>
      <c r="C2080" s="0" t="s">
        <v>527</v>
      </c>
      <c r="D2080" s="0" t="s">
        <v>67</v>
      </c>
      <c r="E2080" s="0" t="s">
        <v>1602</v>
      </c>
      <c r="F2080" s="0" t="n">
        <v>4</v>
      </c>
      <c r="G2080" s="0" t="n">
        <v>0</v>
      </c>
      <c r="H2080" s="0" t="s">
        <v>122</v>
      </c>
      <c r="K2080" s="0" t="s">
        <v>143</v>
      </c>
      <c r="L2080" s="0" t="s">
        <v>3528</v>
      </c>
    </row>
    <row r="2081" customFormat="false" ht="15" hidden="false" customHeight="false" outlineLevel="0" collapsed="false">
      <c r="A2081" s="0" t="s">
        <v>3335</v>
      </c>
      <c r="B2081" s="0" t="s">
        <v>140</v>
      </c>
      <c r="C2081" s="0" t="s">
        <v>527</v>
      </c>
      <c r="D2081" s="0" t="s">
        <v>70</v>
      </c>
      <c r="E2081" s="0" t="s">
        <v>1604</v>
      </c>
      <c r="F2081" s="0" t="n">
        <v>4</v>
      </c>
      <c r="G2081" s="0" t="n">
        <v>2</v>
      </c>
      <c r="H2081" s="0" t="s">
        <v>122</v>
      </c>
      <c r="I2081" s="0" t="s">
        <v>3377</v>
      </c>
      <c r="K2081" s="0" t="s">
        <v>146</v>
      </c>
      <c r="L2081" s="0" t="s">
        <v>3529</v>
      </c>
    </row>
    <row r="2082" customFormat="false" ht="15" hidden="false" customHeight="false" outlineLevel="0" collapsed="false">
      <c r="A2082" s="0" t="s">
        <v>3335</v>
      </c>
      <c r="B2082" s="0" t="s">
        <v>140</v>
      </c>
      <c r="C2082" s="0" t="s">
        <v>527</v>
      </c>
      <c r="D2082" s="0" t="s">
        <v>73</v>
      </c>
      <c r="E2082" s="0" t="s">
        <v>1606</v>
      </c>
      <c r="F2082" s="0" t="n">
        <v>4</v>
      </c>
      <c r="G2082" s="0" t="n">
        <v>1</v>
      </c>
      <c r="H2082" s="0" t="s">
        <v>122</v>
      </c>
      <c r="I2082" s="0" t="s">
        <v>3530</v>
      </c>
      <c r="K2082" s="0" t="s">
        <v>149</v>
      </c>
      <c r="L2082" s="0" t="s">
        <v>3531</v>
      </c>
    </row>
    <row r="2083" customFormat="false" ht="15" hidden="false" customHeight="false" outlineLevel="0" collapsed="false">
      <c r="A2083" s="0" t="s">
        <v>3335</v>
      </c>
      <c r="B2083" s="0" t="s">
        <v>140</v>
      </c>
      <c r="C2083" s="0" t="s">
        <v>527</v>
      </c>
      <c r="D2083" s="0" t="s">
        <v>76</v>
      </c>
      <c r="E2083" s="0" t="s">
        <v>1608</v>
      </c>
      <c r="F2083" s="0" t="n">
        <v>4</v>
      </c>
      <c r="G2083" s="0" t="n">
        <v>0</v>
      </c>
      <c r="H2083" s="0" t="s">
        <v>122</v>
      </c>
      <c r="K2083" s="0" t="s">
        <v>152</v>
      </c>
      <c r="L2083" s="0" t="s">
        <v>3532</v>
      </c>
    </row>
    <row r="2084" customFormat="false" ht="15" hidden="false" customHeight="false" outlineLevel="0" collapsed="false">
      <c r="A2084" s="0" t="s">
        <v>3335</v>
      </c>
      <c r="B2084" s="0" t="s">
        <v>140</v>
      </c>
      <c r="C2084" s="0" t="s">
        <v>527</v>
      </c>
      <c r="D2084" s="0" t="s">
        <v>79</v>
      </c>
      <c r="E2084" s="0" t="s">
        <v>1610</v>
      </c>
      <c r="F2084" s="0" t="n">
        <v>4</v>
      </c>
      <c r="G2084" s="0" t="n">
        <v>2</v>
      </c>
      <c r="H2084" s="0" t="s">
        <v>122</v>
      </c>
      <c r="I2084" s="0" t="s">
        <v>3377</v>
      </c>
      <c r="K2084" s="0" t="s">
        <v>156</v>
      </c>
      <c r="L2084" s="0" t="s">
        <v>3533</v>
      </c>
    </row>
    <row r="2085" customFormat="false" ht="15" hidden="false" customHeight="false" outlineLevel="0" collapsed="false">
      <c r="A2085" s="0" t="s">
        <v>3335</v>
      </c>
      <c r="B2085" s="0" t="s">
        <v>140</v>
      </c>
      <c r="C2085" s="0" t="s">
        <v>527</v>
      </c>
      <c r="D2085" s="0" t="s">
        <v>82</v>
      </c>
      <c r="E2085" s="0" t="s">
        <v>1612</v>
      </c>
      <c r="F2085" s="0" t="n">
        <v>4</v>
      </c>
      <c r="G2085" s="0" t="n">
        <v>0</v>
      </c>
      <c r="H2085" s="0" t="s">
        <v>122</v>
      </c>
      <c r="K2085" s="0" t="s">
        <v>160</v>
      </c>
      <c r="L2085" s="0" t="s">
        <v>3534</v>
      </c>
    </row>
    <row r="2086" customFormat="false" ht="15" hidden="false" customHeight="false" outlineLevel="0" collapsed="false">
      <c r="A2086" s="0" t="s">
        <v>3335</v>
      </c>
      <c r="B2086" s="0" t="s">
        <v>140</v>
      </c>
      <c r="C2086" s="0" t="s">
        <v>555</v>
      </c>
      <c r="D2086" s="0" t="s">
        <v>115</v>
      </c>
      <c r="E2086" s="0" t="s">
        <v>1614</v>
      </c>
      <c r="F2086" s="0" t="n">
        <v>4</v>
      </c>
      <c r="G2086" s="0" t="n">
        <v>0</v>
      </c>
      <c r="H2086" s="0" t="s">
        <v>122</v>
      </c>
      <c r="K2086" s="0" t="s">
        <v>118</v>
      </c>
      <c r="L2086" s="0" t="s">
        <v>3535</v>
      </c>
    </row>
    <row r="2087" customFormat="false" ht="15" hidden="false" customHeight="false" outlineLevel="0" collapsed="false">
      <c r="A2087" s="0" t="s">
        <v>3335</v>
      </c>
      <c r="B2087" s="0" t="s">
        <v>140</v>
      </c>
      <c r="C2087" s="0" t="s">
        <v>555</v>
      </c>
      <c r="D2087" s="0" t="s">
        <v>120</v>
      </c>
      <c r="E2087" s="0" t="s">
        <v>1616</v>
      </c>
      <c r="F2087" s="0" t="n">
        <v>4</v>
      </c>
      <c r="G2087" s="0" t="n">
        <v>0</v>
      </c>
      <c r="H2087" s="0" t="s">
        <v>122</v>
      </c>
      <c r="K2087" s="0" t="s">
        <v>123</v>
      </c>
      <c r="L2087" s="0" t="s">
        <v>3536</v>
      </c>
    </row>
    <row r="2088" customFormat="false" ht="15" hidden="false" customHeight="false" outlineLevel="0" collapsed="false">
      <c r="A2088" s="0" t="s">
        <v>3335</v>
      </c>
      <c r="B2088" s="0" t="s">
        <v>140</v>
      </c>
      <c r="C2088" s="0" t="s">
        <v>555</v>
      </c>
      <c r="D2088" s="0" t="s">
        <v>125</v>
      </c>
      <c r="E2088" s="0" t="s">
        <v>1618</v>
      </c>
      <c r="F2088" s="0" t="n">
        <v>4</v>
      </c>
      <c r="G2088" s="0" t="n">
        <v>0</v>
      </c>
      <c r="H2088" s="0" t="s">
        <v>122</v>
      </c>
      <c r="K2088" s="0" t="s">
        <v>127</v>
      </c>
      <c r="L2088" s="0" t="s">
        <v>3537</v>
      </c>
    </row>
    <row r="2089" customFormat="false" ht="15" hidden="false" customHeight="false" outlineLevel="0" collapsed="false">
      <c r="A2089" s="0" t="s">
        <v>3335</v>
      </c>
      <c r="B2089" s="0" t="s">
        <v>140</v>
      </c>
      <c r="C2089" s="0" t="s">
        <v>555</v>
      </c>
      <c r="D2089" s="0" t="s">
        <v>53</v>
      </c>
      <c r="E2089" s="0" t="s">
        <v>1620</v>
      </c>
      <c r="F2089" s="0" t="n">
        <v>4</v>
      </c>
      <c r="G2089" s="0" t="n">
        <v>0</v>
      </c>
      <c r="H2089" s="0" t="s">
        <v>122</v>
      </c>
      <c r="K2089" s="0" t="s">
        <v>132</v>
      </c>
      <c r="L2089" s="0" t="s">
        <v>3538</v>
      </c>
    </row>
    <row r="2090" customFormat="false" ht="15" hidden="false" customHeight="false" outlineLevel="0" collapsed="false">
      <c r="A2090" s="0" t="s">
        <v>3335</v>
      </c>
      <c r="B2090" s="0" t="s">
        <v>140</v>
      </c>
      <c r="C2090" s="0" t="s">
        <v>555</v>
      </c>
      <c r="D2090" s="0" t="s">
        <v>56</v>
      </c>
      <c r="E2090" s="0" t="s">
        <v>1622</v>
      </c>
      <c r="F2090" s="0" t="n">
        <v>4</v>
      </c>
      <c r="G2090" s="0" t="n">
        <v>0</v>
      </c>
      <c r="H2090" s="0" t="s">
        <v>122</v>
      </c>
      <c r="K2090" s="0" t="s">
        <v>135</v>
      </c>
      <c r="L2090" s="0" t="s">
        <v>3539</v>
      </c>
    </row>
    <row r="2091" customFormat="false" ht="15" hidden="false" customHeight="false" outlineLevel="0" collapsed="false">
      <c r="A2091" s="0" t="s">
        <v>3335</v>
      </c>
      <c r="B2091" s="0" t="s">
        <v>140</v>
      </c>
      <c r="C2091" s="0" t="s">
        <v>555</v>
      </c>
      <c r="D2091" s="0" t="s">
        <v>59</v>
      </c>
      <c r="E2091" s="0" t="s">
        <v>1624</v>
      </c>
      <c r="F2091" s="0" t="n">
        <v>4</v>
      </c>
      <c r="G2091" s="0" t="n">
        <v>0</v>
      </c>
      <c r="H2091" s="0" t="s">
        <v>122</v>
      </c>
      <c r="K2091" s="0" t="s">
        <v>138</v>
      </c>
      <c r="L2091" s="0" t="s">
        <v>3540</v>
      </c>
    </row>
    <row r="2092" customFormat="false" ht="15" hidden="false" customHeight="false" outlineLevel="0" collapsed="false">
      <c r="A2092" s="0" t="s">
        <v>3335</v>
      </c>
      <c r="B2092" s="0" t="s">
        <v>140</v>
      </c>
      <c r="C2092" s="0" t="s">
        <v>555</v>
      </c>
      <c r="D2092" s="0" t="s">
        <v>67</v>
      </c>
      <c r="E2092" s="0" t="s">
        <v>1626</v>
      </c>
      <c r="F2092" s="0" t="n">
        <v>4</v>
      </c>
      <c r="G2092" s="0" t="n">
        <v>0</v>
      </c>
      <c r="H2092" s="0" t="s">
        <v>122</v>
      </c>
      <c r="K2092" s="0" t="s">
        <v>143</v>
      </c>
      <c r="L2092" s="0" t="s">
        <v>3541</v>
      </c>
    </row>
    <row r="2093" customFormat="false" ht="15" hidden="false" customHeight="false" outlineLevel="0" collapsed="false">
      <c r="A2093" s="0" t="s">
        <v>3335</v>
      </c>
      <c r="B2093" s="0" t="s">
        <v>140</v>
      </c>
      <c r="C2093" s="0" t="s">
        <v>555</v>
      </c>
      <c r="D2093" s="0" t="s">
        <v>70</v>
      </c>
      <c r="E2093" s="0" t="s">
        <v>1628</v>
      </c>
      <c r="F2093" s="0" t="n">
        <v>4</v>
      </c>
      <c r="G2093" s="0" t="n">
        <v>0</v>
      </c>
      <c r="H2093" s="0" t="s">
        <v>122</v>
      </c>
      <c r="K2093" s="0" t="s">
        <v>146</v>
      </c>
      <c r="L2093" s="0" t="s">
        <v>3542</v>
      </c>
    </row>
    <row r="2094" customFormat="false" ht="15" hidden="false" customHeight="false" outlineLevel="0" collapsed="false">
      <c r="A2094" s="0" t="s">
        <v>3335</v>
      </c>
      <c r="B2094" s="0" t="s">
        <v>140</v>
      </c>
      <c r="C2094" s="0" t="s">
        <v>555</v>
      </c>
      <c r="D2094" s="0" t="s">
        <v>73</v>
      </c>
      <c r="E2094" s="0" t="s">
        <v>1631</v>
      </c>
      <c r="F2094" s="0" t="n">
        <v>4</v>
      </c>
      <c r="G2094" s="0" t="n">
        <v>0</v>
      </c>
      <c r="H2094" s="0" t="s">
        <v>122</v>
      </c>
      <c r="K2094" s="0" t="s">
        <v>149</v>
      </c>
      <c r="L2094" s="0" t="s">
        <v>3543</v>
      </c>
    </row>
    <row r="2095" customFormat="false" ht="15" hidden="false" customHeight="false" outlineLevel="0" collapsed="false">
      <c r="A2095" s="0" t="s">
        <v>3335</v>
      </c>
      <c r="B2095" s="0" t="s">
        <v>140</v>
      </c>
      <c r="C2095" s="0" t="s">
        <v>555</v>
      </c>
      <c r="D2095" s="0" t="s">
        <v>76</v>
      </c>
      <c r="E2095" s="0" t="s">
        <v>1633</v>
      </c>
      <c r="F2095" s="0" t="n">
        <v>4</v>
      </c>
      <c r="G2095" s="0" t="n">
        <v>1</v>
      </c>
      <c r="H2095" s="0" t="s">
        <v>122</v>
      </c>
      <c r="I2095" s="0" t="s">
        <v>3544</v>
      </c>
      <c r="K2095" s="0" t="s">
        <v>152</v>
      </c>
      <c r="L2095" s="0" t="s">
        <v>3545</v>
      </c>
    </row>
    <row r="2096" customFormat="false" ht="15" hidden="false" customHeight="false" outlineLevel="0" collapsed="false">
      <c r="A2096" s="0" t="s">
        <v>3335</v>
      </c>
      <c r="B2096" s="0" t="s">
        <v>140</v>
      </c>
      <c r="C2096" s="0" t="s">
        <v>555</v>
      </c>
      <c r="D2096" s="0" t="s">
        <v>79</v>
      </c>
      <c r="E2096" s="0" t="s">
        <v>1635</v>
      </c>
      <c r="F2096" s="0" t="n">
        <v>4</v>
      </c>
      <c r="G2096" s="0" t="n">
        <v>0</v>
      </c>
      <c r="H2096" s="0" t="s">
        <v>122</v>
      </c>
      <c r="K2096" s="0" t="s">
        <v>156</v>
      </c>
      <c r="L2096" s="0" t="s">
        <v>3546</v>
      </c>
    </row>
    <row r="2097" customFormat="false" ht="15" hidden="false" customHeight="false" outlineLevel="0" collapsed="false">
      <c r="A2097" s="0" t="s">
        <v>3335</v>
      </c>
      <c r="B2097" s="0" t="s">
        <v>140</v>
      </c>
      <c r="C2097" s="0" t="s">
        <v>555</v>
      </c>
      <c r="D2097" s="0" t="s">
        <v>82</v>
      </c>
      <c r="E2097" s="0" t="s">
        <v>1637</v>
      </c>
      <c r="F2097" s="0" t="n">
        <v>4</v>
      </c>
      <c r="G2097" s="0" t="n">
        <v>0</v>
      </c>
      <c r="H2097" s="0" t="s">
        <v>122</v>
      </c>
      <c r="K2097" s="0" t="s">
        <v>160</v>
      </c>
      <c r="L2097" s="0" t="s">
        <v>3547</v>
      </c>
    </row>
    <row r="2098" customFormat="false" ht="15" hidden="false" customHeight="false" outlineLevel="0" collapsed="false">
      <c r="A2098" s="0" t="s">
        <v>3335</v>
      </c>
      <c r="B2098" s="0" t="s">
        <v>140</v>
      </c>
      <c r="C2098" s="0" t="s">
        <v>580</v>
      </c>
      <c r="D2098" s="0" t="s">
        <v>115</v>
      </c>
      <c r="E2098" s="0" t="s">
        <v>1639</v>
      </c>
      <c r="F2098" s="0" t="n">
        <v>4</v>
      </c>
      <c r="G2098" s="0" t="n">
        <v>0</v>
      </c>
      <c r="H2098" s="0" t="s">
        <v>122</v>
      </c>
      <c r="K2098" s="0" t="s">
        <v>118</v>
      </c>
      <c r="L2098" s="0" t="s">
        <v>3548</v>
      </c>
    </row>
    <row r="2099" customFormat="false" ht="15" hidden="false" customHeight="false" outlineLevel="0" collapsed="false">
      <c r="A2099" s="0" t="s">
        <v>3335</v>
      </c>
      <c r="B2099" s="0" t="s">
        <v>140</v>
      </c>
      <c r="C2099" s="0" t="s">
        <v>580</v>
      </c>
      <c r="D2099" s="0" t="s">
        <v>120</v>
      </c>
      <c r="E2099" s="0" t="s">
        <v>1641</v>
      </c>
      <c r="F2099" s="0" t="n">
        <v>4</v>
      </c>
      <c r="G2099" s="0" t="n">
        <v>0</v>
      </c>
      <c r="H2099" s="0" t="s">
        <v>122</v>
      </c>
      <c r="K2099" s="0" t="s">
        <v>123</v>
      </c>
      <c r="L2099" s="0" t="s">
        <v>3549</v>
      </c>
    </row>
    <row r="2100" customFormat="false" ht="15" hidden="false" customHeight="false" outlineLevel="0" collapsed="false">
      <c r="A2100" s="0" t="s">
        <v>3335</v>
      </c>
      <c r="B2100" s="0" t="s">
        <v>140</v>
      </c>
      <c r="C2100" s="0" t="s">
        <v>580</v>
      </c>
      <c r="D2100" s="0" t="s">
        <v>125</v>
      </c>
      <c r="E2100" s="0" t="s">
        <v>1643</v>
      </c>
      <c r="F2100" s="0" t="n">
        <v>4</v>
      </c>
      <c r="G2100" s="0" t="n">
        <v>0</v>
      </c>
      <c r="H2100" s="0" t="s">
        <v>122</v>
      </c>
      <c r="K2100" s="0" t="s">
        <v>127</v>
      </c>
      <c r="L2100" s="0" t="s">
        <v>3550</v>
      </c>
    </row>
    <row r="2101" customFormat="false" ht="15" hidden="false" customHeight="false" outlineLevel="0" collapsed="false">
      <c r="A2101" s="0" t="s">
        <v>3335</v>
      </c>
      <c r="B2101" s="0" t="s">
        <v>140</v>
      </c>
      <c r="C2101" s="0" t="s">
        <v>580</v>
      </c>
      <c r="D2101" s="0" t="s">
        <v>53</v>
      </c>
      <c r="E2101" s="0" t="s">
        <v>1645</v>
      </c>
      <c r="F2101" s="0" t="n">
        <v>4</v>
      </c>
      <c r="G2101" s="0" t="n">
        <v>0</v>
      </c>
      <c r="H2101" s="0" t="s">
        <v>122</v>
      </c>
      <c r="K2101" s="0" t="s">
        <v>132</v>
      </c>
      <c r="L2101" s="0" t="s">
        <v>3551</v>
      </c>
    </row>
    <row r="2102" customFormat="false" ht="15" hidden="false" customHeight="false" outlineLevel="0" collapsed="false">
      <c r="A2102" s="0" t="s">
        <v>3335</v>
      </c>
      <c r="B2102" s="0" t="s">
        <v>140</v>
      </c>
      <c r="C2102" s="0" t="s">
        <v>580</v>
      </c>
      <c r="D2102" s="0" t="s">
        <v>56</v>
      </c>
      <c r="E2102" s="0" t="s">
        <v>1647</v>
      </c>
      <c r="F2102" s="0" t="n">
        <v>4</v>
      </c>
      <c r="G2102" s="0" t="n">
        <v>0</v>
      </c>
      <c r="H2102" s="0" t="s">
        <v>122</v>
      </c>
      <c r="K2102" s="0" t="s">
        <v>135</v>
      </c>
      <c r="L2102" s="0" t="s">
        <v>3552</v>
      </c>
    </row>
    <row r="2103" customFormat="false" ht="15" hidden="false" customHeight="false" outlineLevel="0" collapsed="false">
      <c r="A2103" s="0" t="s">
        <v>3335</v>
      </c>
      <c r="B2103" s="0" t="s">
        <v>140</v>
      </c>
      <c r="C2103" s="0" t="s">
        <v>580</v>
      </c>
      <c r="D2103" s="0" t="s">
        <v>59</v>
      </c>
      <c r="E2103" s="0" t="s">
        <v>1649</v>
      </c>
      <c r="F2103" s="0" t="n">
        <v>4</v>
      </c>
      <c r="G2103" s="0" t="n">
        <v>0</v>
      </c>
      <c r="H2103" s="0" t="s">
        <v>122</v>
      </c>
      <c r="K2103" s="0" t="s">
        <v>138</v>
      </c>
      <c r="L2103" s="0" t="s">
        <v>3553</v>
      </c>
    </row>
    <row r="2104" customFormat="false" ht="15" hidden="false" customHeight="false" outlineLevel="0" collapsed="false">
      <c r="A2104" s="0" t="s">
        <v>3335</v>
      </c>
      <c r="B2104" s="0" t="s">
        <v>140</v>
      </c>
      <c r="C2104" s="0" t="s">
        <v>580</v>
      </c>
      <c r="D2104" s="0" t="s">
        <v>67</v>
      </c>
      <c r="E2104" s="0" t="s">
        <v>1651</v>
      </c>
      <c r="F2104" s="0" t="n">
        <v>4</v>
      </c>
      <c r="G2104" s="0" t="n">
        <v>3</v>
      </c>
      <c r="H2104" s="0" t="s">
        <v>122</v>
      </c>
      <c r="I2104" s="0" t="s">
        <v>3544</v>
      </c>
      <c r="K2104" s="0" t="s">
        <v>143</v>
      </c>
      <c r="L2104" s="0" t="s">
        <v>3554</v>
      </c>
    </row>
    <row r="2105" customFormat="false" ht="15" hidden="false" customHeight="false" outlineLevel="0" collapsed="false">
      <c r="A2105" s="0" t="s">
        <v>3335</v>
      </c>
      <c r="B2105" s="0" t="s">
        <v>140</v>
      </c>
      <c r="C2105" s="0" t="s">
        <v>580</v>
      </c>
      <c r="D2105" s="0" t="s">
        <v>70</v>
      </c>
      <c r="E2105" s="0" t="s">
        <v>1653</v>
      </c>
      <c r="F2105" s="0" t="n">
        <v>4</v>
      </c>
      <c r="G2105" s="0" t="n">
        <v>0</v>
      </c>
      <c r="H2105" s="0" t="s">
        <v>122</v>
      </c>
      <c r="K2105" s="0" t="s">
        <v>146</v>
      </c>
      <c r="L2105" s="0" t="s">
        <v>3555</v>
      </c>
    </row>
    <row r="2106" customFormat="false" ht="15" hidden="false" customHeight="false" outlineLevel="0" collapsed="false">
      <c r="A2106" s="0" t="s">
        <v>3335</v>
      </c>
      <c r="B2106" s="0" t="s">
        <v>140</v>
      </c>
      <c r="C2106" s="0" t="s">
        <v>580</v>
      </c>
      <c r="D2106" s="0" t="s">
        <v>73</v>
      </c>
      <c r="E2106" s="0" t="s">
        <v>1655</v>
      </c>
      <c r="F2106" s="0" t="n">
        <v>4</v>
      </c>
      <c r="G2106" s="0" t="n">
        <v>2</v>
      </c>
      <c r="H2106" s="0" t="s">
        <v>122</v>
      </c>
      <c r="I2106" s="0" t="s">
        <v>3556</v>
      </c>
      <c r="K2106" s="0" t="s">
        <v>149</v>
      </c>
      <c r="L2106" s="0" t="s">
        <v>3557</v>
      </c>
    </row>
    <row r="2107" customFormat="false" ht="15" hidden="false" customHeight="false" outlineLevel="0" collapsed="false">
      <c r="A2107" s="0" t="s">
        <v>3335</v>
      </c>
      <c r="B2107" s="0" t="s">
        <v>140</v>
      </c>
      <c r="C2107" s="0" t="s">
        <v>580</v>
      </c>
      <c r="D2107" s="0" t="s">
        <v>76</v>
      </c>
      <c r="E2107" s="0" t="s">
        <v>1657</v>
      </c>
      <c r="F2107" s="0" t="n">
        <v>4</v>
      </c>
      <c r="G2107" s="0" t="n">
        <v>4</v>
      </c>
      <c r="H2107" s="0" t="s">
        <v>117</v>
      </c>
      <c r="I2107" s="0" t="s">
        <v>3363</v>
      </c>
      <c r="K2107" s="0" t="s">
        <v>152</v>
      </c>
      <c r="L2107" s="0" t="s">
        <v>3558</v>
      </c>
    </row>
    <row r="2108" customFormat="false" ht="15" hidden="false" customHeight="false" outlineLevel="0" collapsed="false">
      <c r="A2108" s="0" t="s">
        <v>3335</v>
      </c>
      <c r="B2108" s="0" t="s">
        <v>140</v>
      </c>
      <c r="C2108" s="0" t="s">
        <v>580</v>
      </c>
      <c r="D2108" s="0" t="s">
        <v>79</v>
      </c>
      <c r="E2108" s="0" t="s">
        <v>1659</v>
      </c>
      <c r="F2108" s="0" t="n">
        <v>4</v>
      </c>
      <c r="G2108" s="0" t="n">
        <v>3</v>
      </c>
      <c r="H2108" s="0" t="s">
        <v>122</v>
      </c>
      <c r="I2108" s="0" t="s">
        <v>3544</v>
      </c>
      <c r="K2108" s="0" t="s">
        <v>156</v>
      </c>
      <c r="L2108" s="0" t="s">
        <v>3559</v>
      </c>
    </row>
    <row r="2109" customFormat="false" ht="15" hidden="false" customHeight="false" outlineLevel="0" collapsed="false">
      <c r="A2109" s="0" t="s">
        <v>3335</v>
      </c>
      <c r="B2109" s="0" t="s">
        <v>140</v>
      </c>
      <c r="C2109" s="0" t="s">
        <v>580</v>
      </c>
      <c r="D2109" s="0" t="s">
        <v>82</v>
      </c>
      <c r="E2109" s="0" t="s">
        <v>1661</v>
      </c>
      <c r="F2109" s="0" t="n">
        <v>4</v>
      </c>
      <c r="G2109" s="0" t="n">
        <v>0</v>
      </c>
      <c r="H2109" s="0" t="s">
        <v>122</v>
      </c>
      <c r="K2109" s="0" t="s">
        <v>160</v>
      </c>
      <c r="L2109" s="0" t="s">
        <v>3560</v>
      </c>
    </row>
    <row r="2110" customFormat="false" ht="15" hidden="false" customHeight="false" outlineLevel="0" collapsed="false">
      <c r="A2110" s="0" t="s">
        <v>3335</v>
      </c>
      <c r="B2110" s="0" t="s">
        <v>140</v>
      </c>
      <c r="C2110" s="0" t="s">
        <v>605</v>
      </c>
      <c r="D2110" s="0" t="s">
        <v>115</v>
      </c>
      <c r="E2110" s="0" t="s">
        <v>3561</v>
      </c>
      <c r="F2110" s="0" t="n">
        <v>4</v>
      </c>
      <c r="G2110" s="0" t="n">
        <v>0</v>
      </c>
      <c r="H2110" s="0" t="s">
        <v>122</v>
      </c>
      <c r="K2110" s="0" t="s">
        <v>118</v>
      </c>
      <c r="L2110" s="0" t="s">
        <v>3562</v>
      </c>
    </row>
    <row r="2111" customFormat="false" ht="15" hidden="false" customHeight="false" outlineLevel="0" collapsed="false">
      <c r="A2111" s="0" t="s">
        <v>3335</v>
      </c>
      <c r="B2111" s="0" t="s">
        <v>140</v>
      </c>
      <c r="C2111" s="0" t="s">
        <v>605</v>
      </c>
      <c r="D2111" s="0" t="s">
        <v>120</v>
      </c>
      <c r="E2111" s="0" t="s">
        <v>1665</v>
      </c>
      <c r="F2111" s="0" t="n">
        <v>4</v>
      </c>
      <c r="G2111" s="0" t="n">
        <v>0</v>
      </c>
      <c r="H2111" s="0" t="s">
        <v>122</v>
      </c>
      <c r="K2111" s="0" t="s">
        <v>123</v>
      </c>
      <c r="L2111" s="0" t="s">
        <v>3563</v>
      </c>
    </row>
    <row r="2112" customFormat="false" ht="15" hidden="false" customHeight="false" outlineLevel="0" collapsed="false">
      <c r="A2112" s="0" t="s">
        <v>3335</v>
      </c>
      <c r="B2112" s="0" t="s">
        <v>140</v>
      </c>
      <c r="C2112" s="0" t="s">
        <v>605</v>
      </c>
      <c r="D2112" s="0" t="s">
        <v>125</v>
      </c>
      <c r="E2112" s="0" t="s">
        <v>1667</v>
      </c>
      <c r="F2112" s="0" t="n">
        <v>4</v>
      </c>
      <c r="G2112" s="0" t="n">
        <v>3</v>
      </c>
      <c r="H2112" s="0" t="s">
        <v>122</v>
      </c>
      <c r="I2112" s="0" t="s">
        <v>3363</v>
      </c>
      <c r="K2112" s="0" t="s">
        <v>127</v>
      </c>
      <c r="L2112" s="0" t="s">
        <v>3564</v>
      </c>
    </row>
    <row r="2113" customFormat="false" ht="15" hidden="false" customHeight="false" outlineLevel="0" collapsed="false">
      <c r="A2113" s="0" t="s">
        <v>3335</v>
      </c>
      <c r="B2113" s="0" t="s">
        <v>140</v>
      </c>
      <c r="C2113" s="0" t="s">
        <v>605</v>
      </c>
      <c r="D2113" s="0" t="s">
        <v>53</v>
      </c>
      <c r="E2113" s="0" t="s">
        <v>1669</v>
      </c>
      <c r="F2113" s="0" t="n">
        <v>4</v>
      </c>
      <c r="G2113" s="0" t="n">
        <v>0</v>
      </c>
      <c r="H2113" s="0" t="s">
        <v>122</v>
      </c>
      <c r="K2113" s="0" t="s">
        <v>132</v>
      </c>
      <c r="L2113" s="0" t="s">
        <v>3565</v>
      </c>
    </row>
    <row r="2114" customFormat="false" ht="15" hidden="false" customHeight="false" outlineLevel="0" collapsed="false">
      <c r="A2114" s="0" t="s">
        <v>3335</v>
      </c>
      <c r="B2114" s="0" t="s">
        <v>140</v>
      </c>
      <c r="C2114" s="0" t="s">
        <v>605</v>
      </c>
      <c r="D2114" s="0" t="s">
        <v>56</v>
      </c>
      <c r="E2114" s="0" t="s">
        <v>1671</v>
      </c>
      <c r="F2114" s="0" t="n">
        <v>4</v>
      </c>
      <c r="G2114" s="0" t="n">
        <v>0</v>
      </c>
      <c r="H2114" s="0" t="s">
        <v>122</v>
      </c>
      <c r="K2114" s="0" t="s">
        <v>135</v>
      </c>
      <c r="L2114" s="0" t="s">
        <v>3566</v>
      </c>
    </row>
    <row r="2115" customFormat="false" ht="15" hidden="false" customHeight="false" outlineLevel="0" collapsed="false">
      <c r="A2115" s="0" t="s">
        <v>3335</v>
      </c>
      <c r="B2115" s="0" t="s">
        <v>140</v>
      </c>
      <c r="C2115" s="0" t="s">
        <v>605</v>
      </c>
      <c r="D2115" s="0" t="s">
        <v>59</v>
      </c>
      <c r="E2115" s="0" t="s">
        <v>1673</v>
      </c>
      <c r="F2115" s="0" t="n">
        <v>4</v>
      </c>
      <c r="G2115" s="0" t="n">
        <v>0</v>
      </c>
      <c r="H2115" s="0" t="s">
        <v>122</v>
      </c>
      <c r="K2115" s="0" t="s">
        <v>138</v>
      </c>
      <c r="L2115" s="0" t="s">
        <v>3567</v>
      </c>
    </row>
    <row r="2116" customFormat="false" ht="15" hidden="false" customHeight="false" outlineLevel="0" collapsed="false">
      <c r="A2116" s="0" t="s">
        <v>3335</v>
      </c>
      <c r="B2116" s="0" t="s">
        <v>140</v>
      </c>
      <c r="C2116" s="0" t="s">
        <v>605</v>
      </c>
      <c r="D2116" s="0" t="s">
        <v>67</v>
      </c>
      <c r="E2116" s="0" t="s">
        <v>1675</v>
      </c>
      <c r="F2116" s="0" t="n">
        <v>4</v>
      </c>
      <c r="G2116" s="0" t="n">
        <v>1</v>
      </c>
      <c r="H2116" s="0" t="s">
        <v>122</v>
      </c>
      <c r="I2116" s="0" t="s">
        <v>3556</v>
      </c>
      <c r="K2116" s="0" t="s">
        <v>143</v>
      </c>
      <c r="L2116" s="0" t="s">
        <v>3568</v>
      </c>
    </row>
    <row r="2117" customFormat="false" ht="15" hidden="false" customHeight="false" outlineLevel="0" collapsed="false">
      <c r="A2117" s="0" t="s">
        <v>3335</v>
      </c>
      <c r="B2117" s="0" t="s">
        <v>140</v>
      </c>
      <c r="C2117" s="0" t="s">
        <v>605</v>
      </c>
      <c r="D2117" s="0" t="s">
        <v>70</v>
      </c>
      <c r="E2117" s="0" t="s">
        <v>1677</v>
      </c>
      <c r="F2117" s="0" t="n">
        <v>4</v>
      </c>
      <c r="G2117" s="0" t="n">
        <v>0</v>
      </c>
      <c r="H2117" s="0" t="s">
        <v>122</v>
      </c>
      <c r="K2117" s="0" t="s">
        <v>146</v>
      </c>
      <c r="L2117" s="0" t="s">
        <v>3569</v>
      </c>
    </row>
    <row r="2118" customFormat="false" ht="15" hidden="false" customHeight="false" outlineLevel="0" collapsed="false">
      <c r="A2118" s="0" t="s">
        <v>3335</v>
      </c>
      <c r="B2118" s="0" t="s">
        <v>140</v>
      </c>
      <c r="C2118" s="0" t="s">
        <v>605</v>
      </c>
      <c r="D2118" s="0" t="s">
        <v>73</v>
      </c>
      <c r="E2118" s="0" t="s">
        <v>1679</v>
      </c>
      <c r="F2118" s="0" t="n">
        <v>4</v>
      </c>
      <c r="G2118" s="0" t="n">
        <v>0</v>
      </c>
      <c r="H2118" s="0" t="s">
        <v>122</v>
      </c>
      <c r="K2118" s="0" t="s">
        <v>149</v>
      </c>
      <c r="L2118" s="0" t="s">
        <v>3570</v>
      </c>
    </row>
    <row r="2119" customFormat="false" ht="15" hidden="false" customHeight="false" outlineLevel="0" collapsed="false">
      <c r="A2119" s="0" t="s">
        <v>3335</v>
      </c>
      <c r="B2119" s="0" t="s">
        <v>140</v>
      </c>
      <c r="C2119" s="0" t="s">
        <v>605</v>
      </c>
      <c r="D2119" s="0" t="s">
        <v>76</v>
      </c>
      <c r="E2119" s="0" t="s">
        <v>1682</v>
      </c>
      <c r="F2119" s="0" t="n">
        <v>4</v>
      </c>
      <c r="G2119" s="0" t="n">
        <v>2</v>
      </c>
      <c r="H2119" s="0" t="s">
        <v>122</v>
      </c>
      <c r="I2119" s="0" t="s">
        <v>3363</v>
      </c>
      <c r="K2119" s="0" t="s">
        <v>152</v>
      </c>
      <c r="L2119" s="0" t="s">
        <v>3571</v>
      </c>
    </row>
    <row r="2120" customFormat="false" ht="15" hidden="false" customHeight="false" outlineLevel="0" collapsed="false">
      <c r="A2120" s="0" t="s">
        <v>3335</v>
      </c>
      <c r="B2120" s="0" t="s">
        <v>140</v>
      </c>
      <c r="C2120" s="0" t="s">
        <v>605</v>
      </c>
      <c r="D2120" s="0" t="s">
        <v>79</v>
      </c>
      <c r="E2120" s="0" t="s">
        <v>1684</v>
      </c>
      <c r="F2120" s="0" t="n">
        <v>4</v>
      </c>
      <c r="G2120" s="0" t="n">
        <v>3</v>
      </c>
      <c r="H2120" s="0" t="s">
        <v>122</v>
      </c>
      <c r="I2120" s="0" t="s">
        <v>3363</v>
      </c>
      <c r="K2120" s="0" t="s">
        <v>156</v>
      </c>
      <c r="L2120" s="0" t="s">
        <v>3572</v>
      </c>
    </row>
    <row r="2121" customFormat="false" ht="15" hidden="false" customHeight="false" outlineLevel="0" collapsed="false">
      <c r="A2121" s="0" t="s">
        <v>3335</v>
      </c>
      <c r="B2121" s="0" t="s">
        <v>140</v>
      </c>
      <c r="C2121" s="0" t="s">
        <v>605</v>
      </c>
      <c r="D2121" s="0" t="s">
        <v>82</v>
      </c>
      <c r="E2121" s="0" t="s">
        <v>1686</v>
      </c>
      <c r="F2121" s="0" t="n">
        <v>4</v>
      </c>
      <c r="G2121" s="0" t="n">
        <v>0</v>
      </c>
      <c r="H2121" s="0" t="s">
        <v>122</v>
      </c>
      <c r="K2121" s="0" t="s">
        <v>160</v>
      </c>
      <c r="L2121" s="0" t="s">
        <v>3573</v>
      </c>
    </row>
    <row r="2122" customFormat="false" ht="15" hidden="false" customHeight="false" outlineLevel="0" collapsed="false">
      <c r="A2122" s="0" t="s">
        <v>3335</v>
      </c>
      <c r="B2122" s="0" t="s">
        <v>140</v>
      </c>
      <c r="C2122" s="0" t="s">
        <v>630</v>
      </c>
      <c r="D2122" s="0" t="s">
        <v>115</v>
      </c>
      <c r="E2122" s="0" t="s">
        <v>1688</v>
      </c>
      <c r="F2122" s="0" t="n">
        <v>4</v>
      </c>
      <c r="G2122" s="0" t="n">
        <v>0</v>
      </c>
      <c r="H2122" s="0" t="s">
        <v>122</v>
      </c>
      <c r="K2122" s="0" t="s">
        <v>118</v>
      </c>
      <c r="L2122" s="0" t="s">
        <v>3574</v>
      </c>
    </row>
    <row r="2123" customFormat="false" ht="15" hidden="false" customHeight="false" outlineLevel="0" collapsed="false">
      <c r="A2123" s="0" t="s">
        <v>3335</v>
      </c>
      <c r="B2123" s="0" t="s">
        <v>140</v>
      </c>
      <c r="C2123" s="0" t="s">
        <v>630</v>
      </c>
      <c r="D2123" s="0" t="s">
        <v>120</v>
      </c>
      <c r="E2123" s="0" t="s">
        <v>1690</v>
      </c>
      <c r="F2123" s="0" t="n">
        <v>4</v>
      </c>
      <c r="G2123" s="0" t="n">
        <v>0</v>
      </c>
      <c r="H2123" s="0" t="s">
        <v>122</v>
      </c>
      <c r="K2123" s="0" t="s">
        <v>123</v>
      </c>
      <c r="L2123" s="0" t="s">
        <v>3575</v>
      </c>
    </row>
    <row r="2124" customFormat="false" ht="15" hidden="false" customHeight="false" outlineLevel="0" collapsed="false">
      <c r="A2124" s="0" t="s">
        <v>3335</v>
      </c>
      <c r="B2124" s="0" t="s">
        <v>140</v>
      </c>
      <c r="C2124" s="0" t="s">
        <v>630</v>
      </c>
      <c r="D2124" s="0" t="s">
        <v>125</v>
      </c>
      <c r="E2124" s="0" t="s">
        <v>1692</v>
      </c>
      <c r="F2124" s="0" t="n">
        <v>4</v>
      </c>
      <c r="G2124" s="0" t="n">
        <v>0</v>
      </c>
      <c r="H2124" s="0" t="s">
        <v>122</v>
      </c>
      <c r="K2124" s="0" t="s">
        <v>127</v>
      </c>
      <c r="L2124" s="0" t="s">
        <v>3576</v>
      </c>
    </row>
    <row r="2125" customFormat="false" ht="15" hidden="false" customHeight="false" outlineLevel="0" collapsed="false">
      <c r="A2125" s="0" t="s">
        <v>3335</v>
      </c>
      <c r="B2125" s="0" t="s">
        <v>140</v>
      </c>
      <c r="C2125" s="0" t="s">
        <v>630</v>
      </c>
      <c r="D2125" s="0" t="s">
        <v>53</v>
      </c>
      <c r="E2125" s="0" t="s">
        <v>1694</v>
      </c>
      <c r="F2125" s="0" t="n">
        <v>4</v>
      </c>
      <c r="G2125" s="0" t="n">
        <v>0</v>
      </c>
      <c r="H2125" s="0" t="s">
        <v>122</v>
      </c>
      <c r="K2125" s="0" t="s">
        <v>132</v>
      </c>
      <c r="L2125" s="0" t="s">
        <v>3577</v>
      </c>
    </row>
    <row r="2126" customFormat="false" ht="15" hidden="false" customHeight="false" outlineLevel="0" collapsed="false">
      <c r="A2126" s="0" t="s">
        <v>3335</v>
      </c>
      <c r="B2126" s="0" t="s">
        <v>140</v>
      </c>
      <c r="C2126" s="0" t="s">
        <v>630</v>
      </c>
      <c r="D2126" s="0" t="s">
        <v>56</v>
      </c>
      <c r="E2126" s="0" t="s">
        <v>1696</v>
      </c>
      <c r="F2126" s="0" t="n">
        <v>4</v>
      </c>
      <c r="G2126" s="0" t="n">
        <v>0</v>
      </c>
      <c r="H2126" s="0" t="s">
        <v>122</v>
      </c>
      <c r="K2126" s="0" t="s">
        <v>135</v>
      </c>
      <c r="L2126" s="0" t="s">
        <v>3578</v>
      </c>
    </row>
    <row r="2127" customFormat="false" ht="15" hidden="false" customHeight="false" outlineLevel="0" collapsed="false">
      <c r="A2127" s="0" t="s">
        <v>3335</v>
      </c>
      <c r="B2127" s="0" t="s">
        <v>140</v>
      </c>
      <c r="C2127" s="0" t="s">
        <v>630</v>
      </c>
      <c r="D2127" s="0" t="s">
        <v>59</v>
      </c>
      <c r="E2127" s="0" t="s">
        <v>1698</v>
      </c>
      <c r="F2127" s="0" t="n">
        <v>4</v>
      </c>
      <c r="G2127" s="0" t="n">
        <v>0</v>
      </c>
      <c r="H2127" s="0" t="s">
        <v>122</v>
      </c>
      <c r="K2127" s="0" t="s">
        <v>138</v>
      </c>
      <c r="L2127" s="0" t="s">
        <v>3579</v>
      </c>
    </row>
    <row r="2128" customFormat="false" ht="15" hidden="false" customHeight="false" outlineLevel="0" collapsed="false">
      <c r="A2128" s="0" t="s">
        <v>3335</v>
      </c>
      <c r="B2128" s="0" t="s">
        <v>140</v>
      </c>
      <c r="C2128" s="0" t="s">
        <v>630</v>
      </c>
      <c r="D2128" s="0" t="s">
        <v>67</v>
      </c>
      <c r="E2128" s="0" t="s">
        <v>1700</v>
      </c>
      <c r="F2128" s="0" t="n">
        <v>4</v>
      </c>
      <c r="G2128" s="0" t="n">
        <v>0</v>
      </c>
      <c r="H2128" s="0" t="s">
        <v>122</v>
      </c>
      <c r="K2128" s="0" t="s">
        <v>143</v>
      </c>
      <c r="L2128" s="0" t="s">
        <v>3580</v>
      </c>
    </row>
    <row r="2129" customFormat="false" ht="15" hidden="false" customHeight="false" outlineLevel="0" collapsed="false">
      <c r="A2129" s="0" t="s">
        <v>3335</v>
      </c>
      <c r="B2129" s="0" t="s">
        <v>140</v>
      </c>
      <c r="C2129" s="0" t="s">
        <v>630</v>
      </c>
      <c r="D2129" s="0" t="s">
        <v>70</v>
      </c>
      <c r="E2129" s="0" t="s">
        <v>1702</v>
      </c>
      <c r="F2129" s="0" t="n">
        <v>4</v>
      </c>
      <c r="G2129" s="0" t="n">
        <v>0</v>
      </c>
      <c r="H2129" s="0" t="s">
        <v>122</v>
      </c>
      <c r="K2129" s="0" t="s">
        <v>146</v>
      </c>
      <c r="L2129" s="0" t="s">
        <v>3581</v>
      </c>
    </row>
    <row r="2130" customFormat="false" ht="15" hidden="false" customHeight="false" outlineLevel="0" collapsed="false">
      <c r="A2130" s="0" t="s">
        <v>3335</v>
      </c>
      <c r="B2130" s="0" t="s">
        <v>140</v>
      </c>
      <c r="C2130" s="0" t="s">
        <v>630</v>
      </c>
      <c r="D2130" s="0" t="s">
        <v>73</v>
      </c>
      <c r="E2130" s="0" t="s">
        <v>1704</v>
      </c>
      <c r="F2130" s="0" t="n">
        <v>4</v>
      </c>
      <c r="G2130" s="0" t="n">
        <v>3</v>
      </c>
      <c r="H2130" s="0" t="s">
        <v>122</v>
      </c>
      <c r="I2130" s="0" t="s">
        <v>3556</v>
      </c>
      <c r="K2130" s="0" t="s">
        <v>149</v>
      </c>
      <c r="L2130" s="0" t="s">
        <v>3582</v>
      </c>
    </row>
    <row r="2131" customFormat="false" ht="15" hidden="false" customHeight="false" outlineLevel="0" collapsed="false">
      <c r="A2131" s="0" t="s">
        <v>3335</v>
      </c>
      <c r="B2131" s="0" t="s">
        <v>140</v>
      </c>
      <c r="C2131" s="0" t="s">
        <v>630</v>
      </c>
      <c r="D2131" s="0" t="s">
        <v>76</v>
      </c>
      <c r="E2131" s="0" t="s">
        <v>1706</v>
      </c>
      <c r="F2131" s="0" t="n">
        <v>4</v>
      </c>
      <c r="G2131" s="0" t="n">
        <v>1</v>
      </c>
      <c r="H2131" s="0" t="s">
        <v>122</v>
      </c>
      <c r="I2131" s="0" t="s">
        <v>3400</v>
      </c>
      <c r="K2131" s="0" t="s">
        <v>152</v>
      </c>
      <c r="L2131" s="0" t="s">
        <v>3583</v>
      </c>
    </row>
    <row r="2132" customFormat="false" ht="15" hidden="false" customHeight="false" outlineLevel="0" collapsed="false">
      <c r="A2132" s="0" t="s">
        <v>3335</v>
      </c>
      <c r="B2132" s="0" t="s">
        <v>140</v>
      </c>
      <c r="C2132" s="0" t="s">
        <v>630</v>
      </c>
      <c r="D2132" s="0" t="s">
        <v>79</v>
      </c>
      <c r="E2132" s="0" t="s">
        <v>1708</v>
      </c>
      <c r="F2132" s="0" t="n">
        <v>4</v>
      </c>
      <c r="G2132" s="0" t="n">
        <v>4</v>
      </c>
      <c r="H2132" s="0" t="s">
        <v>117</v>
      </c>
      <c r="I2132" s="0" t="s">
        <v>3363</v>
      </c>
      <c r="K2132" s="0" t="s">
        <v>156</v>
      </c>
      <c r="L2132" s="0" t="s">
        <v>3584</v>
      </c>
    </row>
    <row r="2133" customFormat="false" ht="15" hidden="false" customHeight="false" outlineLevel="0" collapsed="false">
      <c r="A2133" s="0" t="s">
        <v>3335</v>
      </c>
      <c r="B2133" s="0" t="s">
        <v>140</v>
      </c>
      <c r="C2133" s="0" t="s">
        <v>630</v>
      </c>
      <c r="D2133" s="0" t="s">
        <v>82</v>
      </c>
      <c r="E2133" s="0" t="s">
        <v>1710</v>
      </c>
      <c r="F2133" s="0" t="n">
        <v>4</v>
      </c>
      <c r="G2133" s="0" t="n">
        <v>3</v>
      </c>
      <c r="H2133" s="0" t="s">
        <v>122</v>
      </c>
      <c r="I2133" s="0" t="s">
        <v>3530</v>
      </c>
      <c r="K2133" s="0" t="s">
        <v>160</v>
      </c>
      <c r="L2133" s="0" t="s">
        <v>3585</v>
      </c>
    </row>
    <row r="2134" customFormat="false" ht="15" hidden="false" customHeight="false" outlineLevel="0" collapsed="false">
      <c r="A2134" s="0" t="s">
        <v>3335</v>
      </c>
      <c r="B2134" s="0" t="s">
        <v>140</v>
      </c>
      <c r="C2134" s="0" t="s">
        <v>655</v>
      </c>
      <c r="D2134" s="0" t="s">
        <v>115</v>
      </c>
      <c r="E2134" s="0" t="s">
        <v>1712</v>
      </c>
      <c r="F2134" s="0" t="n">
        <v>4</v>
      </c>
      <c r="G2134" s="0" t="n">
        <v>0</v>
      </c>
      <c r="H2134" s="0" t="s">
        <v>122</v>
      </c>
      <c r="K2134" s="0" t="s">
        <v>118</v>
      </c>
      <c r="L2134" s="0" t="s">
        <v>3586</v>
      </c>
    </row>
    <row r="2135" customFormat="false" ht="15" hidden="false" customHeight="false" outlineLevel="0" collapsed="false">
      <c r="A2135" s="0" t="s">
        <v>3335</v>
      </c>
      <c r="B2135" s="0" t="s">
        <v>140</v>
      </c>
      <c r="C2135" s="0" t="s">
        <v>655</v>
      </c>
      <c r="D2135" s="0" t="s">
        <v>120</v>
      </c>
      <c r="E2135" s="0" t="s">
        <v>1714</v>
      </c>
      <c r="F2135" s="0" t="n">
        <v>4</v>
      </c>
      <c r="G2135" s="0" t="n">
        <v>3</v>
      </c>
      <c r="H2135" s="0" t="s">
        <v>122</v>
      </c>
      <c r="I2135" s="0" t="s">
        <v>3544</v>
      </c>
      <c r="K2135" s="0" t="s">
        <v>123</v>
      </c>
      <c r="L2135" s="0" t="s">
        <v>3587</v>
      </c>
    </row>
    <row r="2136" customFormat="false" ht="15" hidden="false" customHeight="false" outlineLevel="0" collapsed="false">
      <c r="A2136" s="0" t="s">
        <v>3335</v>
      </c>
      <c r="B2136" s="0" t="s">
        <v>140</v>
      </c>
      <c r="C2136" s="0" t="s">
        <v>655</v>
      </c>
      <c r="D2136" s="0" t="s">
        <v>125</v>
      </c>
      <c r="E2136" s="0" t="s">
        <v>1716</v>
      </c>
      <c r="F2136" s="0" t="n">
        <v>4</v>
      </c>
      <c r="G2136" s="0" t="n">
        <v>2</v>
      </c>
      <c r="H2136" s="0" t="s">
        <v>122</v>
      </c>
      <c r="I2136" s="0" t="s">
        <v>3544</v>
      </c>
      <c r="K2136" s="0" t="s">
        <v>127</v>
      </c>
      <c r="L2136" s="0" t="s">
        <v>3588</v>
      </c>
    </row>
    <row r="2137" customFormat="false" ht="15" hidden="false" customHeight="false" outlineLevel="0" collapsed="false">
      <c r="A2137" s="0" t="s">
        <v>3335</v>
      </c>
      <c r="B2137" s="0" t="s">
        <v>140</v>
      </c>
      <c r="C2137" s="0" t="s">
        <v>655</v>
      </c>
      <c r="D2137" s="0" t="s">
        <v>53</v>
      </c>
      <c r="E2137" s="0" t="s">
        <v>1718</v>
      </c>
      <c r="F2137" s="0" t="n">
        <v>4</v>
      </c>
      <c r="G2137" s="0" t="n">
        <v>2</v>
      </c>
      <c r="H2137" s="0" t="s">
        <v>122</v>
      </c>
      <c r="I2137" s="0" t="s">
        <v>3556</v>
      </c>
      <c r="K2137" s="0" t="s">
        <v>132</v>
      </c>
      <c r="L2137" s="0" t="s">
        <v>3589</v>
      </c>
    </row>
    <row r="2138" customFormat="false" ht="15" hidden="false" customHeight="false" outlineLevel="0" collapsed="false">
      <c r="A2138" s="0" t="s">
        <v>3335</v>
      </c>
      <c r="B2138" s="0" t="s">
        <v>140</v>
      </c>
      <c r="C2138" s="0" t="s">
        <v>655</v>
      </c>
      <c r="D2138" s="0" t="s">
        <v>56</v>
      </c>
      <c r="E2138" s="0" t="s">
        <v>1720</v>
      </c>
      <c r="F2138" s="0" t="n">
        <v>4</v>
      </c>
      <c r="G2138" s="0" t="n">
        <v>0</v>
      </c>
      <c r="H2138" s="0" t="s">
        <v>122</v>
      </c>
      <c r="K2138" s="0" t="s">
        <v>135</v>
      </c>
      <c r="L2138" s="0" t="s">
        <v>3590</v>
      </c>
    </row>
    <row r="2139" customFormat="false" ht="15" hidden="false" customHeight="false" outlineLevel="0" collapsed="false">
      <c r="A2139" s="0" t="s">
        <v>3335</v>
      </c>
      <c r="B2139" s="0" t="s">
        <v>140</v>
      </c>
      <c r="C2139" s="0" t="s">
        <v>655</v>
      </c>
      <c r="D2139" s="0" t="s">
        <v>59</v>
      </c>
      <c r="E2139" s="0" t="s">
        <v>1723</v>
      </c>
      <c r="F2139" s="0" t="n">
        <v>4</v>
      </c>
      <c r="G2139" s="0" t="n">
        <v>0</v>
      </c>
      <c r="H2139" s="0" t="s">
        <v>122</v>
      </c>
      <c r="K2139" s="0" t="s">
        <v>138</v>
      </c>
      <c r="L2139" s="0" t="s">
        <v>3591</v>
      </c>
    </row>
    <row r="2140" customFormat="false" ht="15" hidden="false" customHeight="false" outlineLevel="0" collapsed="false">
      <c r="A2140" s="0" t="s">
        <v>3335</v>
      </c>
      <c r="B2140" s="0" t="s">
        <v>140</v>
      </c>
      <c r="C2140" s="0" t="s">
        <v>655</v>
      </c>
      <c r="D2140" s="0" t="s">
        <v>67</v>
      </c>
      <c r="E2140" s="0" t="s">
        <v>1725</v>
      </c>
      <c r="F2140" s="0" t="n">
        <v>4</v>
      </c>
      <c r="G2140" s="0" t="n">
        <v>0</v>
      </c>
      <c r="H2140" s="0" t="s">
        <v>122</v>
      </c>
      <c r="K2140" s="0" t="s">
        <v>143</v>
      </c>
      <c r="L2140" s="0" t="s">
        <v>3592</v>
      </c>
    </row>
    <row r="2141" customFormat="false" ht="15" hidden="false" customHeight="false" outlineLevel="0" collapsed="false">
      <c r="A2141" s="0" t="s">
        <v>3335</v>
      </c>
      <c r="B2141" s="0" t="s">
        <v>140</v>
      </c>
      <c r="C2141" s="0" t="s">
        <v>655</v>
      </c>
      <c r="D2141" s="0" t="s">
        <v>70</v>
      </c>
      <c r="E2141" s="0" t="s">
        <v>1727</v>
      </c>
      <c r="F2141" s="0" t="n">
        <v>4</v>
      </c>
      <c r="G2141" s="0" t="n">
        <v>0</v>
      </c>
      <c r="H2141" s="0" t="s">
        <v>122</v>
      </c>
      <c r="K2141" s="0" t="s">
        <v>146</v>
      </c>
      <c r="L2141" s="0" t="s">
        <v>3593</v>
      </c>
    </row>
    <row r="2142" customFormat="false" ht="15" hidden="false" customHeight="false" outlineLevel="0" collapsed="false">
      <c r="A2142" s="0" t="s">
        <v>3335</v>
      </c>
      <c r="B2142" s="0" t="s">
        <v>140</v>
      </c>
      <c r="C2142" s="0" t="s">
        <v>655</v>
      </c>
      <c r="D2142" s="0" t="s">
        <v>73</v>
      </c>
      <c r="E2142" s="0" t="s">
        <v>1729</v>
      </c>
      <c r="F2142" s="0" t="n">
        <v>4</v>
      </c>
      <c r="G2142" s="0" t="n">
        <v>0</v>
      </c>
      <c r="H2142" s="0" t="s">
        <v>122</v>
      </c>
      <c r="K2142" s="0" t="s">
        <v>149</v>
      </c>
      <c r="L2142" s="0" t="s">
        <v>3594</v>
      </c>
    </row>
    <row r="2143" customFormat="false" ht="15" hidden="false" customHeight="false" outlineLevel="0" collapsed="false">
      <c r="A2143" s="0" t="s">
        <v>3335</v>
      </c>
      <c r="B2143" s="0" t="s">
        <v>140</v>
      </c>
      <c r="C2143" s="0" t="s">
        <v>655</v>
      </c>
      <c r="D2143" s="0" t="s">
        <v>76</v>
      </c>
      <c r="E2143" s="0" t="s">
        <v>1731</v>
      </c>
      <c r="F2143" s="0" t="n">
        <v>4</v>
      </c>
      <c r="G2143" s="0" t="n">
        <v>1</v>
      </c>
      <c r="H2143" s="0" t="s">
        <v>122</v>
      </c>
      <c r="I2143" s="0" t="s">
        <v>3556</v>
      </c>
      <c r="K2143" s="0" t="s">
        <v>152</v>
      </c>
      <c r="L2143" s="0" t="s">
        <v>3595</v>
      </c>
    </row>
    <row r="2144" customFormat="false" ht="15" hidden="false" customHeight="false" outlineLevel="0" collapsed="false">
      <c r="A2144" s="0" t="s">
        <v>3335</v>
      </c>
      <c r="B2144" s="0" t="s">
        <v>140</v>
      </c>
      <c r="C2144" s="0" t="s">
        <v>655</v>
      </c>
      <c r="D2144" s="0" t="s">
        <v>79</v>
      </c>
      <c r="E2144" s="0" t="s">
        <v>1733</v>
      </c>
      <c r="F2144" s="0" t="n">
        <v>4</v>
      </c>
      <c r="G2144" s="0" t="n">
        <v>3</v>
      </c>
      <c r="H2144" s="0" t="s">
        <v>122</v>
      </c>
      <c r="I2144" s="0" t="s">
        <v>3377</v>
      </c>
      <c r="K2144" s="0" t="s">
        <v>156</v>
      </c>
      <c r="L2144" s="0" t="s">
        <v>3596</v>
      </c>
    </row>
    <row r="2145" customFormat="false" ht="15" hidden="false" customHeight="false" outlineLevel="0" collapsed="false">
      <c r="A2145" s="0" t="s">
        <v>3335</v>
      </c>
      <c r="B2145" s="0" t="s">
        <v>140</v>
      </c>
      <c r="C2145" s="0" t="s">
        <v>655</v>
      </c>
      <c r="D2145" s="0" t="s">
        <v>82</v>
      </c>
      <c r="E2145" s="0" t="s">
        <v>1735</v>
      </c>
      <c r="F2145" s="0" t="n">
        <v>4</v>
      </c>
      <c r="G2145" s="0" t="n">
        <v>0</v>
      </c>
      <c r="H2145" s="0" t="s">
        <v>122</v>
      </c>
      <c r="K2145" s="0" t="s">
        <v>160</v>
      </c>
      <c r="L2145" s="0" t="s">
        <v>3597</v>
      </c>
    </row>
    <row r="2146" customFormat="false" ht="15" hidden="false" customHeight="false" outlineLevel="0" collapsed="false">
      <c r="A2146" s="0" t="s">
        <v>3335</v>
      </c>
      <c r="B2146" s="0" t="s">
        <v>140</v>
      </c>
      <c r="C2146" s="0" t="s">
        <v>680</v>
      </c>
      <c r="D2146" s="0" t="s">
        <v>115</v>
      </c>
      <c r="E2146" s="0" t="s">
        <v>1737</v>
      </c>
      <c r="F2146" s="0" t="n">
        <v>4</v>
      </c>
      <c r="G2146" s="0" t="n">
        <v>0</v>
      </c>
      <c r="H2146" s="0" t="s">
        <v>122</v>
      </c>
      <c r="K2146" s="0" t="s">
        <v>118</v>
      </c>
      <c r="L2146" s="0" t="s">
        <v>3598</v>
      </c>
    </row>
    <row r="2147" customFormat="false" ht="15" hidden="false" customHeight="false" outlineLevel="0" collapsed="false">
      <c r="A2147" s="0" t="s">
        <v>3335</v>
      </c>
      <c r="B2147" s="0" t="s">
        <v>140</v>
      </c>
      <c r="C2147" s="0" t="s">
        <v>680</v>
      </c>
      <c r="D2147" s="0" t="s">
        <v>120</v>
      </c>
      <c r="E2147" s="0" t="s">
        <v>1739</v>
      </c>
      <c r="F2147" s="0" t="n">
        <v>4</v>
      </c>
      <c r="G2147" s="0" t="n">
        <v>2</v>
      </c>
      <c r="H2147" s="0" t="s">
        <v>122</v>
      </c>
      <c r="I2147" s="0" t="s">
        <v>3377</v>
      </c>
      <c r="K2147" s="0" t="s">
        <v>123</v>
      </c>
      <c r="L2147" s="0" t="s">
        <v>3599</v>
      </c>
    </row>
    <row r="2148" customFormat="false" ht="15" hidden="false" customHeight="false" outlineLevel="0" collapsed="false">
      <c r="A2148" s="0" t="s">
        <v>3335</v>
      </c>
      <c r="B2148" s="0" t="s">
        <v>140</v>
      </c>
      <c r="C2148" s="0" t="s">
        <v>680</v>
      </c>
      <c r="D2148" s="0" t="s">
        <v>125</v>
      </c>
      <c r="E2148" s="0" t="s">
        <v>1741</v>
      </c>
      <c r="F2148" s="0" t="n">
        <v>4</v>
      </c>
      <c r="G2148" s="0" t="n">
        <v>3</v>
      </c>
      <c r="H2148" s="0" t="s">
        <v>122</v>
      </c>
      <c r="I2148" s="0" t="s">
        <v>3377</v>
      </c>
      <c r="K2148" s="0" t="s">
        <v>127</v>
      </c>
      <c r="L2148" s="0" t="s">
        <v>3600</v>
      </c>
    </row>
    <row r="2149" customFormat="false" ht="15" hidden="false" customHeight="false" outlineLevel="0" collapsed="false">
      <c r="A2149" s="0" t="s">
        <v>3335</v>
      </c>
      <c r="B2149" s="0" t="s">
        <v>140</v>
      </c>
      <c r="C2149" s="0" t="s">
        <v>680</v>
      </c>
      <c r="D2149" s="0" t="s">
        <v>53</v>
      </c>
      <c r="E2149" s="0" t="s">
        <v>1743</v>
      </c>
      <c r="F2149" s="0" t="n">
        <v>4</v>
      </c>
      <c r="G2149" s="0" t="n">
        <v>1</v>
      </c>
      <c r="H2149" s="0" t="s">
        <v>122</v>
      </c>
      <c r="I2149" s="0" t="s">
        <v>3544</v>
      </c>
      <c r="K2149" s="0" t="s">
        <v>132</v>
      </c>
      <c r="L2149" s="0" t="s">
        <v>3601</v>
      </c>
    </row>
    <row r="2150" customFormat="false" ht="15" hidden="false" customHeight="false" outlineLevel="0" collapsed="false">
      <c r="A2150" s="0" t="s">
        <v>3335</v>
      </c>
      <c r="B2150" s="0" t="s">
        <v>140</v>
      </c>
      <c r="C2150" s="0" t="s">
        <v>680</v>
      </c>
      <c r="D2150" s="0" t="s">
        <v>56</v>
      </c>
      <c r="E2150" s="0" t="s">
        <v>1745</v>
      </c>
      <c r="F2150" s="0" t="n">
        <v>4</v>
      </c>
      <c r="G2150" s="0" t="n">
        <v>0</v>
      </c>
      <c r="H2150" s="0" t="s">
        <v>122</v>
      </c>
      <c r="K2150" s="0" t="s">
        <v>135</v>
      </c>
      <c r="L2150" s="0" t="s">
        <v>3602</v>
      </c>
    </row>
    <row r="2151" customFormat="false" ht="15" hidden="false" customHeight="false" outlineLevel="0" collapsed="false">
      <c r="A2151" s="0" t="s">
        <v>3335</v>
      </c>
      <c r="B2151" s="0" t="s">
        <v>140</v>
      </c>
      <c r="C2151" s="0" t="s">
        <v>680</v>
      </c>
      <c r="D2151" s="0" t="s">
        <v>59</v>
      </c>
      <c r="E2151" s="0" t="s">
        <v>1747</v>
      </c>
      <c r="F2151" s="0" t="n">
        <v>4</v>
      </c>
      <c r="G2151" s="0" t="n">
        <v>0</v>
      </c>
      <c r="H2151" s="0" t="s">
        <v>122</v>
      </c>
      <c r="K2151" s="0" t="s">
        <v>138</v>
      </c>
      <c r="L2151" s="0" t="s">
        <v>3603</v>
      </c>
    </row>
    <row r="2152" customFormat="false" ht="15" hidden="false" customHeight="false" outlineLevel="0" collapsed="false">
      <c r="A2152" s="0" t="s">
        <v>3335</v>
      </c>
      <c r="B2152" s="0" t="s">
        <v>140</v>
      </c>
      <c r="C2152" s="0" t="s">
        <v>680</v>
      </c>
      <c r="D2152" s="0" t="s">
        <v>67</v>
      </c>
      <c r="E2152" s="0" t="s">
        <v>1749</v>
      </c>
      <c r="F2152" s="0" t="n">
        <v>4</v>
      </c>
      <c r="G2152" s="0" t="n">
        <v>0</v>
      </c>
      <c r="H2152" s="0" t="s">
        <v>122</v>
      </c>
      <c r="K2152" s="0" t="s">
        <v>143</v>
      </c>
      <c r="L2152" s="0" t="s">
        <v>3604</v>
      </c>
    </row>
    <row r="2153" customFormat="false" ht="15" hidden="false" customHeight="false" outlineLevel="0" collapsed="false">
      <c r="A2153" s="0" t="s">
        <v>3335</v>
      </c>
      <c r="B2153" s="0" t="s">
        <v>140</v>
      </c>
      <c r="C2153" s="0" t="s">
        <v>680</v>
      </c>
      <c r="D2153" s="0" t="s">
        <v>70</v>
      </c>
      <c r="E2153" s="0" t="s">
        <v>1751</v>
      </c>
      <c r="F2153" s="0" t="n">
        <v>4</v>
      </c>
      <c r="G2153" s="0" t="n">
        <v>0</v>
      </c>
      <c r="H2153" s="0" t="s">
        <v>122</v>
      </c>
      <c r="K2153" s="0" t="s">
        <v>146</v>
      </c>
      <c r="L2153" s="0" t="s">
        <v>3605</v>
      </c>
    </row>
    <row r="2154" customFormat="false" ht="15" hidden="false" customHeight="false" outlineLevel="0" collapsed="false">
      <c r="A2154" s="0" t="s">
        <v>3335</v>
      </c>
      <c r="B2154" s="0" t="s">
        <v>140</v>
      </c>
      <c r="C2154" s="0" t="s">
        <v>680</v>
      </c>
      <c r="D2154" s="0" t="s">
        <v>73</v>
      </c>
      <c r="E2154" s="0" t="s">
        <v>1753</v>
      </c>
      <c r="F2154" s="0" t="n">
        <v>4</v>
      </c>
      <c r="G2154" s="0" t="n">
        <v>3</v>
      </c>
      <c r="H2154" s="0" t="s">
        <v>122</v>
      </c>
      <c r="I2154" s="0" t="s">
        <v>3349</v>
      </c>
      <c r="K2154" s="0" t="s">
        <v>149</v>
      </c>
      <c r="L2154" s="0" t="s">
        <v>3606</v>
      </c>
    </row>
    <row r="2155" customFormat="false" ht="15" hidden="false" customHeight="false" outlineLevel="0" collapsed="false">
      <c r="A2155" s="0" t="s">
        <v>3335</v>
      </c>
      <c r="B2155" s="0" t="s">
        <v>140</v>
      </c>
      <c r="C2155" s="0" t="s">
        <v>680</v>
      </c>
      <c r="D2155" s="0" t="s">
        <v>76</v>
      </c>
      <c r="E2155" s="0" t="s">
        <v>1755</v>
      </c>
      <c r="F2155" s="0" t="n">
        <v>4</v>
      </c>
      <c r="G2155" s="0" t="n">
        <v>2</v>
      </c>
      <c r="H2155" s="0" t="s">
        <v>122</v>
      </c>
      <c r="I2155" s="0" t="s">
        <v>3607</v>
      </c>
      <c r="K2155" s="0" t="s">
        <v>152</v>
      </c>
      <c r="L2155" s="0" t="s">
        <v>3608</v>
      </c>
    </row>
    <row r="2156" customFormat="false" ht="15" hidden="false" customHeight="false" outlineLevel="0" collapsed="false">
      <c r="A2156" s="0" t="s">
        <v>3335</v>
      </c>
      <c r="B2156" s="0" t="s">
        <v>140</v>
      </c>
      <c r="C2156" s="0" t="s">
        <v>680</v>
      </c>
      <c r="D2156" s="0" t="s">
        <v>79</v>
      </c>
      <c r="E2156" s="0" t="s">
        <v>1757</v>
      </c>
      <c r="F2156" s="0" t="n">
        <v>4</v>
      </c>
      <c r="G2156" s="0" t="n">
        <v>0</v>
      </c>
      <c r="H2156" s="0" t="s">
        <v>122</v>
      </c>
      <c r="K2156" s="0" t="s">
        <v>156</v>
      </c>
      <c r="L2156" s="0" t="s">
        <v>3609</v>
      </c>
    </row>
    <row r="2157" customFormat="false" ht="15" hidden="false" customHeight="false" outlineLevel="0" collapsed="false">
      <c r="A2157" s="0" t="s">
        <v>3335</v>
      </c>
      <c r="B2157" s="0" t="s">
        <v>140</v>
      </c>
      <c r="C2157" s="0" t="s">
        <v>680</v>
      </c>
      <c r="D2157" s="0" t="s">
        <v>82</v>
      </c>
      <c r="E2157" s="0" t="s">
        <v>1759</v>
      </c>
      <c r="F2157" s="0" t="n">
        <v>4</v>
      </c>
      <c r="G2157" s="0" t="n">
        <v>0</v>
      </c>
      <c r="H2157" s="0" t="s">
        <v>122</v>
      </c>
      <c r="K2157" s="0" t="s">
        <v>160</v>
      </c>
      <c r="L2157" s="0" t="s">
        <v>3610</v>
      </c>
    </row>
    <row r="2158" customFormat="false" ht="15" hidden="false" customHeight="false" outlineLevel="0" collapsed="false">
      <c r="A2158" s="0" t="s">
        <v>3335</v>
      </c>
      <c r="B2158" s="0" t="s">
        <v>154</v>
      </c>
      <c r="C2158" s="0" t="s">
        <v>705</v>
      </c>
      <c r="D2158" s="0" t="s">
        <v>115</v>
      </c>
      <c r="E2158" s="0" t="s">
        <v>1761</v>
      </c>
      <c r="F2158" s="0" t="n">
        <v>4</v>
      </c>
      <c r="G2158" s="0" t="n">
        <v>0</v>
      </c>
      <c r="H2158" s="0" t="s">
        <v>122</v>
      </c>
      <c r="K2158" s="0" t="s">
        <v>118</v>
      </c>
      <c r="L2158" s="0" t="s">
        <v>3611</v>
      </c>
    </row>
    <row r="2159" customFormat="false" ht="15" hidden="false" customHeight="false" outlineLevel="0" collapsed="false">
      <c r="A2159" s="0" t="s">
        <v>3335</v>
      </c>
      <c r="B2159" s="0" t="s">
        <v>154</v>
      </c>
      <c r="C2159" s="0" t="s">
        <v>705</v>
      </c>
      <c r="D2159" s="0" t="s">
        <v>120</v>
      </c>
      <c r="E2159" s="0" t="s">
        <v>1763</v>
      </c>
      <c r="F2159" s="0" t="n">
        <v>4</v>
      </c>
      <c r="G2159" s="0" t="n">
        <v>0</v>
      </c>
      <c r="H2159" s="0" t="s">
        <v>122</v>
      </c>
      <c r="K2159" s="0" t="s">
        <v>123</v>
      </c>
      <c r="L2159" s="0" t="s">
        <v>3612</v>
      </c>
    </row>
    <row r="2160" customFormat="false" ht="15" hidden="false" customHeight="false" outlineLevel="0" collapsed="false">
      <c r="A2160" s="0" t="s">
        <v>3335</v>
      </c>
      <c r="B2160" s="0" t="s">
        <v>154</v>
      </c>
      <c r="C2160" s="0" t="s">
        <v>705</v>
      </c>
      <c r="D2160" s="0" t="s">
        <v>125</v>
      </c>
      <c r="E2160" s="0" t="s">
        <v>1765</v>
      </c>
      <c r="F2160" s="0" t="n">
        <v>4</v>
      </c>
      <c r="G2160" s="0" t="n">
        <v>0</v>
      </c>
      <c r="H2160" s="0" t="s">
        <v>122</v>
      </c>
      <c r="K2160" s="0" t="s">
        <v>127</v>
      </c>
      <c r="L2160" s="0" t="s">
        <v>3613</v>
      </c>
    </row>
    <row r="2161" customFormat="false" ht="15" hidden="false" customHeight="false" outlineLevel="0" collapsed="false">
      <c r="A2161" s="0" t="s">
        <v>3335</v>
      </c>
      <c r="B2161" s="0" t="s">
        <v>154</v>
      </c>
      <c r="C2161" s="0" t="s">
        <v>705</v>
      </c>
      <c r="D2161" s="0" t="s">
        <v>53</v>
      </c>
      <c r="E2161" s="0" t="s">
        <v>1767</v>
      </c>
      <c r="F2161" s="0" t="n">
        <v>4</v>
      </c>
      <c r="G2161" s="0" t="n">
        <v>0</v>
      </c>
      <c r="H2161" s="0" t="s">
        <v>122</v>
      </c>
      <c r="K2161" s="0" t="s">
        <v>132</v>
      </c>
      <c r="L2161" s="0" t="s">
        <v>3614</v>
      </c>
    </row>
    <row r="2162" customFormat="false" ht="15" hidden="false" customHeight="false" outlineLevel="0" collapsed="false">
      <c r="A2162" s="0" t="s">
        <v>3335</v>
      </c>
      <c r="B2162" s="0" t="s">
        <v>154</v>
      </c>
      <c r="C2162" s="0" t="s">
        <v>705</v>
      </c>
      <c r="D2162" s="0" t="s">
        <v>56</v>
      </c>
      <c r="E2162" s="0" t="s">
        <v>1769</v>
      </c>
      <c r="F2162" s="0" t="n">
        <v>4</v>
      </c>
      <c r="G2162" s="0" t="n">
        <v>0</v>
      </c>
      <c r="H2162" s="0" t="s">
        <v>122</v>
      </c>
      <c r="K2162" s="0" t="s">
        <v>135</v>
      </c>
      <c r="L2162" s="0" t="s">
        <v>3615</v>
      </c>
    </row>
    <row r="2163" customFormat="false" ht="15" hidden="false" customHeight="false" outlineLevel="0" collapsed="false">
      <c r="A2163" s="0" t="s">
        <v>3335</v>
      </c>
      <c r="B2163" s="0" t="s">
        <v>154</v>
      </c>
      <c r="C2163" s="0" t="s">
        <v>705</v>
      </c>
      <c r="D2163" s="0" t="s">
        <v>59</v>
      </c>
      <c r="E2163" s="0" t="s">
        <v>1771</v>
      </c>
      <c r="F2163" s="0" t="n">
        <v>4</v>
      </c>
      <c r="G2163" s="0" t="n">
        <v>0</v>
      </c>
      <c r="H2163" s="0" t="s">
        <v>122</v>
      </c>
      <c r="K2163" s="0" t="s">
        <v>138</v>
      </c>
      <c r="L2163" s="0" t="s">
        <v>3616</v>
      </c>
    </row>
    <row r="2164" customFormat="false" ht="15" hidden="false" customHeight="false" outlineLevel="0" collapsed="false">
      <c r="A2164" s="0" t="s">
        <v>3335</v>
      </c>
      <c r="B2164" s="0" t="s">
        <v>154</v>
      </c>
      <c r="C2164" s="0" t="s">
        <v>705</v>
      </c>
      <c r="D2164" s="0" t="s">
        <v>67</v>
      </c>
      <c r="E2164" s="0" t="s">
        <v>1773</v>
      </c>
      <c r="F2164" s="0" t="n">
        <v>4</v>
      </c>
      <c r="G2164" s="0" t="n">
        <v>0</v>
      </c>
      <c r="H2164" s="0" t="s">
        <v>122</v>
      </c>
      <c r="K2164" s="0" t="s">
        <v>143</v>
      </c>
      <c r="L2164" s="0" t="s">
        <v>3617</v>
      </c>
    </row>
    <row r="2165" customFormat="false" ht="15" hidden="false" customHeight="false" outlineLevel="0" collapsed="false">
      <c r="A2165" s="0" t="s">
        <v>3335</v>
      </c>
      <c r="B2165" s="0" t="s">
        <v>154</v>
      </c>
      <c r="C2165" s="0" t="s">
        <v>705</v>
      </c>
      <c r="D2165" s="0" t="s">
        <v>70</v>
      </c>
      <c r="E2165" s="0" t="s">
        <v>1775</v>
      </c>
      <c r="F2165" s="0" t="n">
        <v>4</v>
      </c>
      <c r="G2165" s="0" t="n">
        <v>1</v>
      </c>
      <c r="H2165" s="0" t="s">
        <v>122</v>
      </c>
      <c r="I2165" s="0" t="s">
        <v>3349</v>
      </c>
      <c r="K2165" s="0" t="s">
        <v>146</v>
      </c>
      <c r="L2165" s="0" t="s">
        <v>3618</v>
      </c>
    </row>
    <row r="2166" customFormat="false" ht="15" hidden="false" customHeight="false" outlineLevel="0" collapsed="false">
      <c r="A2166" s="0" t="s">
        <v>3335</v>
      </c>
      <c r="B2166" s="0" t="s">
        <v>154</v>
      </c>
      <c r="C2166" s="0" t="s">
        <v>705</v>
      </c>
      <c r="D2166" s="0" t="s">
        <v>73</v>
      </c>
      <c r="E2166" s="0" t="s">
        <v>1777</v>
      </c>
      <c r="F2166" s="0" t="n">
        <v>4</v>
      </c>
      <c r="G2166" s="0" t="n">
        <v>3</v>
      </c>
      <c r="H2166" s="0" t="s">
        <v>122</v>
      </c>
      <c r="I2166" s="0" t="s">
        <v>3400</v>
      </c>
      <c r="K2166" s="0" t="s">
        <v>149</v>
      </c>
      <c r="L2166" s="0" t="s">
        <v>3619</v>
      </c>
    </row>
    <row r="2167" customFormat="false" ht="15" hidden="false" customHeight="false" outlineLevel="0" collapsed="false">
      <c r="A2167" s="0" t="s">
        <v>3335</v>
      </c>
      <c r="B2167" s="0" t="s">
        <v>154</v>
      </c>
      <c r="C2167" s="0" t="s">
        <v>705</v>
      </c>
      <c r="D2167" s="0" t="s">
        <v>76</v>
      </c>
      <c r="E2167" s="0" t="s">
        <v>1779</v>
      </c>
      <c r="F2167" s="0" t="n">
        <v>4</v>
      </c>
      <c r="G2167" s="0" t="n">
        <v>4</v>
      </c>
      <c r="H2167" s="0" t="s">
        <v>117</v>
      </c>
      <c r="I2167" s="0" t="s">
        <v>3544</v>
      </c>
      <c r="K2167" s="0" t="s">
        <v>152</v>
      </c>
      <c r="L2167" s="0" t="s">
        <v>3620</v>
      </c>
    </row>
    <row r="2168" customFormat="false" ht="15" hidden="false" customHeight="false" outlineLevel="0" collapsed="false">
      <c r="A2168" s="0" t="s">
        <v>3335</v>
      </c>
      <c r="B2168" s="0" t="s">
        <v>154</v>
      </c>
      <c r="C2168" s="0" t="s">
        <v>705</v>
      </c>
      <c r="D2168" s="0" t="s">
        <v>79</v>
      </c>
      <c r="E2168" s="0" t="s">
        <v>1781</v>
      </c>
      <c r="F2168" s="0" t="n">
        <v>4</v>
      </c>
      <c r="G2168" s="0" t="n">
        <v>4</v>
      </c>
      <c r="H2168" s="0" t="s">
        <v>117</v>
      </c>
      <c r="I2168" s="0" t="s">
        <v>3544</v>
      </c>
      <c r="K2168" s="0" t="s">
        <v>156</v>
      </c>
      <c r="L2168" s="0" t="s">
        <v>3621</v>
      </c>
    </row>
    <row r="2169" customFormat="false" ht="15" hidden="false" customHeight="false" outlineLevel="0" collapsed="false">
      <c r="A2169" s="0" t="s">
        <v>3335</v>
      </c>
      <c r="B2169" s="0" t="s">
        <v>154</v>
      </c>
      <c r="C2169" s="0" t="s">
        <v>705</v>
      </c>
      <c r="D2169" s="0" t="s">
        <v>82</v>
      </c>
      <c r="E2169" s="0" t="s">
        <v>1783</v>
      </c>
      <c r="F2169" s="0" t="n">
        <v>4</v>
      </c>
      <c r="G2169" s="0" t="n">
        <v>0</v>
      </c>
      <c r="H2169" s="0" t="s">
        <v>122</v>
      </c>
      <c r="K2169" s="0" t="s">
        <v>160</v>
      </c>
      <c r="L2169" s="0" t="s">
        <v>3622</v>
      </c>
    </row>
    <row r="2170" customFormat="false" ht="15" hidden="false" customHeight="false" outlineLevel="0" collapsed="false">
      <c r="A2170" s="0" t="s">
        <v>3335</v>
      </c>
      <c r="B2170" s="0" t="s">
        <v>154</v>
      </c>
      <c r="C2170" s="0" t="s">
        <v>730</v>
      </c>
      <c r="D2170" s="0" t="s">
        <v>115</v>
      </c>
      <c r="E2170" s="0" t="s">
        <v>1785</v>
      </c>
      <c r="F2170" s="0" t="n">
        <v>4</v>
      </c>
      <c r="G2170" s="0" t="n">
        <v>0</v>
      </c>
      <c r="H2170" s="0" t="s">
        <v>122</v>
      </c>
      <c r="K2170" s="0" t="s">
        <v>118</v>
      </c>
      <c r="L2170" s="0" t="s">
        <v>3623</v>
      </c>
    </row>
    <row r="2171" customFormat="false" ht="15" hidden="false" customHeight="false" outlineLevel="0" collapsed="false">
      <c r="A2171" s="0" t="s">
        <v>3335</v>
      </c>
      <c r="B2171" s="0" t="s">
        <v>154</v>
      </c>
      <c r="C2171" s="0" t="s">
        <v>730</v>
      </c>
      <c r="D2171" s="0" t="s">
        <v>120</v>
      </c>
      <c r="E2171" s="0" t="s">
        <v>1787</v>
      </c>
      <c r="F2171" s="0" t="n">
        <v>4</v>
      </c>
      <c r="G2171" s="0" t="n">
        <v>0</v>
      </c>
      <c r="H2171" s="0" t="s">
        <v>122</v>
      </c>
      <c r="K2171" s="0" t="s">
        <v>123</v>
      </c>
      <c r="L2171" s="0" t="s">
        <v>3624</v>
      </c>
    </row>
    <row r="2172" customFormat="false" ht="15" hidden="false" customHeight="false" outlineLevel="0" collapsed="false">
      <c r="A2172" s="0" t="s">
        <v>3335</v>
      </c>
      <c r="B2172" s="0" t="s">
        <v>154</v>
      </c>
      <c r="C2172" s="0" t="s">
        <v>730</v>
      </c>
      <c r="D2172" s="0" t="s">
        <v>125</v>
      </c>
      <c r="E2172" s="0" t="s">
        <v>1789</v>
      </c>
      <c r="F2172" s="0" t="n">
        <v>4</v>
      </c>
      <c r="G2172" s="0" t="n">
        <v>0</v>
      </c>
      <c r="H2172" s="0" t="s">
        <v>122</v>
      </c>
      <c r="K2172" s="0" t="s">
        <v>127</v>
      </c>
      <c r="L2172" s="0" t="s">
        <v>3625</v>
      </c>
    </row>
    <row r="2173" customFormat="false" ht="15" hidden="false" customHeight="false" outlineLevel="0" collapsed="false">
      <c r="A2173" s="0" t="s">
        <v>3335</v>
      </c>
      <c r="B2173" s="0" t="s">
        <v>154</v>
      </c>
      <c r="C2173" s="0" t="s">
        <v>730</v>
      </c>
      <c r="D2173" s="0" t="s">
        <v>53</v>
      </c>
      <c r="E2173" s="0" t="s">
        <v>1791</v>
      </c>
      <c r="F2173" s="0" t="n">
        <v>4</v>
      </c>
      <c r="G2173" s="0" t="n">
        <v>0</v>
      </c>
      <c r="H2173" s="0" t="s">
        <v>122</v>
      </c>
      <c r="K2173" s="0" t="s">
        <v>132</v>
      </c>
      <c r="L2173" s="0" t="s">
        <v>3626</v>
      </c>
    </row>
    <row r="2174" customFormat="false" ht="15" hidden="false" customHeight="false" outlineLevel="0" collapsed="false">
      <c r="A2174" s="0" t="s">
        <v>3335</v>
      </c>
      <c r="B2174" s="0" t="s">
        <v>154</v>
      </c>
      <c r="C2174" s="0" t="s">
        <v>730</v>
      </c>
      <c r="D2174" s="0" t="s">
        <v>56</v>
      </c>
      <c r="E2174" s="0" t="s">
        <v>1793</v>
      </c>
      <c r="F2174" s="0" t="n">
        <v>4</v>
      </c>
      <c r="G2174" s="0" t="n">
        <v>0</v>
      </c>
      <c r="H2174" s="0" t="s">
        <v>122</v>
      </c>
      <c r="K2174" s="0" t="s">
        <v>135</v>
      </c>
      <c r="L2174" s="0" t="s">
        <v>3627</v>
      </c>
    </row>
    <row r="2175" customFormat="false" ht="15" hidden="false" customHeight="false" outlineLevel="0" collapsed="false">
      <c r="A2175" s="0" t="s">
        <v>3335</v>
      </c>
      <c r="B2175" s="0" t="s">
        <v>154</v>
      </c>
      <c r="C2175" s="0" t="s">
        <v>730</v>
      </c>
      <c r="D2175" s="0" t="s">
        <v>59</v>
      </c>
      <c r="E2175" s="0" t="s">
        <v>1795</v>
      </c>
      <c r="F2175" s="0" t="n">
        <v>4</v>
      </c>
      <c r="G2175" s="0" t="n">
        <v>0</v>
      </c>
      <c r="H2175" s="0" t="s">
        <v>122</v>
      </c>
      <c r="K2175" s="0" t="s">
        <v>138</v>
      </c>
      <c r="L2175" s="0" t="s">
        <v>3628</v>
      </c>
    </row>
    <row r="2176" customFormat="false" ht="15" hidden="false" customHeight="false" outlineLevel="0" collapsed="false">
      <c r="A2176" s="0" t="s">
        <v>3335</v>
      </c>
      <c r="B2176" s="0" t="s">
        <v>154</v>
      </c>
      <c r="C2176" s="0" t="s">
        <v>730</v>
      </c>
      <c r="D2176" s="0" t="s">
        <v>67</v>
      </c>
      <c r="E2176" s="0" t="s">
        <v>1797</v>
      </c>
      <c r="F2176" s="0" t="n">
        <v>4</v>
      </c>
      <c r="G2176" s="0" t="n">
        <v>0</v>
      </c>
      <c r="H2176" s="0" t="s">
        <v>122</v>
      </c>
      <c r="K2176" s="0" t="s">
        <v>143</v>
      </c>
      <c r="L2176" s="0" t="s">
        <v>3629</v>
      </c>
    </row>
    <row r="2177" customFormat="false" ht="15" hidden="false" customHeight="false" outlineLevel="0" collapsed="false">
      <c r="A2177" s="0" t="s">
        <v>3335</v>
      </c>
      <c r="B2177" s="0" t="s">
        <v>154</v>
      </c>
      <c r="C2177" s="0" t="s">
        <v>730</v>
      </c>
      <c r="D2177" s="0" t="s">
        <v>70</v>
      </c>
      <c r="E2177" s="0" t="s">
        <v>1799</v>
      </c>
      <c r="F2177" s="0" t="n">
        <v>4</v>
      </c>
      <c r="G2177" s="0" t="n">
        <v>0</v>
      </c>
      <c r="H2177" s="0" t="s">
        <v>122</v>
      </c>
      <c r="K2177" s="0" t="s">
        <v>146</v>
      </c>
      <c r="L2177" s="0" t="s">
        <v>3630</v>
      </c>
    </row>
    <row r="2178" customFormat="false" ht="15" hidden="false" customHeight="false" outlineLevel="0" collapsed="false">
      <c r="A2178" s="0" t="s">
        <v>3335</v>
      </c>
      <c r="B2178" s="0" t="s">
        <v>154</v>
      </c>
      <c r="C2178" s="0" t="s">
        <v>730</v>
      </c>
      <c r="D2178" s="0" t="s">
        <v>73</v>
      </c>
      <c r="E2178" s="0" t="s">
        <v>1801</v>
      </c>
      <c r="F2178" s="0" t="n">
        <v>4</v>
      </c>
      <c r="G2178" s="0" t="n">
        <v>2</v>
      </c>
      <c r="H2178" s="0" t="s">
        <v>122</v>
      </c>
      <c r="I2178" s="0" t="s">
        <v>3544</v>
      </c>
      <c r="K2178" s="0" t="s">
        <v>149</v>
      </c>
      <c r="L2178" s="0" t="s">
        <v>3631</v>
      </c>
    </row>
    <row r="2179" customFormat="false" ht="15" hidden="false" customHeight="false" outlineLevel="0" collapsed="false">
      <c r="A2179" s="0" t="s">
        <v>3335</v>
      </c>
      <c r="B2179" s="0" t="s">
        <v>154</v>
      </c>
      <c r="C2179" s="0" t="s">
        <v>730</v>
      </c>
      <c r="D2179" s="0" t="s">
        <v>76</v>
      </c>
      <c r="E2179" s="0" t="s">
        <v>1803</v>
      </c>
      <c r="F2179" s="0" t="n">
        <v>4</v>
      </c>
      <c r="G2179" s="0" t="n">
        <v>0</v>
      </c>
      <c r="H2179" s="0" t="s">
        <v>122</v>
      </c>
      <c r="K2179" s="0" t="s">
        <v>152</v>
      </c>
      <c r="L2179" s="0" t="s">
        <v>3632</v>
      </c>
    </row>
    <row r="2180" customFormat="false" ht="15" hidden="false" customHeight="false" outlineLevel="0" collapsed="false">
      <c r="A2180" s="0" t="s">
        <v>3335</v>
      </c>
      <c r="B2180" s="0" t="s">
        <v>154</v>
      </c>
      <c r="C2180" s="0" t="s">
        <v>730</v>
      </c>
      <c r="D2180" s="0" t="s">
        <v>79</v>
      </c>
      <c r="E2180" s="0" t="s">
        <v>1805</v>
      </c>
      <c r="F2180" s="0" t="n">
        <v>4</v>
      </c>
      <c r="G2180" s="0" t="n">
        <v>1</v>
      </c>
      <c r="H2180" s="0" t="s">
        <v>122</v>
      </c>
      <c r="I2180" s="0" t="s">
        <v>3400</v>
      </c>
      <c r="K2180" s="0" t="s">
        <v>156</v>
      </c>
      <c r="L2180" s="0" t="s">
        <v>3633</v>
      </c>
    </row>
    <row r="2181" customFormat="false" ht="15" hidden="false" customHeight="false" outlineLevel="0" collapsed="false">
      <c r="A2181" s="0" t="s">
        <v>3335</v>
      </c>
      <c r="B2181" s="0" t="s">
        <v>154</v>
      </c>
      <c r="C2181" s="0" t="s">
        <v>730</v>
      </c>
      <c r="D2181" s="0" t="s">
        <v>82</v>
      </c>
      <c r="E2181" s="0" t="s">
        <v>1807</v>
      </c>
      <c r="F2181" s="0" t="n">
        <v>4</v>
      </c>
      <c r="G2181" s="0" t="n">
        <v>0</v>
      </c>
      <c r="H2181" s="0" t="s">
        <v>122</v>
      </c>
      <c r="K2181" s="0" t="s">
        <v>160</v>
      </c>
      <c r="L2181" s="0" t="s">
        <v>3634</v>
      </c>
    </row>
    <row r="2182" customFormat="false" ht="15" hidden="false" customHeight="false" outlineLevel="0" collapsed="false">
      <c r="A2182" s="0" t="s">
        <v>3335</v>
      </c>
      <c r="B2182" s="0" t="s">
        <v>154</v>
      </c>
      <c r="C2182" s="0" t="s">
        <v>755</v>
      </c>
      <c r="D2182" s="0" t="s">
        <v>115</v>
      </c>
      <c r="E2182" s="0" t="s">
        <v>1809</v>
      </c>
      <c r="F2182" s="0" t="n">
        <v>4</v>
      </c>
      <c r="G2182" s="0" t="n">
        <v>0</v>
      </c>
      <c r="H2182" s="0" t="s">
        <v>122</v>
      </c>
      <c r="K2182" s="0" t="s">
        <v>118</v>
      </c>
      <c r="L2182" s="0" t="s">
        <v>3635</v>
      </c>
    </row>
    <row r="2183" customFormat="false" ht="15" hidden="false" customHeight="false" outlineLevel="0" collapsed="false">
      <c r="A2183" s="0" t="s">
        <v>3335</v>
      </c>
      <c r="B2183" s="0" t="s">
        <v>154</v>
      </c>
      <c r="C2183" s="0" t="s">
        <v>755</v>
      </c>
      <c r="D2183" s="0" t="s">
        <v>120</v>
      </c>
      <c r="E2183" s="0" t="s">
        <v>1811</v>
      </c>
      <c r="F2183" s="0" t="n">
        <v>4</v>
      </c>
      <c r="G2183" s="0" t="n">
        <v>0</v>
      </c>
      <c r="H2183" s="0" t="s">
        <v>122</v>
      </c>
      <c r="K2183" s="0" t="s">
        <v>123</v>
      </c>
      <c r="L2183" s="0" t="s">
        <v>3636</v>
      </c>
    </row>
    <row r="2184" customFormat="false" ht="15" hidden="false" customHeight="false" outlineLevel="0" collapsed="false">
      <c r="A2184" s="0" t="s">
        <v>3335</v>
      </c>
      <c r="B2184" s="0" t="s">
        <v>154</v>
      </c>
      <c r="C2184" s="0" t="s">
        <v>755</v>
      </c>
      <c r="D2184" s="0" t="s">
        <v>125</v>
      </c>
      <c r="E2184" s="0" t="s">
        <v>1813</v>
      </c>
      <c r="F2184" s="0" t="n">
        <v>4</v>
      </c>
      <c r="G2184" s="0" t="n">
        <v>0</v>
      </c>
      <c r="H2184" s="0" t="s">
        <v>122</v>
      </c>
      <c r="K2184" s="0" t="s">
        <v>127</v>
      </c>
      <c r="L2184" s="0" t="s">
        <v>3637</v>
      </c>
    </row>
    <row r="2185" customFormat="false" ht="15" hidden="false" customHeight="false" outlineLevel="0" collapsed="false">
      <c r="A2185" s="0" t="s">
        <v>3335</v>
      </c>
      <c r="B2185" s="0" t="s">
        <v>154</v>
      </c>
      <c r="C2185" s="0" t="s">
        <v>755</v>
      </c>
      <c r="D2185" s="0" t="s">
        <v>53</v>
      </c>
      <c r="E2185" s="0" t="s">
        <v>1815</v>
      </c>
      <c r="F2185" s="0" t="n">
        <v>4</v>
      </c>
      <c r="G2185" s="0" t="n">
        <v>0</v>
      </c>
      <c r="H2185" s="0" t="s">
        <v>122</v>
      </c>
      <c r="K2185" s="0" t="s">
        <v>132</v>
      </c>
      <c r="L2185" s="0" t="s">
        <v>3638</v>
      </c>
    </row>
    <row r="2186" customFormat="false" ht="15" hidden="false" customHeight="false" outlineLevel="0" collapsed="false">
      <c r="A2186" s="0" t="s">
        <v>3335</v>
      </c>
      <c r="B2186" s="0" t="s">
        <v>154</v>
      </c>
      <c r="C2186" s="0" t="s">
        <v>755</v>
      </c>
      <c r="D2186" s="0" t="s">
        <v>56</v>
      </c>
      <c r="E2186" s="0" t="s">
        <v>1817</v>
      </c>
      <c r="F2186" s="0" t="n">
        <v>4</v>
      </c>
      <c r="G2186" s="0" t="n">
        <v>1</v>
      </c>
      <c r="H2186" s="0" t="s">
        <v>122</v>
      </c>
      <c r="I2186" s="0" t="s">
        <v>3544</v>
      </c>
      <c r="K2186" s="0" t="s">
        <v>135</v>
      </c>
      <c r="L2186" s="0" t="s">
        <v>3639</v>
      </c>
    </row>
    <row r="2187" customFormat="false" ht="15" hidden="false" customHeight="false" outlineLevel="0" collapsed="false">
      <c r="A2187" s="0" t="s">
        <v>3335</v>
      </c>
      <c r="B2187" s="0" t="s">
        <v>154</v>
      </c>
      <c r="C2187" s="0" t="s">
        <v>755</v>
      </c>
      <c r="D2187" s="0" t="s">
        <v>59</v>
      </c>
      <c r="E2187" s="0" t="s">
        <v>1819</v>
      </c>
      <c r="F2187" s="0" t="n">
        <v>4</v>
      </c>
      <c r="G2187" s="0" t="n">
        <v>0</v>
      </c>
      <c r="H2187" s="0" t="s">
        <v>122</v>
      </c>
      <c r="K2187" s="0" t="s">
        <v>138</v>
      </c>
      <c r="L2187" s="0" t="s">
        <v>3640</v>
      </c>
    </row>
    <row r="2188" customFormat="false" ht="15" hidden="false" customHeight="false" outlineLevel="0" collapsed="false">
      <c r="A2188" s="0" t="s">
        <v>3335</v>
      </c>
      <c r="B2188" s="0" t="s">
        <v>154</v>
      </c>
      <c r="C2188" s="0" t="s">
        <v>755</v>
      </c>
      <c r="D2188" s="0" t="s">
        <v>67</v>
      </c>
      <c r="E2188" s="0" t="s">
        <v>1821</v>
      </c>
      <c r="F2188" s="0" t="n">
        <v>4</v>
      </c>
      <c r="G2188" s="0" t="n">
        <v>0</v>
      </c>
      <c r="H2188" s="0" t="s">
        <v>122</v>
      </c>
      <c r="K2188" s="0" t="s">
        <v>143</v>
      </c>
      <c r="L2188" s="0" t="s">
        <v>3641</v>
      </c>
    </row>
    <row r="2189" customFormat="false" ht="15" hidden="false" customHeight="false" outlineLevel="0" collapsed="false">
      <c r="A2189" s="0" t="s">
        <v>3335</v>
      </c>
      <c r="B2189" s="0" t="s">
        <v>154</v>
      </c>
      <c r="C2189" s="0" t="s">
        <v>755</v>
      </c>
      <c r="D2189" s="0" t="s">
        <v>70</v>
      </c>
      <c r="E2189" s="0" t="s">
        <v>1823</v>
      </c>
      <c r="F2189" s="0" t="n">
        <v>4</v>
      </c>
      <c r="G2189" s="0" t="n">
        <v>0</v>
      </c>
      <c r="H2189" s="0" t="s">
        <v>122</v>
      </c>
      <c r="K2189" s="0" t="s">
        <v>146</v>
      </c>
      <c r="L2189" s="0" t="s">
        <v>3642</v>
      </c>
    </row>
    <row r="2190" customFormat="false" ht="15" hidden="false" customHeight="false" outlineLevel="0" collapsed="false">
      <c r="A2190" s="0" t="s">
        <v>3335</v>
      </c>
      <c r="B2190" s="0" t="s">
        <v>154</v>
      </c>
      <c r="C2190" s="0" t="s">
        <v>755</v>
      </c>
      <c r="D2190" s="0" t="s">
        <v>73</v>
      </c>
      <c r="E2190" s="0" t="s">
        <v>1825</v>
      </c>
      <c r="F2190" s="0" t="n">
        <v>4</v>
      </c>
      <c r="G2190" s="0" t="n">
        <v>3</v>
      </c>
      <c r="H2190" s="0" t="s">
        <v>122</v>
      </c>
      <c r="I2190" s="0" t="s">
        <v>3544</v>
      </c>
      <c r="K2190" s="0" t="s">
        <v>149</v>
      </c>
      <c r="L2190" s="0" t="s">
        <v>3643</v>
      </c>
    </row>
    <row r="2191" customFormat="false" ht="15" hidden="false" customHeight="false" outlineLevel="0" collapsed="false">
      <c r="A2191" s="0" t="s">
        <v>3335</v>
      </c>
      <c r="B2191" s="0" t="s">
        <v>154</v>
      </c>
      <c r="C2191" s="0" t="s">
        <v>755</v>
      </c>
      <c r="D2191" s="0" t="s">
        <v>76</v>
      </c>
      <c r="E2191" s="0" t="s">
        <v>1827</v>
      </c>
      <c r="F2191" s="0" t="n">
        <v>4</v>
      </c>
      <c r="G2191" s="0" t="n">
        <v>0</v>
      </c>
      <c r="H2191" s="0" t="s">
        <v>122</v>
      </c>
      <c r="K2191" s="0" t="s">
        <v>152</v>
      </c>
      <c r="L2191" s="0" t="s">
        <v>3644</v>
      </c>
    </row>
    <row r="2192" customFormat="false" ht="15" hidden="false" customHeight="false" outlineLevel="0" collapsed="false">
      <c r="A2192" s="0" t="s">
        <v>3335</v>
      </c>
      <c r="B2192" s="0" t="s">
        <v>154</v>
      </c>
      <c r="C2192" s="0" t="s">
        <v>755</v>
      </c>
      <c r="D2192" s="0" t="s">
        <v>79</v>
      </c>
      <c r="E2192" s="0" t="s">
        <v>1829</v>
      </c>
      <c r="F2192" s="0" t="n">
        <v>4</v>
      </c>
      <c r="G2192" s="0" t="n">
        <v>4</v>
      </c>
      <c r="H2192" s="0" t="s">
        <v>117</v>
      </c>
      <c r="I2192" s="0" t="s">
        <v>3363</v>
      </c>
      <c r="K2192" s="0" t="s">
        <v>156</v>
      </c>
      <c r="L2192" s="0" t="s">
        <v>3645</v>
      </c>
    </row>
    <row r="2193" customFormat="false" ht="15" hidden="false" customHeight="false" outlineLevel="0" collapsed="false">
      <c r="A2193" s="0" t="s">
        <v>3335</v>
      </c>
      <c r="B2193" s="0" t="s">
        <v>154</v>
      </c>
      <c r="C2193" s="0" t="s">
        <v>755</v>
      </c>
      <c r="D2193" s="0" t="s">
        <v>82</v>
      </c>
      <c r="E2193" s="0" t="s">
        <v>1831</v>
      </c>
      <c r="F2193" s="0" t="n">
        <v>4</v>
      </c>
      <c r="G2193" s="0" t="n">
        <v>0</v>
      </c>
      <c r="H2193" s="0" t="s">
        <v>122</v>
      </c>
      <c r="K2193" s="0" t="s">
        <v>160</v>
      </c>
      <c r="L2193" s="0" t="s">
        <v>3646</v>
      </c>
    </row>
    <row r="2194" customFormat="false" ht="15" hidden="false" customHeight="false" outlineLevel="0" collapsed="false">
      <c r="A2194" s="0" t="s">
        <v>3335</v>
      </c>
      <c r="B2194" s="0" t="s">
        <v>154</v>
      </c>
      <c r="C2194" s="0" t="s">
        <v>780</v>
      </c>
      <c r="D2194" s="0" t="s">
        <v>115</v>
      </c>
      <c r="E2194" s="0" t="s">
        <v>1833</v>
      </c>
      <c r="F2194" s="0" t="n">
        <v>4</v>
      </c>
      <c r="G2194" s="0" t="n">
        <v>0</v>
      </c>
      <c r="H2194" s="0" t="s">
        <v>122</v>
      </c>
      <c r="K2194" s="0" t="s">
        <v>118</v>
      </c>
      <c r="L2194" s="0" t="s">
        <v>3647</v>
      </c>
    </row>
    <row r="2195" customFormat="false" ht="15" hidden="false" customHeight="false" outlineLevel="0" collapsed="false">
      <c r="A2195" s="0" t="s">
        <v>3335</v>
      </c>
      <c r="B2195" s="0" t="s">
        <v>154</v>
      </c>
      <c r="C2195" s="0" t="s">
        <v>780</v>
      </c>
      <c r="D2195" s="0" t="s">
        <v>120</v>
      </c>
      <c r="E2195" s="0" t="s">
        <v>1835</v>
      </c>
      <c r="F2195" s="0" t="n">
        <v>4</v>
      </c>
      <c r="G2195" s="0" t="n">
        <v>0</v>
      </c>
      <c r="H2195" s="0" t="s">
        <v>122</v>
      </c>
      <c r="K2195" s="0" t="s">
        <v>123</v>
      </c>
      <c r="L2195" s="0" t="s">
        <v>3648</v>
      </c>
    </row>
    <row r="2196" customFormat="false" ht="15" hidden="false" customHeight="false" outlineLevel="0" collapsed="false">
      <c r="A2196" s="0" t="s">
        <v>3335</v>
      </c>
      <c r="B2196" s="0" t="s">
        <v>154</v>
      </c>
      <c r="C2196" s="0" t="s">
        <v>780</v>
      </c>
      <c r="D2196" s="0" t="s">
        <v>125</v>
      </c>
      <c r="E2196" s="0" t="s">
        <v>1837</v>
      </c>
      <c r="F2196" s="0" t="n">
        <v>4</v>
      </c>
      <c r="G2196" s="0" t="n">
        <v>0</v>
      </c>
      <c r="H2196" s="0" t="s">
        <v>122</v>
      </c>
      <c r="K2196" s="0" t="s">
        <v>127</v>
      </c>
      <c r="L2196" s="0" t="s">
        <v>3649</v>
      </c>
    </row>
    <row r="2197" customFormat="false" ht="15" hidden="false" customHeight="false" outlineLevel="0" collapsed="false">
      <c r="A2197" s="0" t="s">
        <v>3335</v>
      </c>
      <c r="B2197" s="0" t="s">
        <v>154</v>
      </c>
      <c r="C2197" s="0" t="s">
        <v>780</v>
      </c>
      <c r="D2197" s="0" t="s">
        <v>53</v>
      </c>
      <c r="E2197" s="0" t="s">
        <v>1839</v>
      </c>
      <c r="F2197" s="0" t="n">
        <v>4</v>
      </c>
      <c r="G2197" s="0" t="n">
        <v>0</v>
      </c>
      <c r="H2197" s="0" t="s">
        <v>122</v>
      </c>
      <c r="K2197" s="0" t="s">
        <v>132</v>
      </c>
      <c r="L2197" s="0" t="s">
        <v>3650</v>
      </c>
    </row>
    <row r="2198" customFormat="false" ht="15" hidden="false" customHeight="false" outlineLevel="0" collapsed="false">
      <c r="A2198" s="0" t="s">
        <v>3335</v>
      </c>
      <c r="B2198" s="0" t="s">
        <v>154</v>
      </c>
      <c r="C2198" s="0" t="s">
        <v>780</v>
      </c>
      <c r="D2198" s="0" t="s">
        <v>56</v>
      </c>
      <c r="E2198" s="0" t="s">
        <v>1841</v>
      </c>
      <c r="F2198" s="0" t="n">
        <v>4</v>
      </c>
      <c r="G2198" s="0" t="n">
        <v>0</v>
      </c>
      <c r="H2198" s="0" t="s">
        <v>122</v>
      </c>
      <c r="K2198" s="0" t="s">
        <v>135</v>
      </c>
      <c r="L2198" s="0" t="s">
        <v>3651</v>
      </c>
    </row>
    <row r="2199" customFormat="false" ht="15" hidden="false" customHeight="false" outlineLevel="0" collapsed="false">
      <c r="A2199" s="0" t="s">
        <v>3335</v>
      </c>
      <c r="B2199" s="0" t="s">
        <v>154</v>
      </c>
      <c r="C2199" s="0" t="s">
        <v>780</v>
      </c>
      <c r="D2199" s="0" t="s">
        <v>59</v>
      </c>
      <c r="E2199" s="0" t="s">
        <v>1843</v>
      </c>
      <c r="F2199" s="0" t="n">
        <v>4</v>
      </c>
      <c r="G2199" s="0" t="n">
        <v>0</v>
      </c>
      <c r="H2199" s="0" t="s">
        <v>122</v>
      </c>
      <c r="K2199" s="0" t="s">
        <v>138</v>
      </c>
      <c r="L2199" s="0" t="s">
        <v>3652</v>
      </c>
    </row>
    <row r="2200" customFormat="false" ht="15" hidden="false" customHeight="false" outlineLevel="0" collapsed="false">
      <c r="A2200" s="0" t="s">
        <v>3335</v>
      </c>
      <c r="B2200" s="0" t="s">
        <v>154</v>
      </c>
      <c r="C2200" s="0" t="s">
        <v>780</v>
      </c>
      <c r="D2200" s="0" t="s">
        <v>67</v>
      </c>
      <c r="E2200" s="0" t="s">
        <v>1845</v>
      </c>
      <c r="F2200" s="0" t="n">
        <v>4</v>
      </c>
      <c r="G2200" s="0" t="n">
        <v>0</v>
      </c>
      <c r="H2200" s="0" t="s">
        <v>122</v>
      </c>
      <c r="K2200" s="0" t="s">
        <v>143</v>
      </c>
      <c r="L2200" s="0" t="s">
        <v>3653</v>
      </c>
    </row>
    <row r="2201" customFormat="false" ht="15" hidden="false" customHeight="false" outlineLevel="0" collapsed="false">
      <c r="A2201" s="0" t="s">
        <v>3335</v>
      </c>
      <c r="B2201" s="0" t="s">
        <v>154</v>
      </c>
      <c r="C2201" s="0" t="s">
        <v>780</v>
      </c>
      <c r="D2201" s="0" t="s">
        <v>70</v>
      </c>
      <c r="E2201" s="0" t="s">
        <v>1847</v>
      </c>
      <c r="F2201" s="0" t="n">
        <v>4</v>
      </c>
      <c r="G2201" s="0" t="n">
        <v>0</v>
      </c>
      <c r="H2201" s="0" t="s">
        <v>122</v>
      </c>
      <c r="K2201" s="0" t="s">
        <v>146</v>
      </c>
      <c r="L2201" s="0" t="s">
        <v>3654</v>
      </c>
    </row>
    <row r="2202" customFormat="false" ht="15" hidden="false" customHeight="false" outlineLevel="0" collapsed="false">
      <c r="A2202" s="0" t="s">
        <v>3335</v>
      </c>
      <c r="B2202" s="0" t="s">
        <v>154</v>
      </c>
      <c r="C2202" s="0" t="s">
        <v>780</v>
      </c>
      <c r="D2202" s="0" t="s">
        <v>73</v>
      </c>
      <c r="E2202" s="0" t="s">
        <v>1849</v>
      </c>
      <c r="F2202" s="0" t="n">
        <v>4</v>
      </c>
      <c r="G2202" s="0" t="n">
        <v>3</v>
      </c>
      <c r="H2202" s="0" t="s">
        <v>122</v>
      </c>
      <c r="I2202" s="0" t="s">
        <v>3377</v>
      </c>
      <c r="K2202" s="0" t="s">
        <v>149</v>
      </c>
      <c r="L2202" s="0" t="s">
        <v>3655</v>
      </c>
    </row>
    <row r="2203" customFormat="false" ht="15" hidden="false" customHeight="false" outlineLevel="0" collapsed="false">
      <c r="A2203" s="0" t="s">
        <v>3335</v>
      </c>
      <c r="B2203" s="0" t="s">
        <v>154</v>
      </c>
      <c r="C2203" s="0" t="s">
        <v>780</v>
      </c>
      <c r="D2203" s="0" t="s">
        <v>76</v>
      </c>
      <c r="E2203" s="0" t="s">
        <v>1851</v>
      </c>
      <c r="F2203" s="0" t="n">
        <v>4</v>
      </c>
      <c r="G2203" s="0" t="n">
        <v>3</v>
      </c>
      <c r="H2203" s="0" t="s">
        <v>122</v>
      </c>
      <c r="I2203" s="0" t="s">
        <v>3377</v>
      </c>
      <c r="K2203" s="0" t="s">
        <v>152</v>
      </c>
      <c r="L2203" s="0" t="s">
        <v>3656</v>
      </c>
    </row>
    <row r="2204" customFormat="false" ht="15" hidden="false" customHeight="false" outlineLevel="0" collapsed="false">
      <c r="A2204" s="0" t="s">
        <v>3335</v>
      </c>
      <c r="B2204" s="0" t="s">
        <v>154</v>
      </c>
      <c r="C2204" s="0" t="s">
        <v>780</v>
      </c>
      <c r="D2204" s="0" t="s">
        <v>79</v>
      </c>
      <c r="E2204" s="0" t="s">
        <v>1853</v>
      </c>
      <c r="F2204" s="0" t="n">
        <v>4</v>
      </c>
      <c r="G2204" s="0" t="n">
        <v>3</v>
      </c>
      <c r="H2204" s="0" t="s">
        <v>122</v>
      </c>
      <c r="I2204" s="0" t="s">
        <v>3556</v>
      </c>
      <c r="K2204" s="0" t="s">
        <v>156</v>
      </c>
      <c r="L2204" s="0" t="s">
        <v>3657</v>
      </c>
    </row>
    <row r="2205" customFormat="false" ht="15" hidden="false" customHeight="false" outlineLevel="0" collapsed="false">
      <c r="A2205" s="0" t="s">
        <v>3335</v>
      </c>
      <c r="B2205" s="0" t="s">
        <v>154</v>
      </c>
      <c r="C2205" s="0" t="s">
        <v>780</v>
      </c>
      <c r="D2205" s="0" t="s">
        <v>82</v>
      </c>
      <c r="E2205" s="0" t="s">
        <v>1855</v>
      </c>
      <c r="F2205" s="0" t="n">
        <v>4</v>
      </c>
      <c r="G2205" s="0" t="n">
        <v>1</v>
      </c>
      <c r="H2205" s="0" t="s">
        <v>122</v>
      </c>
      <c r="I2205" s="0" t="s">
        <v>3530</v>
      </c>
      <c r="K2205" s="0" t="s">
        <v>160</v>
      </c>
      <c r="L2205" s="0" t="s">
        <v>3658</v>
      </c>
    </row>
    <row r="2206" customFormat="false" ht="15" hidden="false" customHeight="false" outlineLevel="0" collapsed="false">
      <c r="A2206" s="0" t="s">
        <v>3335</v>
      </c>
      <c r="B2206" s="0" t="s">
        <v>154</v>
      </c>
      <c r="C2206" s="0" t="s">
        <v>805</v>
      </c>
      <c r="D2206" s="0" t="s">
        <v>115</v>
      </c>
      <c r="E2206" s="0" t="s">
        <v>1857</v>
      </c>
      <c r="F2206" s="0" t="n">
        <v>4</v>
      </c>
      <c r="G2206" s="0" t="n">
        <v>0</v>
      </c>
      <c r="H2206" s="0" t="s">
        <v>122</v>
      </c>
      <c r="K2206" s="0" t="s">
        <v>118</v>
      </c>
      <c r="L2206" s="0" t="s">
        <v>3659</v>
      </c>
    </row>
    <row r="2207" customFormat="false" ht="15" hidden="false" customHeight="false" outlineLevel="0" collapsed="false">
      <c r="A2207" s="0" t="s">
        <v>3335</v>
      </c>
      <c r="B2207" s="0" t="s">
        <v>154</v>
      </c>
      <c r="C2207" s="0" t="s">
        <v>805</v>
      </c>
      <c r="D2207" s="0" t="s">
        <v>120</v>
      </c>
      <c r="E2207" s="0" t="s">
        <v>1859</v>
      </c>
      <c r="F2207" s="0" t="n">
        <v>4</v>
      </c>
      <c r="G2207" s="0" t="n">
        <v>0</v>
      </c>
      <c r="H2207" s="0" t="s">
        <v>122</v>
      </c>
      <c r="K2207" s="0" t="s">
        <v>123</v>
      </c>
      <c r="L2207" s="0" t="s">
        <v>3660</v>
      </c>
    </row>
    <row r="2208" customFormat="false" ht="15" hidden="false" customHeight="false" outlineLevel="0" collapsed="false">
      <c r="A2208" s="0" t="s">
        <v>3335</v>
      </c>
      <c r="B2208" s="0" t="s">
        <v>154</v>
      </c>
      <c r="C2208" s="0" t="s">
        <v>805</v>
      </c>
      <c r="D2208" s="0" t="s">
        <v>125</v>
      </c>
      <c r="E2208" s="0" t="s">
        <v>1861</v>
      </c>
      <c r="F2208" s="0" t="n">
        <v>4</v>
      </c>
      <c r="G2208" s="0" t="n">
        <v>0</v>
      </c>
      <c r="H2208" s="0" t="s">
        <v>122</v>
      </c>
      <c r="K2208" s="0" t="s">
        <v>127</v>
      </c>
      <c r="L2208" s="0" t="s">
        <v>3661</v>
      </c>
    </row>
    <row r="2209" customFormat="false" ht="15" hidden="false" customHeight="false" outlineLevel="0" collapsed="false">
      <c r="A2209" s="0" t="s">
        <v>3335</v>
      </c>
      <c r="B2209" s="0" t="s">
        <v>154</v>
      </c>
      <c r="C2209" s="0" t="s">
        <v>805</v>
      </c>
      <c r="D2209" s="0" t="s">
        <v>53</v>
      </c>
      <c r="E2209" s="0" t="s">
        <v>1863</v>
      </c>
      <c r="F2209" s="0" t="n">
        <v>4</v>
      </c>
      <c r="G2209" s="0" t="n">
        <v>0</v>
      </c>
      <c r="H2209" s="0" t="s">
        <v>122</v>
      </c>
      <c r="K2209" s="0" t="s">
        <v>132</v>
      </c>
      <c r="L2209" s="0" t="s">
        <v>3662</v>
      </c>
    </row>
    <row r="2210" customFormat="false" ht="15" hidden="false" customHeight="false" outlineLevel="0" collapsed="false">
      <c r="A2210" s="0" t="s">
        <v>3335</v>
      </c>
      <c r="B2210" s="0" t="s">
        <v>154</v>
      </c>
      <c r="C2210" s="0" t="s">
        <v>805</v>
      </c>
      <c r="D2210" s="0" t="s">
        <v>56</v>
      </c>
      <c r="E2210" s="0" t="s">
        <v>1865</v>
      </c>
      <c r="F2210" s="0" t="n">
        <v>4</v>
      </c>
      <c r="G2210" s="0" t="n">
        <v>0</v>
      </c>
      <c r="H2210" s="0" t="s">
        <v>122</v>
      </c>
      <c r="K2210" s="0" t="s">
        <v>135</v>
      </c>
      <c r="L2210" s="0" t="s">
        <v>3663</v>
      </c>
    </row>
    <row r="2211" customFormat="false" ht="15" hidden="false" customHeight="false" outlineLevel="0" collapsed="false">
      <c r="A2211" s="0" t="s">
        <v>3335</v>
      </c>
      <c r="B2211" s="0" t="s">
        <v>154</v>
      </c>
      <c r="C2211" s="0" t="s">
        <v>805</v>
      </c>
      <c r="D2211" s="0" t="s">
        <v>59</v>
      </c>
      <c r="E2211" s="0" t="s">
        <v>1867</v>
      </c>
      <c r="F2211" s="0" t="n">
        <v>4</v>
      </c>
      <c r="G2211" s="0" t="n">
        <v>0</v>
      </c>
      <c r="H2211" s="0" t="s">
        <v>122</v>
      </c>
      <c r="K2211" s="0" t="s">
        <v>138</v>
      </c>
      <c r="L2211" s="0" t="s">
        <v>3664</v>
      </c>
    </row>
    <row r="2212" customFormat="false" ht="15" hidden="false" customHeight="false" outlineLevel="0" collapsed="false">
      <c r="A2212" s="0" t="s">
        <v>3335</v>
      </c>
      <c r="B2212" s="0" t="s">
        <v>154</v>
      </c>
      <c r="C2212" s="0" t="s">
        <v>805</v>
      </c>
      <c r="D2212" s="0" t="s">
        <v>67</v>
      </c>
      <c r="E2212" s="0" t="s">
        <v>1869</v>
      </c>
      <c r="F2212" s="0" t="n">
        <v>4</v>
      </c>
      <c r="G2212" s="0" t="n">
        <v>0</v>
      </c>
      <c r="H2212" s="0" t="s">
        <v>122</v>
      </c>
      <c r="K2212" s="0" t="s">
        <v>143</v>
      </c>
      <c r="L2212" s="0" t="s">
        <v>3665</v>
      </c>
    </row>
    <row r="2213" customFormat="false" ht="15" hidden="false" customHeight="false" outlineLevel="0" collapsed="false">
      <c r="A2213" s="0" t="s">
        <v>3335</v>
      </c>
      <c r="B2213" s="0" t="s">
        <v>154</v>
      </c>
      <c r="C2213" s="0" t="s">
        <v>805</v>
      </c>
      <c r="D2213" s="0" t="s">
        <v>70</v>
      </c>
      <c r="E2213" s="0" t="s">
        <v>1871</v>
      </c>
      <c r="F2213" s="0" t="n">
        <v>4</v>
      </c>
      <c r="G2213" s="0" t="n">
        <v>3</v>
      </c>
      <c r="H2213" s="0" t="s">
        <v>122</v>
      </c>
      <c r="I2213" s="0" t="s">
        <v>3377</v>
      </c>
      <c r="K2213" s="0" t="s">
        <v>146</v>
      </c>
      <c r="L2213" s="0" t="s">
        <v>3666</v>
      </c>
    </row>
    <row r="2214" customFormat="false" ht="15" hidden="false" customHeight="false" outlineLevel="0" collapsed="false">
      <c r="A2214" s="0" t="s">
        <v>3335</v>
      </c>
      <c r="B2214" s="0" t="s">
        <v>154</v>
      </c>
      <c r="C2214" s="0" t="s">
        <v>805</v>
      </c>
      <c r="D2214" s="0" t="s">
        <v>73</v>
      </c>
      <c r="E2214" s="0" t="s">
        <v>1873</v>
      </c>
      <c r="F2214" s="0" t="n">
        <v>4</v>
      </c>
      <c r="G2214" s="0" t="n">
        <v>4</v>
      </c>
      <c r="H2214" s="0" t="s">
        <v>117</v>
      </c>
      <c r="I2214" s="0" t="s">
        <v>3363</v>
      </c>
      <c r="K2214" s="0" t="s">
        <v>149</v>
      </c>
      <c r="L2214" s="0" t="s">
        <v>3667</v>
      </c>
    </row>
    <row r="2215" customFormat="false" ht="15" hidden="false" customHeight="false" outlineLevel="0" collapsed="false">
      <c r="A2215" s="0" t="s">
        <v>3335</v>
      </c>
      <c r="B2215" s="0" t="s">
        <v>154</v>
      </c>
      <c r="C2215" s="0" t="s">
        <v>805</v>
      </c>
      <c r="D2215" s="0" t="s">
        <v>76</v>
      </c>
      <c r="E2215" s="0" t="s">
        <v>1875</v>
      </c>
      <c r="F2215" s="0" t="n">
        <v>4</v>
      </c>
      <c r="G2215" s="0" t="n">
        <v>2</v>
      </c>
      <c r="H2215" s="0" t="s">
        <v>122</v>
      </c>
      <c r="I2215" s="0" t="s">
        <v>3377</v>
      </c>
      <c r="K2215" s="0" t="s">
        <v>152</v>
      </c>
      <c r="L2215" s="0" t="s">
        <v>3668</v>
      </c>
    </row>
    <row r="2216" customFormat="false" ht="15" hidden="false" customHeight="false" outlineLevel="0" collapsed="false">
      <c r="A2216" s="0" t="s">
        <v>3335</v>
      </c>
      <c r="B2216" s="0" t="s">
        <v>154</v>
      </c>
      <c r="C2216" s="0" t="s">
        <v>805</v>
      </c>
      <c r="D2216" s="0" t="s">
        <v>79</v>
      </c>
      <c r="E2216" s="0" t="s">
        <v>1877</v>
      </c>
      <c r="F2216" s="0" t="n">
        <v>4</v>
      </c>
      <c r="G2216" s="0" t="n">
        <v>4</v>
      </c>
      <c r="H2216" s="0" t="s">
        <v>117</v>
      </c>
      <c r="I2216" s="0" t="s">
        <v>3377</v>
      </c>
      <c r="K2216" s="0" t="s">
        <v>156</v>
      </c>
      <c r="L2216" s="0" t="s">
        <v>3669</v>
      </c>
    </row>
    <row r="2217" customFormat="false" ht="15" hidden="false" customHeight="false" outlineLevel="0" collapsed="false">
      <c r="A2217" s="0" t="s">
        <v>3335</v>
      </c>
      <c r="B2217" s="0" t="s">
        <v>154</v>
      </c>
      <c r="C2217" s="0" t="s">
        <v>805</v>
      </c>
      <c r="D2217" s="0" t="s">
        <v>82</v>
      </c>
      <c r="E2217" s="0" t="s">
        <v>1879</v>
      </c>
      <c r="F2217" s="0" t="n">
        <v>4</v>
      </c>
      <c r="G2217" s="0" t="n">
        <v>4</v>
      </c>
      <c r="H2217" s="0" t="s">
        <v>117</v>
      </c>
      <c r="I2217" s="0" t="s">
        <v>3556</v>
      </c>
      <c r="K2217" s="0" t="s">
        <v>160</v>
      </c>
      <c r="L2217" s="0" t="s">
        <v>3670</v>
      </c>
    </row>
    <row r="2218" customFormat="false" ht="15" hidden="false" customHeight="false" outlineLevel="0" collapsed="false">
      <c r="A2218" s="0" t="s">
        <v>3335</v>
      </c>
      <c r="B2218" s="0" t="s">
        <v>154</v>
      </c>
      <c r="C2218" s="0" t="s">
        <v>830</v>
      </c>
      <c r="D2218" s="0" t="s">
        <v>115</v>
      </c>
      <c r="E2218" s="0" t="s">
        <v>1881</v>
      </c>
      <c r="F2218" s="0" t="n">
        <v>4</v>
      </c>
      <c r="G2218" s="0" t="n">
        <v>0</v>
      </c>
      <c r="H2218" s="0" t="s">
        <v>122</v>
      </c>
      <c r="K2218" s="0" t="s">
        <v>118</v>
      </c>
      <c r="L2218" s="0" t="s">
        <v>3671</v>
      </c>
    </row>
    <row r="2219" customFormat="false" ht="15" hidden="false" customHeight="false" outlineLevel="0" collapsed="false">
      <c r="A2219" s="0" t="s">
        <v>3335</v>
      </c>
      <c r="B2219" s="0" t="s">
        <v>154</v>
      </c>
      <c r="C2219" s="0" t="s">
        <v>830</v>
      </c>
      <c r="D2219" s="0" t="s">
        <v>120</v>
      </c>
      <c r="E2219" s="0" t="s">
        <v>1883</v>
      </c>
      <c r="F2219" s="0" t="n">
        <v>4</v>
      </c>
      <c r="G2219" s="0" t="n">
        <v>0</v>
      </c>
      <c r="H2219" s="0" t="s">
        <v>122</v>
      </c>
      <c r="K2219" s="0" t="s">
        <v>123</v>
      </c>
      <c r="L2219" s="0" t="s">
        <v>3672</v>
      </c>
    </row>
    <row r="2220" customFormat="false" ht="15" hidden="false" customHeight="false" outlineLevel="0" collapsed="false">
      <c r="A2220" s="0" t="s">
        <v>3335</v>
      </c>
      <c r="B2220" s="0" t="s">
        <v>154</v>
      </c>
      <c r="C2220" s="0" t="s">
        <v>830</v>
      </c>
      <c r="D2220" s="0" t="s">
        <v>125</v>
      </c>
      <c r="E2220" s="0" t="s">
        <v>1885</v>
      </c>
      <c r="F2220" s="0" t="n">
        <v>4</v>
      </c>
      <c r="G2220" s="0" t="n">
        <v>3</v>
      </c>
      <c r="H2220" s="0" t="s">
        <v>122</v>
      </c>
      <c r="I2220" s="0" t="s">
        <v>3377</v>
      </c>
      <c r="K2220" s="0" t="s">
        <v>127</v>
      </c>
      <c r="L2220" s="0" t="s">
        <v>3673</v>
      </c>
    </row>
    <row r="2221" customFormat="false" ht="15" hidden="false" customHeight="false" outlineLevel="0" collapsed="false">
      <c r="A2221" s="0" t="s">
        <v>3335</v>
      </c>
      <c r="B2221" s="0" t="s">
        <v>154</v>
      </c>
      <c r="C2221" s="0" t="s">
        <v>830</v>
      </c>
      <c r="D2221" s="0" t="s">
        <v>53</v>
      </c>
      <c r="E2221" s="0" t="s">
        <v>1887</v>
      </c>
      <c r="F2221" s="0" t="n">
        <v>4</v>
      </c>
      <c r="G2221" s="0" t="n">
        <v>2</v>
      </c>
      <c r="H2221" s="0" t="s">
        <v>122</v>
      </c>
      <c r="I2221" s="0" t="s">
        <v>3349</v>
      </c>
      <c r="K2221" s="0" t="s">
        <v>132</v>
      </c>
      <c r="L2221" s="0" t="s">
        <v>3674</v>
      </c>
    </row>
    <row r="2222" customFormat="false" ht="15" hidden="false" customHeight="false" outlineLevel="0" collapsed="false">
      <c r="A2222" s="0" t="s">
        <v>3335</v>
      </c>
      <c r="B2222" s="0" t="s">
        <v>154</v>
      </c>
      <c r="C2222" s="0" t="s">
        <v>830</v>
      </c>
      <c r="D2222" s="0" t="s">
        <v>56</v>
      </c>
      <c r="E2222" s="0" t="s">
        <v>1889</v>
      </c>
      <c r="F2222" s="0" t="n">
        <v>4</v>
      </c>
      <c r="G2222" s="0" t="n">
        <v>0</v>
      </c>
      <c r="H2222" s="0" t="s">
        <v>122</v>
      </c>
      <c r="K2222" s="0" t="s">
        <v>135</v>
      </c>
      <c r="L2222" s="0" t="s">
        <v>3675</v>
      </c>
    </row>
    <row r="2223" customFormat="false" ht="15" hidden="false" customHeight="false" outlineLevel="0" collapsed="false">
      <c r="A2223" s="0" t="s">
        <v>3335</v>
      </c>
      <c r="B2223" s="0" t="s">
        <v>154</v>
      </c>
      <c r="C2223" s="0" t="s">
        <v>830</v>
      </c>
      <c r="D2223" s="0" t="s">
        <v>59</v>
      </c>
      <c r="E2223" s="0" t="s">
        <v>1891</v>
      </c>
      <c r="F2223" s="0" t="n">
        <v>4</v>
      </c>
      <c r="G2223" s="0" t="n">
        <v>0</v>
      </c>
      <c r="H2223" s="0" t="s">
        <v>122</v>
      </c>
      <c r="K2223" s="0" t="s">
        <v>138</v>
      </c>
      <c r="L2223" s="0" t="s">
        <v>3676</v>
      </c>
    </row>
    <row r="2224" customFormat="false" ht="15" hidden="false" customHeight="false" outlineLevel="0" collapsed="false">
      <c r="A2224" s="0" t="s">
        <v>3335</v>
      </c>
      <c r="B2224" s="0" t="s">
        <v>154</v>
      </c>
      <c r="C2224" s="0" t="s">
        <v>830</v>
      </c>
      <c r="D2224" s="0" t="s">
        <v>67</v>
      </c>
      <c r="E2224" s="0" t="s">
        <v>1893</v>
      </c>
      <c r="F2224" s="0" t="n">
        <v>4</v>
      </c>
      <c r="G2224" s="0" t="n">
        <v>0</v>
      </c>
      <c r="H2224" s="0" t="s">
        <v>122</v>
      </c>
      <c r="K2224" s="0" t="s">
        <v>143</v>
      </c>
      <c r="L2224" s="0" t="s">
        <v>3677</v>
      </c>
    </row>
    <row r="2225" customFormat="false" ht="15" hidden="false" customHeight="false" outlineLevel="0" collapsed="false">
      <c r="A2225" s="0" t="s">
        <v>3335</v>
      </c>
      <c r="B2225" s="0" t="s">
        <v>154</v>
      </c>
      <c r="C2225" s="0" t="s">
        <v>830</v>
      </c>
      <c r="D2225" s="0" t="s">
        <v>70</v>
      </c>
      <c r="E2225" s="0" t="s">
        <v>1895</v>
      </c>
      <c r="F2225" s="0" t="n">
        <v>4</v>
      </c>
      <c r="G2225" s="0" t="n">
        <v>3</v>
      </c>
      <c r="H2225" s="0" t="s">
        <v>122</v>
      </c>
      <c r="I2225" s="0" t="s">
        <v>3349</v>
      </c>
      <c r="K2225" s="0" t="s">
        <v>146</v>
      </c>
      <c r="L2225" s="0" t="s">
        <v>3678</v>
      </c>
    </row>
    <row r="2226" customFormat="false" ht="15" hidden="false" customHeight="false" outlineLevel="0" collapsed="false">
      <c r="A2226" s="0" t="s">
        <v>3335</v>
      </c>
      <c r="B2226" s="0" t="s">
        <v>154</v>
      </c>
      <c r="C2226" s="0" t="s">
        <v>830</v>
      </c>
      <c r="D2226" s="0" t="s">
        <v>73</v>
      </c>
      <c r="E2226" s="0" t="s">
        <v>1897</v>
      </c>
      <c r="F2226" s="0" t="n">
        <v>4</v>
      </c>
      <c r="G2226" s="0" t="n">
        <v>1</v>
      </c>
      <c r="H2226" s="0" t="s">
        <v>122</v>
      </c>
      <c r="I2226" s="0" t="s">
        <v>3530</v>
      </c>
      <c r="K2226" s="0" t="s">
        <v>149</v>
      </c>
      <c r="L2226" s="0" t="s">
        <v>3679</v>
      </c>
    </row>
    <row r="2227" customFormat="false" ht="15" hidden="false" customHeight="false" outlineLevel="0" collapsed="false">
      <c r="A2227" s="0" t="s">
        <v>3335</v>
      </c>
      <c r="B2227" s="0" t="s">
        <v>154</v>
      </c>
      <c r="C2227" s="0" t="s">
        <v>830</v>
      </c>
      <c r="D2227" s="0" t="s">
        <v>76</v>
      </c>
      <c r="E2227" s="0" t="s">
        <v>1899</v>
      </c>
      <c r="F2227" s="0" t="n">
        <v>4</v>
      </c>
      <c r="G2227" s="0" t="n">
        <v>0</v>
      </c>
      <c r="H2227" s="0" t="s">
        <v>122</v>
      </c>
      <c r="K2227" s="0" t="s">
        <v>152</v>
      </c>
      <c r="L2227" s="0" t="s">
        <v>3680</v>
      </c>
    </row>
    <row r="2228" customFormat="false" ht="15" hidden="false" customHeight="false" outlineLevel="0" collapsed="false">
      <c r="A2228" s="0" t="s">
        <v>3335</v>
      </c>
      <c r="B2228" s="0" t="s">
        <v>154</v>
      </c>
      <c r="C2228" s="0" t="s">
        <v>830</v>
      </c>
      <c r="D2228" s="0" t="s">
        <v>79</v>
      </c>
      <c r="E2228" s="0" t="s">
        <v>1901</v>
      </c>
      <c r="F2228" s="0" t="n">
        <v>4</v>
      </c>
      <c r="G2228" s="0" t="n">
        <v>3</v>
      </c>
      <c r="H2228" s="0" t="s">
        <v>122</v>
      </c>
      <c r="I2228" s="0" t="s">
        <v>3544</v>
      </c>
      <c r="K2228" s="0" t="s">
        <v>156</v>
      </c>
      <c r="L2228" s="0" t="s">
        <v>3681</v>
      </c>
    </row>
    <row r="2229" customFormat="false" ht="15" hidden="false" customHeight="false" outlineLevel="0" collapsed="false">
      <c r="A2229" s="0" t="s">
        <v>3335</v>
      </c>
      <c r="B2229" s="0" t="s">
        <v>154</v>
      </c>
      <c r="C2229" s="0" t="s">
        <v>830</v>
      </c>
      <c r="D2229" s="0" t="s">
        <v>82</v>
      </c>
      <c r="E2229" s="0" t="s">
        <v>1903</v>
      </c>
      <c r="F2229" s="0" t="n">
        <v>4</v>
      </c>
      <c r="G2229" s="0" t="n">
        <v>0</v>
      </c>
      <c r="H2229" s="0" t="s">
        <v>122</v>
      </c>
      <c r="K2229" s="0" t="s">
        <v>160</v>
      </c>
      <c r="L2229" s="0" t="s">
        <v>3682</v>
      </c>
    </row>
    <row r="2230" customFormat="false" ht="15" hidden="false" customHeight="false" outlineLevel="0" collapsed="false">
      <c r="A2230" s="0" t="s">
        <v>3335</v>
      </c>
      <c r="B2230" s="0" t="s">
        <v>154</v>
      </c>
      <c r="C2230" s="0" t="s">
        <v>855</v>
      </c>
      <c r="D2230" s="0" t="s">
        <v>115</v>
      </c>
      <c r="E2230" s="0" t="s">
        <v>1905</v>
      </c>
      <c r="F2230" s="0" t="n">
        <v>4</v>
      </c>
      <c r="G2230" s="0" t="n">
        <v>0</v>
      </c>
      <c r="H2230" s="0" t="s">
        <v>122</v>
      </c>
      <c r="K2230" s="0" t="s">
        <v>118</v>
      </c>
      <c r="L2230" s="0" t="s">
        <v>3683</v>
      </c>
    </row>
    <row r="2231" customFormat="false" ht="15" hidden="false" customHeight="false" outlineLevel="0" collapsed="false">
      <c r="A2231" s="0" t="s">
        <v>3335</v>
      </c>
      <c r="B2231" s="0" t="s">
        <v>154</v>
      </c>
      <c r="C2231" s="0" t="s">
        <v>855</v>
      </c>
      <c r="D2231" s="0" t="s">
        <v>120</v>
      </c>
      <c r="E2231" s="0" t="s">
        <v>1907</v>
      </c>
      <c r="F2231" s="0" t="n">
        <v>4</v>
      </c>
      <c r="G2231" s="0" t="n">
        <v>4</v>
      </c>
      <c r="H2231" s="0" t="s">
        <v>117</v>
      </c>
      <c r="I2231" s="0" t="s">
        <v>3544</v>
      </c>
      <c r="K2231" s="0" t="s">
        <v>123</v>
      </c>
      <c r="L2231" s="0" t="s">
        <v>3684</v>
      </c>
    </row>
    <row r="2232" customFormat="false" ht="15" hidden="false" customHeight="false" outlineLevel="0" collapsed="false">
      <c r="A2232" s="0" t="s">
        <v>3335</v>
      </c>
      <c r="B2232" s="0" t="s">
        <v>154</v>
      </c>
      <c r="C2232" s="0" t="s">
        <v>855</v>
      </c>
      <c r="D2232" s="0" t="s">
        <v>125</v>
      </c>
      <c r="E2232" s="0" t="s">
        <v>1909</v>
      </c>
      <c r="F2232" s="0" t="n">
        <v>4</v>
      </c>
      <c r="G2232" s="0" t="n">
        <v>0</v>
      </c>
      <c r="H2232" s="0" t="s">
        <v>122</v>
      </c>
      <c r="K2232" s="0" t="s">
        <v>127</v>
      </c>
      <c r="L2232" s="0" t="s">
        <v>3685</v>
      </c>
    </row>
    <row r="2233" customFormat="false" ht="15" hidden="false" customHeight="false" outlineLevel="0" collapsed="false">
      <c r="A2233" s="0" t="s">
        <v>3335</v>
      </c>
      <c r="B2233" s="0" t="s">
        <v>154</v>
      </c>
      <c r="C2233" s="0" t="s">
        <v>855</v>
      </c>
      <c r="D2233" s="0" t="s">
        <v>53</v>
      </c>
      <c r="E2233" s="0" t="s">
        <v>1911</v>
      </c>
      <c r="F2233" s="0" t="n">
        <v>4</v>
      </c>
      <c r="G2233" s="0" t="n">
        <v>0</v>
      </c>
      <c r="H2233" s="0" t="s">
        <v>122</v>
      </c>
      <c r="K2233" s="0" t="s">
        <v>132</v>
      </c>
      <c r="L2233" s="0" t="s">
        <v>3686</v>
      </c>
    </row>
    <row r="2234" customFormat="false" ht="15" hidden="false" customHeight="false" outlineLevel="0" collapsed="false">
      <c r="A2234" s="0" t="s">
        <v>3335</v>
      </c>
      <c r="B2234" s="0" t="s">
        <v>154</v>
      </c>
      <c r="C2234" s="0" t="s">
        <v>855</v>
      </c>
      <c r="D2234" s="0" t="s">
        <v>56</v>
      </c>
      <c r="E2234" s="0" t="s">
        <v>1913</v>
      </c>
      <c r="F2234" s="0" t="n">
        <v>4</v>
      </c>
      <c r="G2234" s="0" t="n">
        <v>0</v>
      </c>
      <c r="H2234" s="0" t="s">
        <v>122</v>
      </c>
      <c r="K2234" s="0" t="s">
        <v>135</v>
      </c>
      <c r="L2234" s="0" t="s">
        <v>3687</v>
      </c>
    </row>
    <row r="2235" customFormat="false" ht="15" hidden="false" customHeight="false" outlineLevel="0" collapsed="false">
      <c r="A2235" s="0" t="s">
        <v>3335</v>
      </c>
      <c r="B2235" s="0" t="s">
        <v>154</v>
      </c>
      <c r="C2235" s="0" t="s">
        <v>855</v>
      </c>
      <c r="D2235" s="0" t="s">
        <v>59</v>
      </c>
      <c r="E2235" s="0" t="s">
        <v>1915</v>
      </c>
      <c r="F2235" s="0" t="n">
        <v>4</v>
      </c>
      <c r="G2235" s="0" t="n">
        <v>0</v>
      </c>
      <c r="H2235" s="0" t="s">
        <v>122</v>
      </c>
      <c r="K2235" s="0" t="s">
        <v>138</v>
      </c>
      <c r="L2235" s="0" t="s">
        <v>3688</v>
      </c>
    </row>
    <row r="2236" customFormat="false" ht="15" hidden="false" customHeight="false" outlineLevel="0" collapsed="false">
      <c r="A2236" s="0" t="s">
        <v>3335</v>
      </c>
      <c r="B2236" s="0" t="s">
        <v>154</v>
      </c>
      <c r="C2236" s="0" t="s">
        <v>855</v>
      </c>
      <c r="D2236" s="0" t="s">
        <v>67</v>
      </c>
      <c r="E2236" s="0" t="s">
        <v>1917</v>
      </c>
      <c r="F2236" s="0" t="n">
        <v>4</v>
      </c>
      <c r="G2236" s="0" t="n">
        <v>0</v>
      </c>
      <c r="H2236" s="0" t="s">
        <v>122</v>
      </c>
      <c r="K2236" s="0" t="s">
        <v>143</v>
      </c>
      <c r="L2236" s="0" t="s">
        <v>3689</v>
      </c>
    </row>
    <row r="2237" customFormat="false" ht="15" hidden="false" customHeight="false" outlineLevel="0" collapsed="false">
      <c r="A2237" s="0" t="s">
        <v>3335</v>
      </c>
      <c r="B2237" s="0" t="s">
        <v>154</v>
      </c>
      <c r="C2237" s="0" t="s">
        <v>855</v>
      </c>
      <c r="D2237" s="0" t="s">
        <v>70</v>
      </c>
      <c r="E2237" s="0" t="s">
        <v>1919</v>
      </c>
      <c r="F2237" s="0" t="n">
        <v>4</v>
      </c>
      <c r="G2237" s="0" t="n">
        <v>3</v>
      </c>
      <c r="H2237" s="0" t="s">
        <v>122</v>
      </c>
      <c r="I2237" s="0" t="s">
        <v>3363</v>
      </c>
      <c r="K2237" s="0" t="s">
        <v>146</v>
      </c>
      <c r="L2237" s="0" t="s">
        <v>3690</v>
      </c>
    </row>
    <row r="2238" customFormat="false" ht="15" hidden="false" customHeight="false" outlineLevel="0" collapsed="false">
      <c r="A2238" s="0" t="s">
        <v>3335</v>
      </c>
      <c r="B2238" s="0" t="s">
        <v>154</v>
      </c>
      <c r="C2238" s="0" t="s">
        <v>855</v>
      </c>
      <c r="D2238" s="0" t="s">
        <v>73</v>
      </c>
      <c r="E2238" s="0" t="s">
        <v>1921</v>
      </c>
      <c r="F2238" s="0" t="n">
        <v>4</v>
      </c>
      <c r="G2238" s="0" t="n">
        <v>0</v>
      </c>
      <c r="H2238" s="0" t="s">
        <v>122</v>
      </c>
      <c r="K2238" s="0" t="s">
        <v>149</v>
      </c>
      <c r="L2238" s="0" t="s">
        <v>3691</v>
      </c>
    </row>
    <row r="2239" customFormat="false" ht="15" hidden="false" customHeight="false" outlineLevel="0" collapsed="false">
      <c r="A2239" s="0" t="s">
        <v>3335</v>
      </c>
      <c r="B2239" s="0" t="s">
        <v>154</v>
      </c>
      <c r="C2239" s="0" t="s">
        <v>855</v>
      </c>
      <c r="D2239" s="0" t="s">
        <v>76</v>
      </c>
      <c r="E2239" s="0" t="s">
        <v>1923</v>
      </c>
      <c r="F2239" s="0" t="n">
        <v>4</v>
      </c>
      <c r="G2239" s="0" t="n">
        <v>1</v>
      </c>
      <c r="H2239" s="0" t="s">
        <v>122</v>
      </c>
      <c r="I2239" s="0" t="s">
        <v>3544</v>
      </c>
      <c r="K2239" s="0" t="s">
        <v>152</v>
      </c>
      <c r="L2239" s="0" t="s">
        <v>3692</v>
      </c>
    </row>
    <row r="2240" customFormat="false" ht="15" hidden="false" customHeight="false" outlineLevel="0" collapsed="false">
      <c r="A2240" s="0" t="s">
        <v>3335</v>
      </c>
      <c r="B2240" s="0" t="s">
        <v>154</v>
      </c>
      <c r="C2240" s="0" t="s">
        <v>855</v>
      </c>
      <c r="D2240" s="0" t="s">
        <v>79</v>
      </c>
      <c r="E2240" s="0" t="s">
        <v>1925</v>
      </c>
      <c r="F2240" s="0" t="n">
        <v>4</v>
      </c>
      <c r="G2240" s="0" t="n">
        <v>0</v>
      </c>
      <c r="H2240" s="0" t="s">
        <v>122</v>
      </c>
      <c r="K2240" s="0" t="s">
        <v>156</v>
      </c>
      <c r="L2240" s="0" t="s">
        <v>3693</v>
      </c>
    </row>
    <row r="2241" customFormat="false" ht="15" hidden="false" customHeight="false" outlineLevel="0" collapsed="false">
      <c r="A2241" s="0" t="s">
        <v>3335</v>
      </c>
      <c r="B2241" s="0" t="s">
        <v>154</v>
      </c>
      <c r="C2241" s="0" t="s">
        <v>855</v>
      </c>
      <c r="D2241" s="0" t="s">
        <v>82</v>
      </c>
      <c r="E2241" s="0" t="s">
        <v>1927</v>
      </c>
      <c r="F2241" s="0" t="n">
        <v>4</v>
      </c>
      <c r="G2241" s="0" t="n">
        <v>0</v>
      </c>
      <c r="H2241" s="0" t="s">
        <v>122</v>
      </c>
      <c r="K2241" s="0" t="s">
        <v>160</v>
      </c>
      <c r="L2241" s="0" t="s">
        <v>3694</v>
      </c>
    </row>
    <row r="2242" customFormat="false" ht="15" hidden="false" customHeight="false" outlineLevel="0" collapsed="false">
      <c r="A2242" s="0" t="s">
        <v>3335</v>
      </c>
      <c r="C2242" s="0" t="s">
        <v>881</v>
      </c>
      <c r="D2242" s="0" t="s">
        <v>528</v>
      </c>
      <c r="E2242" s="0" t="s">
        <v>882</v>
      </c>
      <c r="F2242" s="0" t="n">
        <v>4</v>
      </c>
      <c r="G2242" s="0" t="n">
        <v>0</v>
      </c>
      <c r="H2242" s="0" t="s">
        <v>122</v>
      </c>
      <c r="K2242" s="0" t="s">
        <v>118</v>
      </c>
      <c r="L2242" s="0" t="s">
        <v>3695</v>
      </c>
    </row>
    <row r="2243" customFormat="false" ht="15" hidden="false" customHeight="false" outlineLevel="0" collapsed="false">
      <c r="A2243" s="0" t="s">
        <v>3335</v>
      </c>
      <c r="C2243" s="0" t="s">
        <v>881</v>
      </c>
      <c r="D2243" s="0" t="s">
        <v>531</v>
      </c>
      <c r="E2243" s="0" t="s">
        <v>884</v>
      </c>
      <c r="F2243" s="0" t="n">
        <v>4</v>
      </c>
      <c r="G2243" s="0" t="n">
        <v>0</v>
      </c>
      <c r="H2243" s="0" t="s">
        <v>122</v>
      </c>
      <c r="K2243" s="0" t="s">
        <v>123</v>
      </c>
      <c r="L2243" s="0" t="s">
        <v>3696</v>
      </c>
    </row>
    <row r="2244" customFormat="false" ht="15" hidden="false" customHeight="false" outlineLevel="0" collapsed="false">
      <c r="A2244" s="0" t="s">
        <v>3335</v>
      </c>
      <c r="C2244" s="0" t="s">
        <v>881</v>
      </c>
      <c r="D2244" s="0" t="s">
        <v>534</v>
      </c>
      <c r="E2244" s="0" t="s">
        <v>886</v>
      </c>
      <c r="F2244" s="0" t="n">
        <v>4</v>
      </c>
      <c r="G2244" s="0" t="n">
        <v>0</v>
      </c>
      <c r="H2244" s="0" t="s">
        <v>122</v>
      </c>
      <c r="K2244" s="0" t="s">
        <v>127</v>
      </c>
      <c r="L2244" s="0" t="s">
        <v>3697</v>
      </c>
    </row>
    <row r="2245" customFormat="false" ht="15" hidden="false" customHeight="false" outlineLevel="0" collapsed="false">
      <c r="A2245" s="0" t="s">
        <v>3335</v>
      </c>
      <c r="C2245" s="0" t="s">
        <v>881</v>
      </c>
      <c r="D2245" s="0" t="s">
        <v>52</v>
      </c>
      <c r="E2245" s="0" t="s">
        <v>888</v>
      </c>
      <c r="F2245" s="0" t="n">
        <v>4</v>
      </c>
      <c r="G2245" s="0" t="n">
        <v>0</v>
      </c>
      <c r="H2245" s="0" t="s">
        <v>122</v>
      </c>
      <c r="K2245" s="0" t="s">
        <v>132</v>
      </c>
      <c r="L2245" s="0" t="s">
        <v>3698</v>
      </c>
    </row>
    <row r="2246" customFormat="false" ht="15" hidden="false" customHeight="false" outlineLevel="0" collapsed="false">
      <c r="A2246" s="0" t="s">
        <v>3335</v>
      </c>
      <c r="C2246" s="0" t="s">
        <v>881</v>
      </c>
      <c r="D2246" s="0" t="s">
        <v>55</v>
      </c>
      <c r="E2246" s="0" t="s">
        <v>890</v>
      </c>
      <c r="F2246" s="0" t="n">
        <v>4</v>
      </c>
      <c r="G2246" s="0" t="n">
        <v>0</v>
      </c>
      <c r="H2246" s="0" t="s">
        <v>122</v>
      </c>
      <c r="K2246" s="0" t="s">
        <v>135</v>
      </c>
      <c r="L2246" s="0" t="s">
        <v>3699</v>
      </c>
    </row>
    <row r="2247" customFormat="false" ht="15" hidden="false" customHeight="false" outlineLevel="0" collapsed="false">
      <c r="A2247" s="0" t="s">
        <v>3335</v>
      </c>
      <c r="C2247" s="0" t="s">
        <v>881</v>
      </c>
      <c r="D2247" s="0" t="s">
        <v>58</v>
      </c>
      <c r="E2247" s="0" t="s">
        <v>892</v>
      </c>
      <c r="F2247" s="0" t="n">
        <v>4</v>
      </c>
      <c r="G2247" s="0" t="n">
        <v>0</v>
      </c>
      <c r="H2247" s="0" t="s">
        <v>122</v>
      </c>
      <c r="K2247" s="0" t="s">
        <v>138</v>
      </c>
      <c r="L2247" s="0" t="s">
        <v>3700</v>
      </c>
    </row>
    <row r="2248" customFormat="false" ht="15" hidden="false" customHeight="false" outlineLevel="0" collapsed="false">
      <c r="A2248" s="0" t="s">
        <v>3335</v>
      </c>
      <c r="C2248" s="0" t="s">
        <v>881</v>
      </c>
      <c r="D2248" s="0" t="s">
        <v>65</v>
      </c>
      <c r="E2248" s="0" t="s">
        <v>894</v>
      </c>
      <c r="F2248" s="0" t="n">
        <v>4</v>
      </c>
      <c r="G2248" s="0" t="n">
        <v>0</v>
      </c>
      <c r="H2248" s="0" t="s">
        <v>122</v>
      </c>
      <c r="K2248" s="0" t="s">
        <v>143</v>
      </c>
      <c r="L2248" s="0" t="s">
        <v>3701</v>
      </c>
    </row>
    <row r="2249" customFormat="false" ht="15" hidden="false" customHeight="false" outlineLevel="0" collapsed="false">
      <c r="A2249" s="0" t="s">
        <v>3335</v>
      </c>
      <c r="C2249" s="0" t="s">
        <v>881</v>
      </c>
      <c r="D2249" s="0" t="s">
        <v>69</v>
      </c>
      <c r="E2249" s="0" t="s">
        <v>1936</v>
      </c>
      <c r="F2249" s="0" t="n">
        <v>4</v>
      </c>
      <c r="G2249" s="0" t="n">
        <v>0</v>
      </c>
      <c r="H2249" s="0" t="s">
        <v>122</v>
      </c>
      <c r="K2249" s="0" t="s">
        <v>146</v>
      </c>
      <c r="L2249" s="0" t="s">
        <v>3702</v>
      </c>
    </row>
    <row r="2250" customFormat="false" ht="15" hidden="false" customHeight="false" outlineLevel="0" collapsed="false">
      <c r="A2250" s="0" t="s">
        <v>3335</v>
      </c>
      <c r="C2250" s="0" t="s">
        <v>881</v>
      </c>
      <c r="D2250" s="0" t="s">
        <v>72</v>
      </c>
      <c r="E2250" s="0" t="s">
        <v>1938</v>
      </c>
      <c r="F2250" s="0" t="n">
        <v>4</v>
      </c>
      <c r="G2250" s="0" t="n">
        <v>0</v>
      </c>
      <c r="H2250" s="0" t="s">
        <v>122</v>
      </c>
      <c r="K2250" s="0" t="s">
        <v>149</v>
      </c>
      <c r="L2250" s="0" t="s">
        <v>3703</v>
      </c>
    </row>
    <row r="2251" customFormat="false" ht="15" hidden="false" customHeight="false" outlineLevel="0" collapsed="false">
      <c r="A2251" s="0" t="s">
        <v>3335</v>
      </c>
      <c r="C2251" s="0" t="s">
        <v>881</v>
      </c>
      <c r="D2251" s="0" t="s">
        <v>75</v>
      </c>
      <c r="E2251" s="0" t="s">
        <v>2580</v>
      </c>
      <c r="F2251" s="0" t="n">
        <v>4</v>
      </c>
      <c r="G2251" s="0" t="n">
        <v>0</v>
      </c>
      <c r="H2251" s="0" t="s">
        <v>122</v>
      </c>
      <c r="K2251" s="0" t="s">
        <v>152</v>
      </c>
      <c r="L2251" s="0" t="s">
        <v>3704</v>
      </c>
    </row>
    <row r="2252" customFormat="false" ht="15" hidden="false" customHeight="false" outlineLevel="0" collapsed="false">
      <c r="A2252" s="0" t="s">
        <v>3335</v>
      </c>
      <c r="C2252" s="0" t="s">
        <v>881</v>
      </c>
      <c r="D2252" s="0" t="s">
        <v>78</v>
      </c>
      <c r="E2252" s="0" t="s">
        <v>3705</v>
      </c>
      <c r="F2252" s="0" t="n">
        <v>4</v>
      </c>
      <c r="G2252" s="0" t="n">
        <v>0</v>
      </c>
      <c r="H2252" s="0" t="s">
        <v>122</v>
      </c>
      <c r="K2252" s="0" t="s">
        <v>156</v>
      </c>
      <c r="L2252" s="0" t="s">
        <v>3706</v>
      </c>
    </row>
    <row r="2253" customFormat="false" ht="15" hidden="false" customHeight="false" outlineLevel="0" collapsed="false">
      <c r="A2253" s="0" t="s">
        <v>3335</v>
      </c>
      <c r="C2253" s="0" t="s">
        <v>881</v>
      </c>
      <c r="D2253" s="0" t="s">
        <v>81</v>
      </c>
      <c r="E2253" s="0" t="s">
        <v>1943</v>
      </c>
      <c r="F2253" s="0" t="n">
        <v>4</v>
      </c>
      <c r="G2253" s="0" t="n">
        <v>0</v>
      </c>
      <c r="H2253" s="0" t="s">
        <v>122</v>
      </c>
      <c r="K2253" s="0" t="s">
        <v>160</v>
      </c>
      <c r="L2253" s="0" t="s">
        <v>3707</v>
      </c>
    </row>
    <row r="2254" customFormat="false" ht="15" hidden="false" customHeight="false" outlineLevel="0" collapsed="false">
      <c r="A2254" s="0" t="s">
        <v>3335</v>
      </c>
      <c r="C2254" s="0" t="s">
        <v>906</v>
      </c>
      <c r="D2254" s="0" t="s">
        <v>528</v>
      </c>
      <c r="E2254" s="0" t="s">
        <v>907</v>
      </c>
      <c r="F2254" s="0" t="n">
        <v>4</v>
      </c>
      <c r="G2254" s="0" t="n">
        <v>0</v>
      </c>
      <c r="H2254" s="0" t="s">
        <v>122</v>
      </c>
      <c r="K2254" s="0" t="s">
        <v>118</v>
      </c>
      <c r="L2254" s="0" t="s">
        <v>3708</v>
      </c>
    </row>
    <row r="2255" customFormat="false" ht="15" hidden="false" customHeight="false" outlineLevel="0" collapsed="false">
      <c r="A2255" s="0" t="s">
        <v>3335</v>
      </c>
      <c r="C2255" s="0" t="s">
        <v>906</v>
      </c>
      <c r="D2255" s="0" t="s">
        <v>531</v>
      </c>
      <c r="E2255" s="0" t="s">
        <v>909</v>
      </c>
      <c r="F2255" s="0" t="n">
        <v>4</v>
      </c>
      <c r="G2255" s="0" t="n">
        <v>0</v>
      </c>
      <c r="H2255" s="0" t="s">
        <v>122</v>
      </c>
      <c r="K2255" s="0" t="s">
        <v>123</v>
      </c>
      <c r="L2255" s="0" t="s">
        <v>3709</v>
      </c>
    </row>
    <row r="2256" customFormat="false" ht="15" hidden="false" customHeight="false" outlineLevel="0" collapsed="false">
      <c r="A2256" s="0" t="s">
        <v>3335</v>
      </c>
      <c r="C2256" s="0" t="s">
        <v>906</v>
      </c>
      <c r="D2256" s="0" t="s">
        <v>534</v>
      </c>
      <c r="E2256" s="0" t="s">
        <v>911</v>
      </c>
      <c r="F2256" s="0" t="n">
        <v>4</v>
      </c>
      <c r="G2256" s="0" t="n">
        <v>0</v>
      </c>
      <c r="H2256" s="0" t="s">
        <v>122</v>
      </c>
      <c r="K2256" s="0" t="s">
        <v>127</v>
      </c>
      <c r="L2256" s="0" t="s">
        <v>3710</v>
      </c>
    </row>
    <row r="2257" customFormat="false" ht="15" hidden="false" customHeight="false" outlineLevel="0" collapsed="false">
      <c r="A2257" s="0" t="s">
        <v>3335</v>
      </c>
      <c r="C2257" s="0" t="s">
        <v>906</v>
      </c>
      <c r="D2257" s="0" t="s">
        <v>52</v>
      </c>
      <c r="E2257" s="0" t="s">
        <v>913</v>
      </c>
      <c r="F2257" s="0" t="n">
        <v>4</v>
      </c>
      <c r="G2257" s="0" t="n">
        <v>0</v>
      </c>
      <c r="H2257" s="0" t="s">
        <v>122</v>
      </c>
      <c r="K2257" s="0" t="s">
        <v>132</v>
      </c>
      <c r="L2257" s="0" t="s">
        <v>3711</v>
      </c>
    </row>
    <row r="2258" customFormat="false" ht="15" hidden="false" customHeight="false" outlineLevel="0" collapsed="false">
      <c r="A2258" s="0" t="s">
        <v>3335</v>
      </c>
      <c r="C2258" s="0" t="s">
        <v>906</v>
      </c>
      <c r="D2258" s="0" t="s">
        <v>55</v>
      </c>
      <c r="E2258" s="0" t="s">
        <v>915</v>
      </c>
      <c r="F2258" s="0" t="n">
        <v>4</v>
      </c>
      <c r="G2258" s="0" t="n">
        <v>0</v>
      </c>
      <c r="H2258" s="0" t="s">
        <v>122</v>
      </c>
      <c r="K2258" s="0" t="s">
        <v>135</v>
      </c>
      <c r="L2258" s="0" t="s">
        <v>3712</v>
      </c>
    </row>
    <row r="2259" customFormat="false" ht="15" hidden="false" customHeight="false" outlineLevel="0" collapsed="false">
      <c r="A2259" s="0" t="s">
        <v>3335</v>
      </c>
      <c r="C2259" s="0" t="s">
        <v>906</v>
      </c>
      <c r="D2259" s="0" t="s">
        <v>58</v>
      </c>
      <c r="E2259" s="0" t="s">
        <v>917</v>
      </c>
      <c r="F2259" s="0" t="n">
        <v>4</v>
      </c>
      <c r="G2259" s="0" t="n">
        <v>0</v>
      </c>
      <c r="H2259" s="0" t="s">
        <v>122</v>
      </c>
      <c r="K2259" s="0" t="s">
        <v>138</v>
      </c>
      <c r="L2259" s="0" t="s">
        <v>3713</v>
      </c>
    </row>
    <row r="2260" customFormat="false" ht="15" hidden="false" customHeight="false" outlineLevel="0" collapsed="false">
      <c r="A2260" s="0" t="s">
        <v>3335</v>
      </c>
      <c r="C2260" s="0" t="s">
        <v>906</v>
      </c>
      <c r="D2260" s="0" t="s">
        <v>65</v>
      </c>
      <c r="E2260" s="0" t="s">
        <v>919</v>
      </c>
      <c r="F2260" s="0" t="n">
        <v>4</v>
      </c>
      <c r="G2260" s="0" t="n">
        <v>0</v>
      </c>
      <c r="H2260" s="0" t="s">
        <v>122</v>
      </c>
      <c r="K2260" s="0" t="s">
        <v>143</v>
      </c>
      <c r="L2260" s="0" t="s">
        <v>3714</v>
      </c>
    </row>
    <row r="2261" customFormat="false" ht="15" hidden="false" customHeight="false" outlineLevel="0" collapsed="false">
      <c r="A2261" s="0" t="s">
        <v>3335</v>
      </c>
      <c r="C2261" s="0" t="s">
        <v>906</v>
      </c>
      <c r="D2261" s="0" t="s">
        <v>69</v>
      </c>
      <c r="E2261" s="0" t="s">
        <v>1952</v>
      </c>
      <c r="F2261" s="0" t="n">
        <v>4</v>
      </c>
      <c r="G2261" s="0" t="n">
        <v>0</v>
      </c>
      <c r="H2261" s="0" t="s">
        <v>122</v>
      </c>
      <c r="K2261" s="0" t="s">
        <v>146</v>
      </c>
      <c r="L2261" s="0" t="s">
        <v>3715</v>
      </c>
    </row>
    <row r="2262" customFormat="false" ht="15" hidden="false" customHeight="false" outlineLevel="0" collapsed="false">
      <c r="A2262" s="0" t="s">
        <v>3335</v>
      </c>
      <c r="C2262" s="0" t="s">
        <v>906</v>
      </c>
      <c r="D2262" s="0" t="s">
        <v>72</v>
      </c>
      <c r="E2262" s="0" t="s">
        <v>923</v>
      </c>
      <c r="F2262" s="0" t="n">
        <v>4</v>
      </c>
      <c r="G2262" s="0" t="n">
        <v>0</v>
      </c>
      <c r="H2262" s="0" t="s">
        <v>122</v>
      </c>
      <c r="K2262" s="0" t="s">
        <v>149</v>
      </c>
      <c r="L2262" s="0" t="s">
        <v>3716</v>
      </c>
    </row>
    <row r="2263" customFormat="false" ht="15" hidden="false" customHeight="false" outlineLevel="0" collapsed="false">
      <c r="A2263" s="0" t="s">
        <v>3335</v>
      </c>
      <c r="C2263" s="0" t="s">
        <v>906</v>
      </c>
      <c r="D2263" s="0" t="s">
        <v>75</v>
      </c>
      <c r="E2263" s="0" t="s">
        <v>1956</v>
      </c>
      <c r="F2263" s="0" t="n">
        <v>4</v>
      </c>
      <c r="G2263" s="0" t="n">
        <v>0</v>
      </c>
      <c r="H2263" s="0" t="s">
        <v>122</v>
      </c>
      <c r="K2263" s="0" t="s">
        <v>152</v>
      </c>
      <c r="L2263" s="0" t="s">
        <v>3717</v>
      </c>
    </row>
    <row r="2264" customFormat="false" ht="15" hidden="false" customHeight="false" outlineLevel="0" collapsed="false">
      <c r="A2264" s="0" t="s">
        <v>3335</v>
      </c>
      <c r="C2264" s="0" t="s">
        <v>906</v>
      </c>
      <c r="D2264" s="0" t="s">
        <v>78</v>
      </c>
      <c r="E2264" s="0" t="s">
        <v>3718</v>
      </c>
      <c r="F2264" s="0" t="n">
        <v>4</v>
      </c>
      <c r="G2264" s="0" t="n">
        <v>0</v>
      </c>
      <c r="H2264" s="0" t="s">
        <v>122</v>
      </c>
      <c r="K2264" s="0" t="s">
        <v>156</v>
      </c>
      <c r="L2264" s="0" t="s">
        <v>3719</v>
      </c>
    </row>
    <row r="2265" customFormat="false" ht="15" hidden="false" customHeight="false" outlineLevel="0" collapsed="false">
      <c r="A2265" s="0" t="s">
        <v>3335</v>
      </c>
      <c r="C2265" s="0" t="s">
        <v>906</v>
      </c>
      <c r="D2265" s="0" t="s">
        <v>81</v>
      </c>
      <c r="E2265" s="0" t="s">
        <v>3720</v>
      </c>
      <c r="F2265" s="0" t="n">
        <v>4</v>
      </c>
      <c r="G2265" s="0" t="n">
        <v>0</v>
      </c>
      <c r="H2265" s="0" t="s">
        <v>122</v>
      </c>
      <c r="K2265" s="0" t="s">
        <v>160</v>
      </c>
      <c r="L2265" s="0" t="s">
        <v>3721</v>
      </c>
    </row>
    <row r="2266" customFormat="false" ht="15" hidden="false" customHeight="false" outlineLevel="0" collapsed="false">
      <c r="A2266" s="0" t="s">
        <v>3335</v>
      </c>
      <c r="C2266" s="0" t="s">
        <v>931</v>
      </c>
      <c r="D2266" s="0" t="s">
        <v>528</v>
      </c>
      <c r="E2266" s="0" t="s">
        <v>932</v>
      </c>
      <c r="F2266" s="0" t="n">
        <v>4</v>
      </c>
      <c r="G2266" s="0" t="n">
        <v>0</v>
      </c>
      <c r="H2266" s="0" t="s">
        <v>122</v>
      </c>
      <c r="K2266" s="0" t="s">
        <v>118</v>
      </c>
      <c r="L2266" s="0" t="s">
        <v>3722</v>
      </c>
    </row>
    <row r="2267" customFormat="false" ht="15" hidden="false" customHeight="false" outlineLevel="0" collapsed="false">
      <c r="A2267" s="0" t="s">
        <v>3335</v>
      </c>
      <c r="C2267" s="0" t="s">
        <v>931</v>
      </c>
      <c r="D2267" s="0" t="s">
        <v>531</v>
      </c>
      <c r="E2267" s="0" t="s">
        <v>934</v>
      </c>
      <c r="F2267" s="0" t="n">
        <v>4</v>
      </c>
      <c r="G2267" s="0" t="n">
        <v>0</v>
      </c>
      <c r="H2267" s="0" t="s">
        <v>122</v>
      </c>
      <c r="K2267" s="0" t="s">
        <v>123</v>
      </c>
      <c r="L2267" s="0" t="s">
        <v>3723</v>
      </c>
    </row>
    <row r="2268" customFormat="false" ht="15" hidden="false" customHeight="false" outlineLevel="0" collapsed="false">
      <c r="A2268" s="0" t="s">
        <v>3335</v>
      </c>
      <c r="C2268" s="0" t="s">
        <v>931</v>
      </c>
      <c r="D2268" s="0" t="s">
        <v>534</v>
      </c>
      <c r="E2268" s="0" t="s">
        <v>936</v>
      </c>
      <c r="F2268" s="0" t="n">
        <v>4</v>
      </c>
      <c r="G2268" s="0" t="n">
        <v>0</v>
      </c>
      <c r="H2268" s="0" t="s">
        <v>122</v>
      </c>
      <c r="K2268" s="0" t="s">
        <v>127</v>
      </c>
      <c r="L2268" s="0" t="s">
        <v>3724</v>
      </c>
    </row>
    <row r="2269" customFormat="false" ht="15" hidden="false" customHeight="false" outlineLevel="0" collapsed="false">
      <c r="A2269" s="0" t="s">
        <v>3335</v>
      </c>
      <c r="C2269" s="0" t="s">
        <v>931</v>
      </c>
      <c r="D2269" s="0" t="s">
        <v>52</v>
      </c>
      <c r="E2269" s="0" t="s">
        <v>938</v>
      </c>
      <c r="F2269" s="0" t="n">
        <v>4</v>
      </c>
      <c r="G2269" s="0" t="n">
        <v>0</v>
      </c>
      <c r="H2269" s="0" t="s">
        <v>122</v>
      </c>
      <c r="K2269" s="0" t="s">
        <v>132</v>
      </c>
      <c r="L2269" s="0" t="s">
        <v>3725</v>
      </c>
    </row>
    <row r="2270" customFormat="false" ht="15" hidden="false" customHeight="false" outlineLevel="0" collapsed="false">
      <c r="A2270" s="0" t="s">
        <v>3335</v>
      </c>
      <c r="C2270" s="0" t="s">
        <v>931</v>
      </c>
      <c r="D2270" s="0" t="s">
        <v>55</v>
      </c>
      <c r="E2270" s="0" t="s">
        <v>940</v>
      </c>
      <c r="F2270" s="0" t="n">
        <v>4</v>
      </c>
      <c r="G2270" s="0" t="n">
        <v>0</v>
      </c>
      <c r="H2270" s="0" t="s">
        <v>122</v>
      </c>
      <c r="K2270" s="0" t="s">
        <v>135</v>
      </c>
      <c r="L2270" s="0" t="s">
        <v>3726</v>
      </c>
    </row>
    <row r="2271" customFormat="false" ht="15" hidden="false" customHeight="false" outlineLevel="0" collapsed="false">
      <c r="A2271" s="0" t="s">
        <v>3335</v>
      </c>
      <c r="C2271" s="0" t="s">
        <v>931</v>
      </c>
      <c r="D2271" s="0" t="s">
        <v>58</v>
      </c>
      <c r="E2271" s="0" t="s">
        <v>942</v>
      </c>
      <c r="F2271" s="0" t="n">
        <v>4</v>
      </c>
      <c r="G2271" s="0" t="n">
        <v>0</v>
      </c>
      <c r="H2271" s="0" t="s">
        <v>122</v>
      </c>
      <c r="K2271" s="0" t="s">
        <v>138</v>
      </c>
      <c r="L2271" s="0" t="s">
        <v>3727</v>
      </c>
    </row>
    <row r="2272" customFormat="false" ht="15" hidden="false" customHeight="false" outlineLevel="0" collapsed="false">
      <c r="A2272" s="0" t="s">
        <v>3335</v>
      </c>
      <c r="C2272" s="0" t="s">
        <v>931</v>
      </c>
      <c r="D2272" s="0" t="s">
        <v>65</v>
      </c>
      <c r="E2272" s="0" t="s">
        <v>1966</v>
      </c>
      <c r="F2272" s="0" t="n">
        <v>4</v>
      </c>
      <c r="G2272" s="0" t="n">
        <v>0</v>
      </c>
      <c r="H2272" s="0" t="s">
        <v>122</v>
      </c>
      <c r="K2272" s="0" t="s">
        <v>143</v>
      </c>
      <c r="L2272" s="0" t="s">
        <v>3728</v>
      </c>
    </row>
    <row r="2273" customFormat="false" ht="15" hidden="false" customHeight="false" outlineLevel="0" collapsed="false">
      <c r="A2273" s="0" t="s">
        <v>3335</v>
      </c>
      <c r="C2273" s="0" t="s">
        <v>931</v>
      </c>
      <c r="D2273" s="0" t="s">
        <v>69</v>
      </c>
      <c r="E2273" s="0" t="s">
        <v>946</v>
      </c>
      <c r="F2273" s="0" t="n">
        <v>4</v>
      </c>
      <c r="G2273" s="0" t="n">
        <v>0</v>
      </c>
      <c r="H2273" s="0" t="s">
        <v>122</v>
      </c>
      <c r="K2273" s="0" t="s">
        <v>146</v>
      </c>
      <c r="L2273" s="0" t="s">
        <v>3729</v>
      </c>
    </row>
    <row r="2274" customFormat="false" ht="15" hidden="false" customHeight="false" outlineLevel="0" collapsed="false">
      <c r="A2274" s="0" t="s">
        <v>3335</v>
      </c>
      <c r="C2274" s="0" t="s">
        <v>931</v>
      </c>
      <c r="D2274" s="0" t="s">
        <v>72</v>
      </c>
      <c r="E2274" s="0" t="s">
        <v>948</v>
      </c>
      <c r="F2274" s="0" t="n">
        <v>4</v>
      </c>
      <c r="G2274" s="0" t="n">
        <v>0</v>
      </c>
      <c r="H2274" s="0" t="s">
        <v>122</v>
      </c>
      <c r="K2274" s="0" t="s">
        <v>149</v>
      </c>
      <c r="L2274" s="0" t="s">
        <v>3730</v>
      </c>
    </row>
    <row r="2275" customFormat="false" ht="15" hidden="false" customHeight="false" outlineLevel="0" collapsed="false">
      <c r="A2275" s="0" t="s">
        <v>3335</v>
      </c>
      <c r="C2275" s="0" t="s">
        <v>931</v>
      </c>
      <c r="D2275" s="0" t="s">
        <v>75</v>
      </c>
      <c r="E2275" s="0" t="s">
        <v>3731</v>
      </c>
      <c r="F2275" s="0" t="n">
        <v>4</v>
      </c>
      <c r="G2275" s="0" t="n">
        <v>0</v>
      </c>
      <c r="H2275" s="0" t="s">
        <v>122</v>
      </c>
      <c r="K2275" s="0" t="s">
        <v>152</v>
      </c>
      <c r="L2275" s="0" t="s">
        <v>3732</v>
      </c>
    </row>
    <row r="2276" customFormat="false" ht="15" hidden="false" customHeight="false" outlineLevel="0" collapsed="false">
      <c r="A2276" s="0" t="s">
        <v>3335</v>
      </c>
      <c r="C2276" s="0" t="s">
        <v>931</v>
      </c>
      <c r="D2276" s="0" t="s">
        <v>78</v>
      </c>
      <c r="E2276" s="0" t="s">
        <v>1972</v>
      </c>
      <c r="F2276" s="0" t="n">
        <v>4</v>
      </c>
      <c r="G2276" s="0" t="n">
        <v>0</v>
      </c>
      <c r="H2276" s="0" t="s">
        <v>122</v>
      </c>
      <c r="K2276" s="0" t="s">
        <v>156</v>
      </c>
      <c r="L2276" s="0" t="s">
        <v>3733</v>
      </c>
    </row>
    <row r="2277" customFormat="false" ht="15" hidden="false" customHeight="false" outlineLevel="0" collapsed="false">
      <c r="A2277" s="0" t="s">
        <v>3335</v>
      </c>
      <c r="C2277" s="0" t="s">
        <v>931</v>
      </c>
      <c r="D2277" s="0" t="s">
        <v>81</v>
      </c>
      <c r="E2277" s="0" t="s">
        <v>2615</v>
      </c>
      <c r="F2277" s="0" t="n">
        <v>4</v>
      </c>
      <c r="G2277" s="0" t="n">
        <v>0</v>
      </c>
      <c r="H2277" s="0" t="s">
        <v>122</v>
      </c>
      <c r="K2277" s="0" t="s">
        <v>160</v>
      </c>
      <c r="L2277" s="0" t="s">
        <v>3734</v>
      </c>
    </row>
    <row r="2278" customFormat="false" ht="15" hidden="false" customHeight="false" outlineLevel="0" collapsed="false">
      <c r="A2278" s="0" t="s">
        <v>3335</v>
      </c>
      <c r="C2278" s="0" t="s">
        <v>956</v>
      </c>
      <c r="D2278" s="0" t="s">
        <v>528</v>
      </c>
      <c r="E2278" s="0" t="s">
        <v>957</v>
      </c>
      <c r="F2278" s="0" t="n">
        <v>4</v>
      </c>
      <c r="G2278" s="0" t="n">
        <v>0</v>
      </c>
      <c r="H2278" s="0" t="s">
        <v>122</v>
      </c>
      <c r="K2278" s="0" t="s">
        <v>118</v>
      </c>
      <c r="L2278" s="0" t="s">
        <v>3735</v>
      </c>
    </row>
    <row r="2279" customFormat="false" ht="15" hidden="false" customHeight="false" outlineLevel="0" collapsed="false">
      <c r="A2279" s="0" t="s">
        <v>3335</v>
      </c>
      <c r="C2279" s="0" t="s">
        <v>956</v>
      </c>
      <c r="D2279" s="0" t="s">
        <v>531</v>
      </c>
      <c r="E2279" s="0" t="s">
        <v>959</v>
      </c>
      <c r="F2279" s="0" t="n">
        <v>4</v>
      </c>
      <c r="G2279" s="0" t="n">
        <v>0</v>
      </c>
      <c r="H2279" s="0" t="s">
        <v>122</v>
      </c>
      <c r="K2279" s="0" t="s">
        <v>123</v>
      </c>
      <c r="L2279" s="0" t="s">
        <v>3736</v>
      </c>
    </row>
    <row r="2280" customFormat="false" ht="15" hidden="false" customHeight="false" outlineLevel="0" collapsed="false">
      <c r="A2280" s="0" t="s">
        <v>3335</v>
      </c>
      <c r="C2280" s="0" t="s">
        <v>956</v>
      </c>
      <c r="D2280" s="0" t="s">
        <v>534</v>
      </c>
      <c r="E2280" s="0" t="s">
        <v>961</v>
      </c>
      <c r="F2280" s="0" t="n">
        <v>4</v>
      </c>
      <c r="G2280" s="0" t="n">
        <v>0</v>
      </c>
      <c r="H2280" s="0" t="s">
        <v>122</v>
      </c>
      <c r="K2280" s="0" t="s">
        <v>127</v>
      </c>
      <c r="L2280" s="0" t="s">
        <v>3737</v>
      </c>
    </row>
    <row r="2281" customFormat="false" ht="15" hidden="false" customHeight="false" outlineLevel="0" collapsed="false">
      <c r="A2281" s="0" t="s">
        <v>3335</v>
      </c>
      <c r="C2281" s="0" t="s">
        <v>956</v>
      </c>
      <c r="D2281" s="0" t="s">
        <v>52</v>
      </c>
      <c r="E2281" s="0" t="s">
        <v>963</v>
      </c>
      <c r="F2281" s="0" t="n">
        <v>4</v>
      </c>
      <c r="G2281" s="0" t="n">
        <v>0</v>
      </c>
      <c r="H2281" s="0" t="s">
        <v>122</v>
      </c>
      <c r="K2281" s="0" t="s">
        <v>132</v>
      </c>
      <c r="L2281" s="0" t="s">
        <v>3738</v>
      </c>
    </row>
    <row r="2282" customFormat="false" ht="15" hidden="false" customHeight="false" outlineLevel="0" collapsed="false">
      <c r="A2282" s="0" t="s">
        <v>3335</v>
      </c>
      <c r="C2282" s="0" t="s">
        <v>956</v>
      </c>
      <c r="D2282" s="0" t="s">
        <v>55</v>
      </c>
      <c r="E2282" s="0" t="s">
        <v>965</v>
      </c>
      <c r="F2282" s="0" t="n">
        <v>4</v>
      </c>
      <c r="G2282" s="0" t="n">
        <v>0</v>
      </c>
      <c r="H2282" s="0" t="s">
        <v>122</v>
      </c>
      <c r="K2282" s="0" t="s">
        <v>135</v>
      </c>
      <c r="L2282" s="0" t="s">
        <v>3739</v>
      </c>
    </row>
    <row r="2283" customFormat="false" ht="15" hidden="false" customHeight="false" outlineLevel="0" collapsed="false">
      <c r="A2283" s="0" t="s">
        <v>3335</v>
      </c>
      <c r="C2283" s="0" t="s">
        <v>956</v>
      </c>
      <c r="D2283" s="0" t="s">
        <v>58</v>
      </c>
      <c r="E2283" s="0" t="s">
        <v>967</v>
      </c>
      <c r="F2283" s="0" t="n">
        <v>4</v>
      </c>
      <c r="G2283" s="0" t="n">
        <v>0</v>
      </c>
      <c r="H2283" s="0" t="s">
        <v>122</v>
      </c>
      <c r="K2283" s="0" t="s">
        <v>138</v>
      </c>
      <c r="L2283" s="0" t="s">
        <v>3740</v>
      </c>
    </row>
    <row r="2284" customFormat="false" ht="15" hidden="false" customHeight="false" outlineLevel="0" collapsed="false">
      <c r="A2284" s="0" t="s">
        <v>3335</v>
      </c>
      <c r="C2284" s="0" t="s">
        <v>956</v>
      </c>
      <c r="D2284" s="0" t="s">
        <v>65</v>
      </c>
      <c r="E2284" s="0" t="s">
        <v>2624</v>
      </c>
      <c r="F2284" s="0" t="n">
        <v>4</v>
      </c>
      <c r="G2284" s="0" t="n">
        <v>0</v>
      </c>
      <c r="H2284" s="0" t="s">
        <v>122</v>
      </c>
      <c r="K2284" s="0" t="s">
        <v>143</v>
      </c>
      <c r="L2284" s="0" t="s">
        <v>3741</v>
      </c>
    </row>
    <row r="2285" customFormat="false" ht="15" hidden="false" customHeight="false" outlineLevel="0" collapsed="false">
      <c r="A2285" s="0" t="s">
        <v>3335</v>
      </c>
      <c r="C2285" s="0" t="s">
        <v>956</v>
      </c>
      <c r="D2285" s="0" t="s">
        <v>69</v>
      </c>
      <c r="E2285" s="0" t="s">
        <v>1982</v>
      </c>
      <c r="F2285" s="0" t="n">
        <v>4</v>
      </c>
      <c r="G2285" s="0" t="n">
        <v>0</v>
      </c>
      <c r="H2285" s="0" t="s">
        <v>122</v>
      </c>
      <c r="K2285" s="0" t="s">
        <v>146</v>
      </c>
      <c r="L2285" s="0" t="s">
        <v>3742</v>
      </c>
    </row>
    <row r="2286" customFormat="false" ht="15" hidden="false" customHeight="false" outlineLevel="0" collapsed="false">
      <c r="A2286" s="0" t="s">
        <v>3335</v>
      </c>
      <c r="C2286" s="0" t="s">
        <v>956</v>
      </c>
      <c r="D2286" s="0" t="s">
        <v>72</v>
      </c>
      <c r="E2286" s="0" t="s">
        <v>973</v>
      </c>
      <c r="F2286" s="0" t="n">
        <v>4</v>
      </c>
      <c r="G2286" s="0" t="n">
        <v>0</v>
      </c>
      <c r="H2286" s="0" t="s">
        <v>122</v>
      </c>
      <c r="K2286" s="0" t="s">
        <v>149</v>
      </c>
      <c r="L2286" s="0" t="s">
        <v>3743</v>
      </c>
    </row>
    <row r="2287" customFormat="false" ht="15" hidden="false" customHeight="false" outlineLevel="0" collapsed="false">
      <c r="A2287" s="0" t="s">
        <v>3335</v>
      </c>
      <c r="C2287" s="0" t="s">
        <v>956</v>
      </c>
      <c r="D2287" s="0" t="s">
        <v>75</v>
      </c>
      <c r="E2287" s="0" t="s">
        <v>1985</v>
      </c>
      <c r="F2287" s="0" t="n">
        <v>4</v>
      </c>
      <c r="G2287" s="0" t="n">
        <v>0</v>
      </c>
      <c r="H2287" s="0" t="s">
        <v>122</v>
      </c>
      <c r="K2287" s="0" t="s">
        <v>152</v>
      </c>
      <c r="L2287" s="0" t="s">
        <v>3744</v>
      </c>
    </row>
    <row r="2288" customFormat="false" ht="15" hidden="false" customHeight="false" outlineLevel="0" collapsed="false">
      <c r="A2288" s="0" t="s">
        <v>3335</v>
      </c>
      <c r="C2288" s="0" t="s">
        <v>956</v>
      </c>
      <c r="D2288" s="0" t="s">
        <v>78</v>
      </c>
      <c r="E2288" s="0" t="s">
        <v>1987</v>
      </c>
      <c r="F2288" s="0" t="n">
        <v>4</v>
      </c>
      <c r="G2288" s="0" t="n">
        <v>0</v>
      </c>
      <c r="H2288" s="0" t="s">
        <v>122</v>
      </c>
      <c r="K2288" s="0" t="s">
        <v>156</v>
      </c>
      <c r="L2288" s="0" t="s">
        <v>3745</v>
      </c>
    </row>
    <row r="2289" customFormat="false" ht="15" hidden="false" customHeight="false" outlineLevel="0" collapsed="false">
      <c r="A2289" s="0" t="s">
        <v>3335</v>
      </c>
      <c r="C2289" s="0" t="s">
        <v>956</v>
      </c>
      <c r="D2289" s="0" t="s">
        <v>81</v>
      </c>
      <c r="E2289" s="0" t="s">
        <v>1989</v>
      </c>
      <c r="F2289" s="0" t="n">
        <v>4</v>
      </c>
      <c r="G2289" s="0" t="n">
        <v>0</v>
      </c>
      <c r="H2289" s="0" t="s">
        <v>122</v>
      </c>
      <c r="K2289" s="0" t="s">
        <v>160</v>
      </c>
      <c r="L2289" s="0" t="s">
        <v>3746</v>
      </c>
    </row>
    <row r="2290" customFormat="false" ht="15" hidden="false" customHeight="false" outlineLevel="0" collapsed="false">
      <c r="A2290" s="0" t="s">
        <v>3335</v>
      </c>
      <c r="C2290" s="0" t="s">
        <v>981</v>
      </c>
      <c r="D2290" s="0" t="s">
        <v>528</v>
      </c>
      <c r="E2290" s="0" t="s">
        <v>982</v>
      </c>
      <c r="F2290" s="0" t="n">
        <v>4</v>
      </c>
      <c r="G2290" s="0" t="n">
        <v>0</v>
      </c>
      <c r="H2290" s="0" t="s">
        <v>122</v>
      </c>
      <c r="K2290" s="0" t="s">
        <v>118</v>
      </c>
      <c r="L2290" s="0" t="s">
        <v>3747</v>
      </c>
    </row>
    <row r="2291" customFormat="false" ht="15" hidden="false" customHeight="false" outlineLevel="0" collapsed="false">
      <c r="A2291" s="0" t="s">
        <v>3335</v>
      </c>
      <c r="C2291" s="0" t="s">
        <v>981</v>
      </c>
      <c r="D2291" s="0" t="s">
        <v>531</v>
      </c>
      <c r="E2291" s="0" t="s">
        <v>984</v>
      </c>
      <c r="F2291" s="0" t="n">
        <v>4</v>
      </c>
      <c r="G2291" s="0" t="n">
        <v>0</v>
      </c>
      <c r="H2291" s="0" t="s">
        <v>122</v>
      </c>
      <c r="K2291" s="0" t="s">
        <v>123</v>
      </c>
      <c r="L2291" s="0" t="s">
        <v>3748</v>
      </c>
    </row>
    <row r="2292" customFormat="false" ht="15" hidden="false" customHeight="false" outlineLevel="0" collapsed="false">
      <c r="A2292" s="0" t="s">
        <v>3335</v>
      </c>
      <c r="C2292" s="0" t="s">
        <v>981</v>
      </c>
      <c r="D2292" s="0" t="s">
        <v>534</v>
      </c>
      <c r="E2292" s="0" t="s">
        <v>986</v>
      </c>
      <c r="F2292" s="0" t="n">
        <v>4</v>
      </c>
      <c r="G2292" s="0" t="n">
        <v>0</v>
      </c>
      <c r="H2292" s="0" t="s">
        <v>122</v>
      </c>
      <c r="K2292" s="0" t="s">
        <v>127</v>
      </c>
      <c r="L2292" s="0" t="s">
        <v>3749</v>
      </c>
    </row>
    <row r="2293" customFormat="false" ht="15" hidden="false" customHeight="false" outlineLevel="0" collapsed="false">
      <c r="A2293" s="0" t="s">
        <v>3335</v>
      </c>
      <c r="C2293" s="0" t="s">
        <v>981</v>
      </c>
      <c r="D2293" s="0" t="s">
        <v>52</v>
      </c>
      <c r="E2293" s="0" t="s">
        <v>988</v>
      </c>
      <c r="F2293" s="0" t="n">
        <v>4</v>
      </c>
      <c r="G2293" s="0" t="n">
        <v>0</v>
      </c>
      <c r="H2293" s="0" t="s">
        <v>122</v>
      </c>
      <c r="K2293" s="0" t="s">
        <v>132</v>
      </c>
      <c r="L2293" s="0" t="s">
        <v>3750</v>
      </c>
    </row>
    <row r="2294" customFormat="false" ht="15" hidden="false" customHeight="false" outlineLevel="0" collapsed="false">
      <c r="A2294" s="0" t="s">
        <v>3335</v>
      </c>
      <c r="C2294" s="0" t="s">
        <v>981</v>
      </c>
      <c r="D2294" s="0" t="s">
        <v>55</v>
      </c>
      <c r="E2294" s="0" t="s">
        <v>1995</v>
      </c>
      <c r="F2294" s="0" t="n">
        <v>4</v>
      </c>
      <c r="G2294" s="0" t="n">
        <v>0</v>
      </c>
      <c r="H2294" s="0" t="s">
        <v>122</v>
      </c>
      <c r="K2294" s="0" t="s">
        <v>135</v>
      </c>
      <c r="L2294" s="0" t="s">
        <v>3751</v>
      </c>
    </row>
    <row r="2295" customFormat="false" ht="15" hidden="false" customHeight="false" outlineLevel="0" collapsed="false">
      <c r="A2295" s="0" t="s">
        <v>3335</v>
      </c>
      <c r="C2295" s="0" t="s">
        <v>981</v>
      </c>
      <c r="D2295" s="0" t="s">
        <v>58</v>
      </c>
      <c r="E2295" s="0" t="s">
        <v>992</v>
      </c>
      <c r="F2295" s="0" t="n">
        <v>4</v>
      </c>
      <c r="G2295" s="0" t="n">
        <v>0</v>
      </c>
      <c r="H2295" s="0" t="s">
        <v>122</v>
      </c>
      <c r="K2295" s="0" t="s">
        <v>138</v>
      </c>
      <c r="L2295" s="0" t="s">
        <v>3752</v>
      </c>
    </row>
    <row r="2296" customFormat="false" ht="15" hidden="false" customHeight="false" outlineLevel="0" collapsed="false">
      <c r="A2296" s="0" t="s">
        <v>3335</v>
      </c>
      <c r="C2296" s="0" t="s">
        <v>981</v>
      </c>
      <c r="D2296" s="0" t="s">
        <v>65</v>
      </c>
      <c r="E2296" s="0" t="s">
        <v>2641</v>
      </c>
      <c r="F2296" s="0" t="n">
        <v>4</v>
      </c>
      <c r="G2296" s="0" t="n">
        <v>0</v>
      </c>
      <c r="H2296" s="0" t="s">
        <v>122</v>
      </c>
      <c r="K2296" s="0" t="s">
        <v>143</v>
      </c>
      <c r="L2296" s="0" t="s">
        <v>3753</v>
      </c>
    </row>
    <row r="2297" customFormat="false" ht="15" hidden="false" customHeight="false" outlineLevel="0" collapsed="false">
      <c r="A2297" s="0" t="s">
        <v>3335</v>
      </c>
      <c r="C2297" s="0" t="s">
        <v>981</v>
      </c>
      <c r="D2297" s="0" t="s">
        <v>69</v>
      </c>
      <c r="E2297" s="0" t="s">
        <v>3754</v>
      </c>
      <c r="F2297" s="0" t="n">
        <v>4</v>
      </c>
      <c r="G2297" s="0" t="n">
        <v>0</v>
      </c>
      <c r="H2297" s="0" t="s">
        <v>122</v>
      </c>
      <c r="K2297" s="0" t="s">
        <v>146</v>
      </c>
      <c r="L2297" s="0" t="s">
        <v>3755</v>
      </c>
    </row>
    <row r="2298" customFormat="false" ht="15" hidden="false" customHeight="false" outlineLevel="0" collapsed="false">
      <c r="A2298" s="0" t="s">
        <v>3335</v>
      </c>
      <c r="C2298" s="0" t="s">
        <v>981</v>
      </c>
      <c r="D2298" s="0" t="s">
        <v>72</v>
      </c>
      <c r="E2298" s="0" t="s">
        <v>3756</v>
      </c>
      <c r="F2298" s="0" t="n">
        <v>4</v>
      </c>
      <c r="G2298" s="0" t="n">
        <v>0</v>
      </c>
      <c r="H2298" s="0" t="s">
        <v>122</v>
      </c>
      <c r="K2298" s="0" t="s">
        <v>149</v>
      </c>
      <c r="L2298" s="0" t="s">
        <v>3757</v>
      </c>
    </row>
    <row r="2299" customFormat="false" ht="15" hidden="false" customHeight="false" outlineLevel="0" collapsed="false">
      <c r="A2299" s="0" t="s">
        <v>3335</v>
      </c>
      <c r="C2299" s="0" t="s">
        <v>981</v>
      </c>
      <c r="D2299" s="0" t="s">
        <v>75</v>
      </c>
      <c r="E2299" s="0" t="s">
        <v>3758</v>
      </c>
      <c r="F2299" s="0" t="n">
        <v>4</v>
      </c>
      <c r="G2299" s="0" t="n">
        <v>0</v>
      </c>
      <c r="H2299" s="0" t="s">
        <v>122</v>
      </c>
      <c r="K2299" s="0" t="s">
        <v>152</v>
      </c>
      <c r="L2299" s="0" t="s">
        <v>3759</v>
      </c>
    </row>
    <row r="2300" customFormat="false" ht="15" hidden="false" customHeight="false" outlineLevel="0" collapsed="false">
      <c r="A2300" s="0" t="s">
        <v>3335</v>
      </c>
      <c r="C2300" s="0" t="s">
        <v>981</v>
      </c>
      <c r="D2300" s="0" t="s">
        <v>78</v>
      </c>
      <c r="E2300" s="0" t="s">
        <v>3760</v>
      </c>
      <c r="F2300" s="0" t="n">
        <v>4</v>
      </c>
      <c r="G2300" s="0" t="n">
        <v>0</v>
      </c>
      <c r="H2300" s="0" t="s">
        <v>122</v>
      </c>
      <c r="K2300" s="0" t="s">
        <v>156</v>
      </c>
      <c r="L2300" s="0" t="s">
        <v>3761</v>
      </c>
    </row>
    <row r="2301" customFormat="false" ht="15" hidden="false" customHeight="false" outlineLevel="0" collapsed="false">
      <c r="A2301" s="0" t="s">
        <v>3335</v>
      </c>
      <c r="C2301" s="0" t="s">
        <v>981</v>
      </c>
      <c r="D2301" s="0" t="s">
        <v>81</v>
      </c>
      <c r="E2301" s="0" t="s">
        <v>3762</v>
      </c>
      <c r="F2301" s="0" t="n">
        <v>4</v>
      </c>
      <c r="G2301" s="0" t="n">
        <v>0</v>
      </c>
      <c r="H2301" s="0" t="s">
        <v>122</v>
      </c>
      <c r="K2301" s="0" t="s">
        <v>160</v>
      </c>
      <c r="L2301" s="0" t="s">
        <v>3763</v>
      </c>
    </row>
    <row r="2302" customFormat="false" ht="15" hidden="false" customHeight="false" outlineLevel="0" collapsed="false">
      <c r="A2302" s="0" t="s">
        <v>3335</v>
      </c>
      <c r="C2302" s="0" t="s">
        <v>1006</v>
      </c>
      <c r="D2302" s="0" t="s">
        <v>528</v>
      </c>
      <c r="E2302" s="0" t="s">
        <v>1007</v>
      </c>
      <c r="F2302" s="0" t="n">
        <v>4</v>
      </c>
      <c r="G2302" s="0" t="n">
        <v>0</v>
      </c>
      <c r="H2302" s="0" t="s">
        <v>122</v>
      </c>
      <c r="K2302" s="0" t="s">
        <v>118</v>
      </c>
      <c r="L2302" s="0" t="s">
        <v>3764</v>
      </c>
    </row>
    <row r="2303" customFormat="false" ht="15" hidden="false" customHeight="false" outlineLevel="0" collapsed="false">
      <c r="A2303" s="0" t="s">
        <v>3335</v>
      </c>
      <c r="C2303" s="0" t="s">
        <v>1006</v>
      </c>
      <c r="D2303" s="0" t="s">
        <v>531</v>
      </c>
      <c r="E2303" s="0" t="s">
        <v>3765</v>
      </c>
      <c r="F2303" s="0" t="n">
        <v>4</v>
      </c>
      <c r="G2303" s="0" t="n">
        <v>0</v>
      </c>
      <c r="H2303" s="0" t="s">
        <v>122</v>
      </c>
      <c r="K2303" s="0" t="s">
        <v>123</v>
      </c>
      <c r="L2303" s="0" t="s">
        <v>3766</v>
      </c>
    </row>
    <row r="2304" customFormat="false" ht="15" hidden="false" customHeight="false" outlineLevel="0" collapsed="false">
      <c r="A2304" s="0" t="s">
        <v>3335</v>
      </c>
      <c r="C2304" s="0" t="s">
        <v>1006</v>
      </c>
      <c r="D2304" s="0" t="s">
        <v>534</v>
      </c>
      <c r="E2304" s="0" t="s">
        <v>3767</v>
      </c>
      <c r="F2304" s="0" t="n">
        <v>4</v>
      </c>
      <c r="G2304" s="0" t="n">
        <v>0</v>
      </c>
      <c r="H2304" s="0" t="s">
        <v>122</v>
      </c>
      <c r="K2304" s="0" t="s">
        <v>127</v>
      </c>
      <c r="L2304" s="0" t="s">
        <v>3768</v>
      </c>
    </row>
    <row r="2305" customFormat="false" ht="15" hidden="false" customHeight="false" outlineLevel="0" collapsed="false">
      <c r="A2305" s="0" t="s">
        <v>3335</v>
      </c>
      <c r="C2305" s="0" t="s">
        <v>1006</v>
      </c>
      <c r="D2305" s="0" t="s">
        <v>52</v>
      </c>
      <c r="E2305" s="0" t="s">
        <v>3769</v>
      </c>
      <c r="F2305" s="0" t="n">
        <v>4</v>
      </c>
      <c r="G2305" s="0" t="n">
        <v>0</v>
      </c>
      <c r="H2305" s="0" t="s">
        <v>122</v>
      </c>
      <c r="K2305" s="0" t="s">
        <v>132</v>
      </c>
      <c r="L2305" s="0" t="s">
        <v>3770</v>
      </c>
    </row>
    <row r="2306" customFormat="false" ht="15" hidden="false" customHeight="false" outlineLevel="0" collapsed="false">
      <c r="A2306" s="0" t="s">
        <v>3335</v>
      </c>
      <c r="C2306" s="0" t="s">
        <v>1006</v>
      </c>
      <c r="D2306" s="0" t="s">
        <v>55</v>
      </c>
      <c r="E2306" s="0" t="s">
        <v>3771</v>
      </c>
      <c r="F2306" s="0" t="n">
        <v>4</v>
      </c>
      <c r="G2306" s="0" t="n">
        <v>0</v>
      </c>
      <c r="H2306" s="0" t="s">
        <v>122</v>
      </c>
      <c r="K2306" s="0" t="s">
        <v>135</v>
      </c>
      <c r="L2306" s="0" t="s">
        <v>3772</v>
      </c>
    </row>
    <row r="2307" customFormat="false" ht="15" hidden="false" customHeight="false" outlineLevel="0" collapsed="false">
      <c r="A2307" s="0" t="s">
        <v>3335</v>
      </c>
      <c r="C2307" s="0" t="s">
        <v>1006</v>
      </c>
      <c r="D2307" s="0" t="s">
        <v>58</v>
      </c>
      <c r="E2307" s="0" t="s">
        <v>3773</v>
      </c>
      <c r="F2307" s="0" t="n">
        <v>4</v>
      </c>
      <c r="G2307" s="0" t="n">
        <v>0</v>
      </c>
      <c r="H2307" s="0" t="s">
        <v>122</v>
      </c>
      <c r="K2307" s="0" t="s">
        <v>138</v>
      </c>
      <c r="L2307" s="0" t="s">
        <v>3774</v>
      </c>
    </row>
    <row r="2308" customFormat="false" ht="15" hidden="false" customHeight="false" outlineLevel="0" collapsed="false">
      <c r="A2308" s="0" t="s">
        <v>3335</v>
      </c>
      <c r="C2308" s="0" t="s">
        <v>1006</v>
      </c>
      <c r="D2308" s="0" t="s">
        <v>65</v>
      </c>
      <c r="E2308" s="0" t="s">
        <v>2664</v>
      </c>
      <c r="F2308" s="0" t="n">
        <v>4</v>
      </c>
      <c r="G2308" s="0" t="n">
        <v>0</v>
      </c>
      <c r="H2308" s="0" t="s">
        <v>122</v>
      </c>
      <c r="K2308" s="0" t="s">
        <v>143</v>
      </c>
      <c r="L2308" s="0" t="s">
        <v>3775</v>
      </c>
    </row>
    <row r="2309" customFormat="false" ht="15" hidden="false" customHeight="false" outlineLevel="0" collapsed="false">
      <c r="A2309" s="0" t="s">
        <v>3335</v>
      </c>
      <c r="C2309" s="0" t="s">
        <v>1006</v>
      </c>
      <c r="D2309" s="0" t="s">
        <v>69</v>
      </c>
      <c r="E2309" s="0" t="s">
        <v>3776</v>
      </c>
      <c r="F2309" s="0" t="n">
        <v>4</v>
      </c>
      <c r="G2309" s="0" t="n">
        <v>0</v>
      </c>
      <c r="H2309" s="0" t="s">
        <v>122</v>
      </c>
      <c r="K2309" s="0" t="s">
        <v>146</v>
      </c>
      <c r="L2309" s="0" t="s">
        <v>3777</v>
      </c>
    </row>
    <row r="2310" customFormat="false" ht="15" hidden="false" customHeight="false" outlineLevel="0" collapsed="false">
      <c r="A2310" s="0" t="s">
        <v>3335</v>
      </c>
      <c r="C2310" s="0" t="s">
        <v>1006</v>
      </c>
      <c r="D2310" s="0" t="s">
        <v>72</v>
      </c>
      <c r="E2310" s="0" t="s">
        <v>2668</v>
      </c>
      <c r="F2310" s="0" t="n">
        <v>4</v>
      </c>
      <c r="G2310" s="0" t="n">
        <v>0</v>
      </c>
      <c r="H2310" s="0" t="s">
        <v>122</v>
      </c>
      <c r="K2310" s="0" t="s">
        <v>149</v>
      </c>
      <c r="L2310" s="0" t="s">
        <v>3778</v>
      </c>
    </row>
    <row r="2311" customFormat="false" ht="15" hidden="false" customHeight="false" outlineLevel="0" collapsed="false">
      <c r="A2311" s="0" t="s">
        <v>3335</v>
      </c>
      <c r="C2311" s="0" t="s">
        <v>1006</v>
      </c>
      <c r="D2311" s="0" t="s">
        <v>75</v>
      </c>
      <c r="E2311" s="0" t="s">
        <v>3779</v>
      </c>
      <c r="F2311" s="0" t="n">
        <v>4</v>
      </c>
      <c r="G2311" s="0" t="n">
        <v>0</v>
      </c>
      <c r="H2311" s="0" t="s">
        <v>122</v>
      </c>
      <c r="K2311" s="0" t="s">
        <v>152</v>
      </c>
      <c r="L2311" s="0" t="s">
        <v>3780</v>
      </c>
    </row>
    <row r="2312" customFormat="false" ht="15" hidden="false" customHeight="false" outlineLevel="0" collapsed="false">
      <c r="A2312" s="0" t="s">
        <v>3335</v>
      </c>
      <c r="C2312" s="0" t="s">
        <v>1006</v>
      </c>
      <c r="D2312" s="0" t="s">
        <v>78</v>
      </c>
      <c r="E2312" s="0" t="s">
        <v>2672</v>
      </c>
      <c r="F2312" s="0" t="n">
        <v>4</v>
      </c>
      <c r="G2312" s="0" t="n">
        <v>0</v>
      </c>
      <c r="H2312" s="0" t="s">
        <v>122</v>
      </c>
      <c r="K2312" s="0" t="s">
        <v>156</v>
      </c>
      <c r="L2312" s="0" t="s">
        <v>3781</v>
      </c>
    </row>
    <row r="2313" customFormat="false" ht="15" hidden="false" customHeight="false" outlineLevel="0" collapsed="false">
      <c r="A2313" s="0" t="s">
        <v>3335</v>
      </c>
      <c r="C2313" s="0" t="s">
        <v>1006</v>
      </c>
      <c r="D2313" s="0" t="s">
        <v>81</v>
      </c>
      <c r="E2313" s="0" t="s">
        <v>3782</v>
      </c>
      <c r="F2313" s="0" t="n">
        <v>4</v>
      </c>
      <c r="G2313" s="0" t="n">
        <v>0</v>
      </c>
      <c r="H2313" s="0" t="s">
        <v>122</v>
      </c>
      <c r="K2313" s="0" t="s">
        <v>160</v>
      </c>
      <c r="L2313" s="0" t="s">
        <v>3783</v>
      </c>
    </row>
    <row r="2314" customFormat="false" ht="15" hidden="false" customHeight="false" outlineLevel="0" collapsed="false">
      <c r="A2314" s="0" t="s">
        <v>3335</v>
      </c>
      <c r="C2314" s="0" t="s">
        <v>1031</v>
      </c>
      <c r="D2314" s="0" t="s">
        <v>528</v>
      </c>
      <c r="E2314" s="0" t="s">
        <v>1032</v>
      </c>
      <c r="F2314" s="0" t="n">
        <v>4</v>
      </c>
      <c r="G2314" s="0" t="n">
        <v>0</v>
      </c>
      <c r="H2314" s="0" t="s">
        <v>122</v>
      </c>
      <c r="K2314" s="0" t="s">
        <v>118</v>
      </c>
      <c r="L2314" s="0" t="s">
        <v>3784</v>
      </c>
    </row>
    <row r="2315" customFormat="false" ht="15" hidden="false" customHeight="false" outlineLevel="0" collapsed="false">
      <c r="A2315" s="0" t="s">
        <v>3335</v>
      </c>
      <c r="C2315" s="0" t="s">
        <v>1031</v>
      </c>
      <c r="D2315" s="0" t="s">
        <v>531</v>
      </c>
      <c r="E2315" s="0" t="s">
        <v>2677</v>
      </c>
      <c r="F2315" s="0" t="n">
        <v>4</v>
      </c>
      <c r="G2315" s="0" t="n">
        <v>0</v>
      </c>
      <c r="H2315" s="0" t="s">
        <v>122</v>
      </c>
      <c r="K2315" s="0" t="s">
        <v>123</v>
      </c>
      <c r="L2315" s="0" t="s">
        <v>3785</v>
      </c>
    </row>
    <row r="2316" customFormat="false" ht="15" hidden="false" customHeight="false" outlineLevel="0" collapsed="false">
      <c r="A2316" s="0" t="s">
        <v>3335</v>
      </c>
      <c r="C2316" s="0" t="s">
        <v>1031</v>
      </c>
      <c r="D2316" s="0" t="s">
        <v>534</v>
      </c>
      <c r="E2316" s="0" t="s">
        <v>3786</v>
      </c>
      <c r="F2316" s="0" t="n">
        <v>4</v>
      </c>
      <c r="G2316" s="0" t="n">
        <v>0</v>
      </c>
      <c r="H2316" s="0" t="s">
        <v>122</v>
      </c>
      <c r="K2316" s="0" t="s">
        <v>127</v>
      </c>
      <c r="L2316" s="0" t="s">
        <v>3787</v>
      </c>
    </row>
    <row r="2317" customFormat="false" ht="15" hidden="false" customHeight="false" outlineLevel="0" collapsed="false">
      <c r="A2317" s="0" t="s">
        <v>3335</v>
      </c>
      <c r="C2317" s="0" t="s">
        <v>1031</v>
      </c>
      <c r="D2317" s="0" t="s">
        <v>52</v>
      </c>
      <c r="E2317" s="0" t="s">
        <v>3788</v>
      </c>
      <c r="F2317" s="0" t="n">
        <v>4</v>
      </c>
      <c r="G2317" s="0" t="n">
        <v>0</v>
      </c>
      <c r="H2317" s="0" t="s">
        <v>122</v>
      </c>
      <c r="K2317" s="0" t="s">
        <v>132</v>
      </c>
      <c r="L2317" s="0" t="s">
        <v>3789</v>
      </c>
    </row>
    <row r="2318" customFormat="false" ht="15" hidden="false" customHeight="false" outlineLevel="0" collapsed="false">
      <c r="A2318" s="0" t="s">
        <v>3335</v>
      </c>
      <c r="C2318" s="0" t="s">
        <v>1031</v>
      </c>
      <c r="D2318" s="0" t="s">
        <v>55</v>
      </c>
      <c r="E2318" s="0" t="s">
        <v>2683</v>
      </c>
      <c r="F2318" s="0" t="n">
        <v>4</v>
      </c>
      <c r="G2318" s="0" t="n">
        <v>0</v>
      </c>
      <c r="H2318" s="0" t="s">
        <v>122</v>
      </c>
      <c r="K2318" s="0" t="s">
        <v>135</v>
      </c>
      <c r="L2318" s="0" t="s">
        <v>3790</v>
      </c>
    </row>
    <row r="2319" customFormat="false" ht="15" hidden="false" customHeight="false" outlineLevel="0" collapsed="false">
      <c r="A2319" s="0" t="s">
        <v>3335</v>
      </c>
      <c r="C2319" s="0" t="s">
        <v>1031</v>
      </c>
      <c r="D2319" s="0" t="s">
        <v>58</v>
      </c>
      <c r="E2319" s="0" t="s">
        <v>1042</v>
      </c>
      <c r="F2319" s="0" t="n">
        <v>4</v>
      </c>
      <c r="G2319" s="0" t="n">
        <v>0</v>
      </c>
      <c r="H2319" s="0" t="s">
        <v>122</v>
      </c>
      <c r="K2319" s="0" t="s">
        <v>138</v>
      </c>
      <c r="L2319" s="0" t="s">
        <v>3791</v>
      </c>
    </row>
    <row r="2320" customFormat="false" ht="15" hidden="false" customHeight="false" outlineLevel="0" collapsed="false">
      <c r="A2320" s="0" t="s">
        <v>3335</v>
      </c>
      <c r="C2320" s="0" t="s">
        <v>1031</v>
      </c>
      <c r="D2320" s="0" t="s">
        <v>65</v>
      </c>
      <c r="E2320" s="0" t="s">
        <v>2686</v>
      </c>
      <c r="F2320" s="0" t="n">
        <v>4</v>
      </c>
      <c r="G2320" s="0" t="n">
        <v>0</v>
      </c>
      <c r="H2320" s="0" t="s">
        <v>122</v>
      </c>
      <c r="K2320" s="0" t="s">
        <v>143</v>
      </c>
      <c r="L2320" s="0" t="s">
        <v>3792</v>
      </c>
    </row>
    <row r="2321" customFormat="false" ht="15" hidden="false" customHeight="false" outlineLevel="0" collapsed="false">
      <c r="A2321" s="0" t="s">
        <v>3335</v>
      </c>
      <c r="C2321" s="0" t="s">
        <v>1031</v>
      </c>
      <c r="D2321" s="0" t="s">
        <v>69</v>
      </c>
      <c r="E2321" s="0" t="s">
        <v>2688</v>
      </c>
      <c r="F2321" s="0" t="n">
        <v>4</v>
      </c>
      <c r="G2321" s="0" t="n">
        <v>0</v>
      </c>
      <c r="H2321" s="0" t="s">
        <v>122</v>
      </c>
      <c r="K2321" s="0" t="s">
        <v>146</v>
      </c>
      <c r="L2321" s="0" t="s">
        <v>3793</v>
      </c>
    </row>
    <row r="2322" customFormat="false" ht="15" hidden="false" customHeight="false" outlineLevel="0" collapsed="false">
      <c r="A2322" s="0" t="s">
        <v>3335</v>
      </c>
      <c r="C2322" s="0" t="s">
        <v>1031</v>
      </c>
      <c r="D2322" s="0" t="s">
        <v>72</v>
      </c>
      <c r="E2322" s="0" t="s">
        <v>2690</v>
      </c>
      <c r="F2322" s="0" t="n">
        <v>4</v>
      </c>
      <c r="G2322" s="0" t="n">
        <v>0</v>
      </c>
      <c r="H2322" s="0" t="s">
        <v>122</v>
      </c>
      <c r="K2322" s="0" t="s">
        <v>149</v>
      </c>
      <c r="L2322" s="0" t="s">
        <v>3794</v>
      </c>
    </row>
    <row r="2323" customFormat="false" ht="15" hidden="false" customHeight="false" outlineLevel="0" collapsed="false">
      <c r="A2323" s="0" t="s">
        <v>3335</v>
      </c>
      <c r="C2323" s="0" t="s">
        <v>1031</v>
      </c>
      <c r="D2323" s="0" t="s">
        <v>75</v>
      </c>
      <c r="E2323" s="0" t="s">
        <v>2692</v>
      </c>
      <c r="F2323" s="0" t="n">
        <v>4</v>
      </c>
      <c r="G2323" s="0" t="n">
        <v>0</v>
      </c>
      <c r="H2323" s="0" t="s">
        <v>122</v>
      </c>
      <c r="K2323" s="0" t="s">
        <v>152</v>
      </c>
      <c r="L2323" s="0" t="s">
        <v>3795</v>
      </c>
    </row>
    <row r="2324" customFormat="false" ht="15" hidden="false" customHeight="false" outlineLevel="0" collapsed="false">
      <c r="A2324" s="0" t="s">
        <v>3335</v>
      </c>
      <c r="C2324" s="0" t="s">
        <v>1031</v>
      </c>
      <c r="D2324" s="0" t="s">
        <v>78</v>
      </c>
      <c r="E2324" s="0" t="s">
        <v>3796</v>
      </c>
      <c r="F2324" s="0" t="n">
        <v>4</v>
      </c>
      <c r="G2324" s="0" t="n">
        <v>0</v>
      </c>
      <c r="H2324" s="0" t="s">
        <v>122</v>
      </c>
      <c r="K2324" s="0" t="s">
        <v>156</v>
      </c>
      <c r="L2324" s="0" t="s">
        <v>3797</v>
      </c>
    </row>
    <row r="2325" customFormat="false" ht="15" hidden="false" customHeight="false" outlineLevel="0" collapsed="false">
      <c r="A2325" s="0" t="s">
        <v>3335</v>
      </c>
      <c r="C2325" s="0" t="s">
        <v>1031</v>
      </c>
      <c r="D2325" s="0" t="s">
        <v>81</v>
      </c>
      <c r="E2325" s="0" t="s">
        <v>1054</v>
      </c>
      <c r="F2325" s="0" t="n">
        <v>4</v>
      </c>
      <c r="G2325" s="0" t="n">
        <v>0</v>
      </c>
      <c r="H2325" s="0" t="s">
        <v>122</v>
      </c>
      <c r="K2325" s="0" t="s">
        <v>160</v>
      </c>
      <c r="L2325" s="0" t="s">
        <v>3798</v>
      </c>
    </row>
    <row r="2326" customFormat="false" ht="15" hidden="false" customHeight="false" outlineLevel="0" collapsed="false">
      <c r="A2326" s="0" t="s">
        <v>3335</v>
      </c>
      <c r="C2326" s="0" t="s">
        <v>1056</v>
      </c>
      <c r="D2326" s="0" t="s">
        <v>528</v>
      </c>
      <c r="E2326" s="0" t="s">
        <v>1057</v>
      </c>
      <c r="F2326" s="0" t="n">
        <v>0</v>
      </c>
      <c r="G2326" s="0" t="n">
        <v>0</v>
      </c>
      <c r="H2326" s="0" t="s">
        <v>117</v>
      </c>
      <c r="K2326" s="0" t="s">
        <v>118</v>
      </c>
      <c r="L2326" s="0" t="s">
        <v>3799</v>
      </c>
    </row>
    <row r="2327" customFormat="false" ht="15" hidden="false" customHeight="false" outlineLevel="0" collapsed="false">
      <c r="A2327" s="0" t="s">
        <v>3335</v>
      </c>
      <c r="C2327" s="0" t="s">
        <v>1056</v>
      </c>
      <c r="D2327" s="0" t="s">
        <v>531</v>
      </c>
      <c r="E2327" s="0" t="s">
        <v>1059</v>
      </c>
      <c r="F2327" s="0" t="n">
        <v>0</v>
      </c>
      <c r="G2327" s="0" t="n">
        <v>0</v>
      </c>
      <c r="H2327" s="0" t="s">
        <v>117</v>
      </c>
      <c r="K2327" s="0" t="s">
        <v>123</v>
      </c>
      <c r="L2327" s="0" t="s">
        <v>3800</v>
      </c>
    </row>
    <row r="2328" customFormat="false" ht="15" hidden="false" customHeight="false" outlineLevel="0" collapsed="false">
      <c r="A2328" s="0" t="s">
        <v>3335</v>
      </c>
      <c r="C2328" s="0" t="s">
        <v>1056</v>
      </c>
      <c r="D2328" s="0" t="s">
        <v>534</v>
      </c>
      <c r="E2328" s="0" t="s">
        <v>1061</v>
      </c>
      <c r="F2328" s="0" t="n">
        <v>0</v>
      </c>
      <c r="G2328" s="0" t="n">
        <v>0</v>
      </c>
      <c r="H2328" s="0" t="s">
        <v>117</v>
      </c>
      <c r="K2328" s="0" t="s">
        <v>127</v>
      </c>
      <c r="L2328" s="0" t="s">
        <v>3801</v>
      </c>
    </row>
    <row r="2329" customFormat="false" ht="15" hidden="false" customHeight="false" outlineLevel="0" collapsed="false">
      <c r="A2329" s="0" t="s">
        <v>3335</v>
      </c>
      <c r="C2329" s="0" t="s">
        <v>1056</v>
      </c>
      <c r="D2329" s="0" t="s">
        <v>52</v>
      </c>
      <c r="E2329" s="0" t="s">
        <v>1063</v>
      </c>
      <c r="F2329" s="0" t="n">
        <v>0</v>
      </c>
      <c r="G2329" s="0" t="n">
        <v>0</v>
      </c>
      <c r="H2329" s="0" t="s">
        <v>117</v>
      </c>
      <c r="K2329" s="0" t="s">
        <v>132</v>
      </c>
      <c r="L2329" s="0" t="s">
        <v>3802</v>
      </c>
    </row>
    <row r="2330" customFormat="false" ht="15" hidden="false" customHeight="false" outlineLevel="0" collapsed="false">
      <c r="A2330" s="0" t="s">
        <v>3335</v>
      </c>
      <c r="C2330" s="0" t="s">
        <v>1056</v>
      </c>
      <c r="D2330" s="0" t="s">
        <v>55</v>
      </c>
      <c r="E2330" s="0" t="s">
        <v>1065</v>
      </c>
      <c r="F2330" s="0" t="n">
        <v>0</v>
      </c>
      <c r="G2330" s="0" t="n">
        <v>0</v>
      </c>
      <c r="H2330" s="0" t="s">
        <v>117</v>
      </c>
      <c r="K2330" s="0" t="s">
        <v>135</v>
      </c>
      <c r="L2330" s="0" t="s">
        <v>3803</v>
      </c>
    </row>
    <row r="2331" customFormat="false" ht="15" hidden="false" customHeight="false" outlineLevel="0" collapsed="false">
      <c r="A2331" s="0" t="s">
        <v>3335</v>
      </c>
      <c r="C2331" s="0" t="s">
        <v>1056</v>
      </c>
      <c r="D2331" s="0" t="s">
        <v>58</v>
      </c>
      <c r="E2331" s="0" t="s">
        <v>1067</v>
      </c>
      <c r="F2331" s="0" t="n">
        <v>0</v>
      </c>
      <c r="G2331" s="0" t="n">
        <v>0</v>
      </c>
      <c r="H2331" s="0" t="s">
        <v>117</v>
      </c>
      <c r="K2331" s="0" t="s">
        <v>138</v>
      </c>
      <c r="L2331" s="0" t="s">
        <v>3804</v>
      </c>
    </row>
    <row r="2332" customFormat="false" ht="15" hidden="false" customHeight="false" outlineLevel="0" collapsed="false">
      <c r="A2332" s="0" t="s">
        <v>3335</v>
      </c>
      <c r="C2332" s="0" t="s">
        <v>1056</v>
      </c>
      <c r="D2332" s="0" t="s">
        <v>65</v>
      </c>
      <c r="E2332" s="0" t="s">
        <v>1069</v>
      </c>
      <c r="F2332" s="0" t="n">
        <v>0</v>
      </c>
      <c r="G2332" s="0" t="n">
        <v>0</v>
      </c>
      <c r="H2332" s="0" t="s">
        <v>117</v>
      </c>
      <c r="K2332" s="0" t="s">
        <v>143</v>
      </c>
      <c r="L2332" s="0" t="s">
        <v>3805</v>
      </c>
    </row>
    <row r="2333" customFormat="false" ht="15" hidden="false" customHeight="false" outlineLevel="0" collapsed="false">
      <c r="A2333" s="0" t="s">
        <v>3335</v>
      </c>
      <c r="C2333" s="0" t="s">
        <v>1056</v>
      </c>
      <c r="D2333" s="0" t="s">
        <v>69</v>
      </c>
      <c r="E2333" s="0" t="s">
        <v>1071</v>
      </c>
      <c r="F2333" s="0" t="n">
        <v>0</v>
      </c>
      <c r="G2333" s="0" t="n">
        <v>0</v>
      </c>
      <c r="H2333" s="0" t="s">
        <v>117</v>
      </c>
      <c r="K2333" s="0" t="s">
        <v>146</v>
      </c>
      <c r="L2333" s="0" t="s">
        <v>3806</v>
      </c>
    </row>
    <row r="2334" customFormat="false" ht="15" hidden="false" customHeight="false" outlineLevel="0" collapsed="false">
      <c r="A2334" s="0" t="s">
        <v>3335</v>
      </c>
      <c r="C2334" s="0" t="s">
        <v>1056</v>
      </c>
      <c r="D2334" s="0" t="s">
        <v>72</v>
      </c>
      <c r="E2334" s="0" t="s">
        <v>1073</v>
      </c>
      <c r="F2334" s="0" t="n">
        <v>0</v>
      </c>
      <c r="G2334" s="0" t="n">
        <v>0</v>
      </c>
      <c r="H2334" s="0" t="s">
        <v>117</v>
      </c>
      <c r="K2334" s="0" t="s">
        <v>149</v>
      </c>
      <c r="L2334" s="0" t="s">
        <v>3807</v>
      </c>
    </row>
    <row r="2335" customFormat="false" ht="15" hidden="false" customHeight="false" outlineLevel="0" collapsed="false">
      <c r="A2335" s="0" t="s">
        <v>3335</v>
      </c>
      <c r="C2335" s="0" t="s">
        <v>1056</v>
      </c>
      <c r="D2335" s="0" t="s">
        <v>75</v>
      </c>
      <c r="E2335" s="0" t="s">
        <v>2051</v>
      </c>
      <c r="F2335" s="0" t="n">
        <v>0</v>
      </c>
      <c r="G2335" s="0" t="n">
        <v>0</v>
      </c>
      <c r="H2335" s="0" t="s">
        <v>117</v>
      </c>
      <c r="K2335" s="0" t="s">
        <v>152</v>
      </c>
      <c r="L2335" s="0" t="s">
        <v>3808</v>
      </c>
    </row>
    <row r="2336" customFormat="false" ht="15" hidden="false" customHeight="false" outlineLevel="0" collapsed="false">
      <c r="A2336" s="0" t="s">
        <v>3335</v>
      </c>
      <c r="C2336" s="0" t="s">
        <v>1056</v>
      </c>
      <c r="D2336" s="0" t="s">
        <v>78</v>
      </c>
      <c r="E2336" s="0" t="s">
        <v>2053</v>
      </c>
      <c r="F2336" s="0" t="n">
        <v>0</v>
      </c>
      <c r="G2336" s="0" t="n">
        <v>0</v>
      </c>
      <c r="H2336" s="0" t="s">
        <v>117</v>
      </c>
      <c r="K2336" s="0" t="s">
        <v>156</v>
      </c>
      <c r="L2336" s="0" t="s">
        <v>3809</v>
      </c>
    </row>
    <row r="2337" customFormat="false" ht="15" hidden="false" customHeight="false" outlineLevel="0" collapsed="false">
      <c r="A2337" s="0" t="s">
        <v>3335</v>
      </c>
      <c r="C2337" s="0" t="s">
        <v>1056</v>
      </c>
      <c r="D2337" s="0" t="s">
        <v>81</v>
      </c>
      <c r="E2337" s="0" t="s">
        <v>2055</v>
      </c>
      <c r="F2337" s="0" t="n">
        <v>0</v>
      </c>
      <c r="G2337" s="0" t="n">
        <v>0</v>
      </c>
      <c r="H2337" s="0" t="s">
        <v>117</v>
      </c>
      <c r="K2337" s="0" t="s">
        <v>160</v>
      </c>
      <c r="L2337" s="0" t="s">
        <v>3810</v>
      </c>
    </row>
    <row r="2338" customFormat="false" ht="15" hidden="false" customHeight="false" outlineLevel="0" collapsed="false">
      <c r="A2338" s="0" t="s">
        <v>3335</v>
      </c>
      <c r="C2338" s="0" t="s">
        <v>1081</v>
      </c>
      <c r="D2338" s="0" t="s">
        <v>528</v>
      </c>
      <c r="E2338" s="0" t="s">
        <v>1082</v>
      </c>
      <c r="F2338" s="0" t="n">
        <v>0</v>
      </c>
      <c r="G2338" s="0" t="n">
        <v>0</v>
      </c>
      <c r="H2338" s="0" t="s">
        <v>117</v>
      </c>
      <c r="K2338" s="0" t="s">
        <v>118</v>
      </c>
      <c r="L2338" s="0" t="s">
        <v>3811</v>
      </c>
    </row>
    <row r="2339" customFormat="false" ht="15" hidden="false" customHeight="false" outlineLevel="0" collapsed="false">
      <c r="A2339" s="0" t="s">
        <v>3335</v>
      </c>
      <c r="C2339" s="0" t="s">
        <v>1081</v>
      </c>
      <c r="D2339" s="0" t="s">
        <v>531</v>
      </c>
      <c r="E2339" s="0" t="s">
        <v>1084</v>
      </c>
      <c r="F2339" s="0" t="n">
        <v>0</v>
      </c>
      <c r="G2339" s="0" t="n">
        <v>0</v>
      </c>
      <c r="H2339" s="0" t="s">
        <v>117</v>
      </c>
      <c r="K2339" s="0" t="s">
        <v>123</v>
      </c>
      <c r="L2339" s="0" t="s">
        <v>3812</v>
      </c>
    </row>
    <row r="2340" customFormat="false" ht="15" hidden="false" customHeight="false" outlineLevel="0" collapsed="false">
      <c r="A2340" s="0" t="s">
        <v>3335</v>
      </c>
      <c r="C2340" s="0" t="s">
        <v>1081</v>
      </c>
      <c r="D2340" s="0" t="s">
        <v>534</v>
      </c>
      <c r="E2340" s="0" t="s">
        <v>1086</v>
      </c>
      <c r="F2340" s="0" t="n">
        <v>0</v>
      </c>
      <c r="G2340" s="0" t="n">
        <v>0</v>
      </c>
      <c r="H2340" s="0" t="s">
        <v>117</v>
      </c>
      <c r="K2340" s="0" t="s">
        <v>127</v>
      </c>
      <c r="L2340" s="0" t="s">
        <v>3813</v>
      </c>
    </row>
    <row r="2341" customFormat="false" ht="15" hidden="false" customHeight="false" outlineLevel="0" collapsed="false">
      <c r="A2341" s="0" t="s">
        <v>3335</v>
      </c>
      <c r="C2341" s="0" t="s">
        <v>1081</v>
      </c>
      <c r="D2341" s="0" t="s">
        <v>52</v>
      </c>
      <c r="E2341" s="0" t="s">
        <v>1088</v>
      </c>
      <c r="F2341" s="0" t="n">
        <v>0</v>
      </c>
      <c r="G2341" s="0" t="n">
        <v>0</v>
      </c>
      <c r="H2341" s="0" t="s">
        <v>117</v>
      </c>
      <c r="K2341" s="0" t="s">
        <v>132</v>
      </c>
      <c r="L2341" s="0" t="s">
        <v>3814</v>
      </c>
    </row>
    <row r="2342" customFormat="false" ht="15" hidden="false" customHeight="false" outlineLevel="0" collapsed="false">
      <c r="A2342" s="0" t="s">
        <v>3335</v>
      </c>
      <c r="C2342" s="0" t="s">
        <v>1081</v>
      </c>
      <c r="D2342" s="0" t="s">
        <v>55</v>
      </c>
      <c r="E2342" s="0" t="s">
        <v>1090</v>
      </c>
      <c r="F2342" s="0" t="n">
        <v>0</v>
      </c>
      <c r="G2342" s="0" t="n">
        <v>0</v>
      </c>
      <c r="H2342" s="0" t="s">
        <v>117</v>
      </c>
      <c r="K2342" s="0" t="s">
        <v>135</v>
      </c>
      <c r="L2342" s="0" t="s">
        <v>3815</v>
      </c>
    </row>
    <row r="2343" customFormat="false" ht="15" hidden="false" customHeight="false" outlineLevel="0" collapsed="false">
      <c r="A2343" s="0" t="s">
        <v>3335</v>
      </c>
      <c r="C2343" s="0" t="s">
        <v>1081</v>
      </c>
      <c r="D2343" s="0" t="s">
        <v>58</v>
      </c>
      <c r="E2343" s="0" t="s">
        <v>1092</v>
      </c>
      <c r="F2343" s="0" t="n">
        <v>0</v>
      </c>
      <c r="G2343" s="0" t="n">
        <v>0</v>
      </c>
      <c r="H2343" s="0" t="s">
        <v>117</v>
      </c>
      <c r="K2343" s="0" t="s">
        <v>138</v>
      </c>
      <c r="L2343" s="0" t="s">
        <v>3816</v>
      </c>
    </row>
    <row r="2344" customFormat="false" ht="15" hidden="false" customHeight="false" outlineLevel="0" collapsed="false">
      <c r="A2344" s="0" t="s">
        <v>3335</v>
      </c>
      <c r="C2344" s="0" t="s">
        <v>1081</v>
      </c>
      <c r="D2344" s="0" t="s">
        <v>65</v>
      </c>
      <c r="E2344" s="0" t="s">
        <v>1094</v>
      </c>
      <c r="F2344" s="0" t="n">
        <v>0</v>
      </c>
      <c r="G2344" s="0" t="n">
        <v>0</v>
      </c>
      <c r="H2344" s="0" t="s">
        <v>117</v>
      </c>
      <c r="K2344" s="0" t="s">
        <v>143</v>
      </c>
      <c r="L2344" s="0" t="s">
        <v>3817</v>
      </c>
    </row>
    <row r="2345" customFormat="false" ht="15" hidden="false" customHeight="false" outlineLevel="0" collapsed="false">
      <c r="A2345" s="0" t="s">
        <v>3335</v>
      </c>
      <c r="C2345" s="0" t="s">
        <v>1081</v>
      </c>
      <c r="D2345" s="0" t="s">
        <v>69</v>
      </c>
      <c r="E2345" s="0" t="s">
        <v>1096</v>
      </c>
      <c r="F2345" s="0" t="n">
        <v>0</v>
      </c>
      <c r="G2345" s="0" t="n">
        <v>0</v>
      </c>
      <c r="H2345" s="0" t="s">
        <v>117</v>
      </c>
      <c r="K2345" s="0" t="s">
        <v>146</v>
      </c>
      <c r="L2345" s="0" t="s">
        <v>3818</v>
      </c>
    </row>
    <row r="2346" customFormat="false" ht="15" hidden="false" customHeight="false" outlineLevel="0" collapsed="false">
      <c r="A2346" s="0" t="s">
        <v>3335</v>
      </c>
      <c r="C2346" s="0" t="s">
        <v>1081</v>
      </c>
      <c r="D2346" s="0" t="s">
        <v>72</v>
      </c>
      <c r="E2346" s="0" t="s">
        <v>1098</v>
      </c>
      <c r="F2346" s="0" t="n">
        <v>0</v>
      </c>
      <c r="G2346" s="0" t="n">
        <v>0</v>
      </c>
      <c r="H2346" s="0" t="s">
        <v>117</v>
      </c>
      <c r="K2346" s="0" t="s">
        <v>149</v>
      </c>
      <c r="L2346" s="0" t="s">
        <v>3819</v>
      </c>
    </row>
    <row r="2347" customFormat="false" ht="15" hidden="false" customHeight="false" outlineLevel="0" collapsed="false">
      <c r="A2347" s="0" t="s">
        <v>3335</v>
      </c>
      <c r="C2347" s="0" t="s">
        <v>1081</v>
      </c>
      <c r="D2347" s="0" t="s">
        <v>75</v>
      </c>
      <c r="E2347" s="0" t="s">
        <v>1100</v>
      </c>
      <c r="F2347" s="0" t="n">
        <v>0</v>
      </c>
      <c r="G2347" s="0" t="n">
        <v>0</v>
      </c>
      <c r="H2347" s="0" t="s">
        <v>117</v>
      </c>
      <c r="K2347" s="0" t="s">
        <v>152</v>
      </c>
      <c r="L2347" s="0" t="s">
        <v>3820</v>
      </c>
    </row>
    <row r="2348" customFormat="false" ht="15" hidden="false" customHeight="false" outlineLevel="0" collapsed="false">
      <c r="A2348" s="0" t="s">
        <v>3335</v>
      </c>
      <c r="C2348" s="0" t="s">
        <v>1081</v>
      </c>
      <c r="D2348" s="0" t="s">
        <v>78</v>
      </c>
      <c r="E2348" s="0" t="s">
        <v>1102</v>
      </c>
      <c r="F2348" s="0" t="n">
        <v>0</v>
      </c>
      <c r="G2348" s="0" t="n">
        <v>0</v>
      </c>
      <c r="H2348" s="0" t="s">
        <v>117</v>
      </c>
      <c r="K2348" s="0" t="s">
        <v>156</v>
      </c>
      <c r="L2348" s="0" t="s">
        <v>3821</v>
      </c>
    </row>
    <row r="2349" customFormat="false" ht="15" hidden="false" customHeight="false" outlineLevel="0" collapsed="false">
      <c r="A2349" s="0" t="s">
        <v>3335</v>
      </c>
      <c r="C2349" s="0" t="s">
        <v>1081</v>
      </c>
      <c r="D2349" s="0" t="s">
        <v>81</v>
      </c>
      <c r="E2349" s="0" t="s">
        <v>1104</v>
      </c>
      <c r="F2349" s="0" t="n">
        <v>0</v>
      </c>
      <c r="G2349" s="0" t="n">
        <v>0</v>
      </c>
      <c r="H2349" s="0" t="s">
        <v>117</v>
      </c>
      <c r="K2349" s="0" t="s">
        <v>160</v>
      </c>
      <c r="L2349" s="0" t="s">
        <v>3822</v>
      </c>
    </row>
    <row r="2350" customFormat="false" ht="15" hidden="false" customHeight="false" outlineLevel="0" collapsed="false">
      <c r="A2350" s="0" t="s">
        <v>3335</v>
      </c>
      <c r="C2350" s="0" t="s">
        <v>1106</v>
      </c>
      <c r="D2350" s="0" t="s">
        <v>528</v>
      </c>
      <c r="E2350" s="0" t="s">
        <v>1107</v>
      </c>
      <c r="F2350" s="0" t="n">
        <v>0</v>
      </c>
      <c r="G2350" s="0" t="n">
        <v>0</v>
      </c>
      <c r="H2350" s="0" t="s">
        <v>117</v>
      </c>
      <c r="K2350" s="0" t="s">
        <v>118</v>
      </c>
      <c r="L2350" s="0" t="s">
        <v>3823</v>
      </c>
    </row>
    <row r="2351" customFormat="false" ht="15" hidden="false" customHeight="false" outlineLevel="0" collapsed="false">
      <c r="A2351" s="0" t="s">
        <v>3335</v>
      </c>
      <c r="C2351" s="0" t="s">
        <v>1106</v>
      </c>
      <c r="D2351" s="0" t="s">
        <v>531</v>
      </c>
      <c r="E2351" s="0" t="s">
        <v>1109</v>
      </c>
      <c r="F2351" s="0" t="n">
        <v>0</v>
      </c>
      <c r="G2351" s="0" t="n">
        <v>0</v>
      </c>
      <c r="H2351" s="0" t="s">
        <v>117</v>
      </c>
      <c r="K2351" s="0" t="s">
        <v>123</v>
      </c>
      <c r="L2351" s="0" t="s">
        <v>3824</v>
      </c>
    </row>
    <row r="2352" customFormat="false" ht="15" hidden="false" customHeight="false" outlineLevel="0" collapsed="false">
      <c r="A2352" s="0" t="s">
        <v>3335</v>
      </c>
      <c r="C2352" s="0" t="s">
        <v>1106</v>
      </c>
      <c r="D2352" s="0" t="s">
        <v>534</v>
      </c>
      <c r="E2352" s="0" t="s">
        <v>1111</v>
      </c>
      <c r="F2352" s="0" t="n">
        <v>0</v>
      </c>
      <c r="G2352" s="0" t="n">
        <v>0</v>
      </c>
      <c r="H2352" s="0" t="s">
        <v>117</v>
      </c>
      <c r="K2352" s="0" t="s">
        <v>127</v>
      </c>
      <c r="L2352" s="0" t="s">
        <v>3825</v>
      </c>
    </row>
    <row r="2353" customFormat="false" ht="15" hidden="false" customHeight="false" outlineLevel="0" collapsed="false">
      <c r="A2353" s="0" t="s">
        <v>3335</v>
      </c>
      <c r="C2353" s="0" t="s">
        <v>1106</v>
      </c>
      <c r="D2353" s="0" t="s">
        <v>52</v>
      </c>
      <c r="E2353" s="0" t="s">
        <v>1113</v>
      </c>
      <c r="F2353" s="0" t="n">
        <v>0</v>
      </c>
      <c r="G2353" s="0" t="n">
        <v>0</v>
      </c>
      <c r="H2353" s="0" t="s">
        <v>117</v>
      </c>
      <c r="K2353" s="0" t="s">
        <v>132</v>
      </c>
      <c r="L2353" s="0" t="s">
        <v>3826</v>
      </c>
    </row>
    <row r="2354" customFormat="false" ht="15" hidden="false" customHeight="false" outlineLevel="0" collapsed="false">
      <c r="A2354" s="0" t="s">
        <v>3335</v>
      </c>
      <c r="C2354" s="0" t="s">
        <v>1106</v>
      </c>
      <c r="D2354" s="0" t="s">
        <v>55</v>
      </c>
      <c r="E2354" s="0" t="s">
        <v>1115</v>
      </c>
      <c r="F2354" s="0" t="n">
        <v>0</v>
      </c>
      <c r="G2354" s="0" t="n">
        <v>0</v>
      </c>
      <c r="H2354" s="0" t="s">
        <v>117</v>
      </c>
      <c r="K2354" s="0" t="s">
        <v>135</v>
      </c>
      <c r="L2354" s="0" t="s">
        <v>3827</v>
      </c>
    </row>
    <row r="2355" customFormat="false" ht="15" hidden="false" customHeight="false" outlineLevel="0" collapsed="false">
      <c r="A2355" s="0" t="s">
        <v>3335</v>
      </c>
      <c r="C2355" s="0" t="s">
        <v>1106</v>
      </c>
      <c r="D2355" s="0" t="s">
        <v>58</v>
      </c>
      <c r="E2355" s="0" t="s">
        <v>1117</v>
      </c>
      <c r="F2355" s="0" t="n">
        <v>0</v>
      </c>
      <c r="G2355" s="0" t="n">
        <v>0</v>
      </c>
      <c r="H2355" s="0" t="s">
        <v>117</v>
      </c>
      <c r="K2355" s="0" t="s">
        <v>138</v>
      </c>
      <c r="L2355" s="0" t="s">
        <v>3828</v>
      </c>
    </row>
    <row r="2356" customFormat="false" ht="15" hidden="false" customHeight="false" outlineLevel="0" collapsed="false">
      <c r="A2356" s="0" t="s">
        <v>3335</v>
      </c>
      <c r="C2356" s="0" t="s">
        <v>1106</v>
      </c>
      <c r="D2356" s="0" t="s">
        <v>65</v>
      </c>
      <c r="E2356" s="0" t="s">
        <v>1119</v>
      </c>
      <c r="F2356" s="0" t="n">
        <v>0</v>
      </c>
      <c r="G2356" s="0" t="n">
        <v>0</v>
      </c>
      <c r="H2356" s="0" t="s">
        <v>117</v>
      </c>
      <c r="K2356" s="0" t="s">
        <v>143</v>
      </c>
      <c r="L2356" s="0" t="s">
        <v>3829</v>
      </c>
    </row>
    <row r="2357" customFormat="false" ht="15" hidden="false" customHeight="false" outlineLevel="0" collapsed="false">
      <c r="A2357" s="0" t="s">
        <v>3335</v>
      </c>
      <c r="C2357" s="0" t="s">
        <v>1106</v>
      </c>
      <c r="D2357" s="0" t="s">
        <v>69</v>
      </c>
      <c r="E2357" s="0" t="s">
        <v>1121</v>
      </c>
      <c r="F2357" s="0" t="n">
        <v>0</v>
      </c>
      <c r="G2357" s="0" t="n">
        <v>0</v>
      </c>
      <c r="H2357" s="0" t="s">
        <v>117</v>
      </c>
      <c r="K2357" s="0" t="s">
        <v>146</v>
      </c>
      <c r="L2357" s="0" t="s">
        <v>3830</v>
      </c>
    </row>
    <row r="2358" customFormat="false" ht="15" hidden="false" customHeight="false" outlineLevel="0" collapsed="false">
      <c r="A2358" s="0" t="s">
        <v>3335</v>
      </c>
      <c r="C2358" s="0" t="s">
        <v>1106</v>
      </c>
      <c r="D2358" s="0" t="s">
        <v>72</v>
      </c>
      <c r="E2358" s="0" t="s">
        <v>1123</v>
      </c>
      <c r="F2358" s="0" t="n">
        <v>0</v>
      </c>
      <c r="G2358" s="0" t="n">
        <v>0</v>
      </c>
      <c r="H2358" s="0" t="s">
        <v>117</v>
      </c>
      <c r="K2358" s="0" t="s">
        <v>149</v>
      </c>
      <c r="L2358" s="0" t="s">
        <v>3831</v>
      </c>
    </row>
    <row r="2359" customFormat="false" ht="15" hidden="false" customHeight="false" outlineLevel="0" collapsed="false">
      <c r="A2359" s="0" t="s">
        <v>3335</v>
      </c>
      <c r="C2359" s="0" t="s">
        <v>1106</v>
      </c>
      <c r="D2359" s="0" t="s">
        <v>75</v>
      </c>
      <c r="E2359" s="0" t="s">
        <v>1125</v>
      </c>
      <c r="F2359" s="0" t="n">
        <v>0</v>
      </c>
      <c r="G2359" s="0" t="n">
        <v>0</v>
      </c>
      <c r="H2359" s="0" t="s">
        <v>117</v>
      </c>
      <c r="K2359" s="0" t="s">
        <v>152</v>
      </c>
      <c r="L2359" s="0" t="s">
        <v>3832</v>
      </c>
    </row>
    <row r="2360" customFormat="false" ht="15" hidden="false" customHeight="false" outlineLevel="0" collapsed="false">
      <c r="A2360" s="0" t="s">
        <v>3335</v>
      </c>
      <c r="C2360" s="0" t="s">
        <v>1106</v>
      </c>
      <c r="D2360" s="0" t="s">
        <v>78</v>
      </c>
      <c r="E2360" s="0" t="s">
        <v>1127</v>
      </c>
      <c r="F2360" s="0" t="n">
        <v>0</v>
      </c>
      <c r="G2360" s="0" t="n">
        <v>0</v>
      </c>
      <c r="H2360" s="0" t="s">
        <v>117</v>
      </c>
      <c r="K2360" s="0" t="s">
        <v>156</v>
      </c>
      <c r="L2360" s="0" t="s">
        <v>3833</v>
      </c>
    </row>
    <row r="2361" customFormat="false" ht="15" hidden="false" customHeight="false" outlineLevel="0" collapsed="false">
      <c r="A2361" s="0" t="s">
        <v>3335</v>
      </c>
      <c r="C2361" s="0" t="s">
        <v>1106</v>
      </c>
      <c r="D2361" s="0" t="s">
        <v>81</v>
      </c>
      <c r="E2361" s="0" t="s">
        <v>1129</v>
      </c>
      <c r="F2361" s="0" t="n">
        <v>0</v>
      </c>
      <c r="G2361" s="0" t="n">
        <v>0</v>
      </c>
      <c r="H2361" s="0" t="s">
        <v>117</v>
      </c>
      <c r="K2361" s="0" t="s">
        <v>160</v>
      </c>
      <c r="L2361" s="0" t="s">
        <v>3834</v>
      </c>
    </row>
    <row r="2362" customFormat="false" ht="15" hidden="false" customHeight="false" outlineLevel="0" collapsed="false">
      <c r="A2362" s="0" t="s">
        <v>3335</v>
      </c>
      <c r="C2362" s="0" t="s">
        <v>1131</v>
      </c>
      <c r="D2362" s="0" t="s">
        <v>528</v>
      </c>
      <c r="E2362" s="0" t="s">
        <v>1132</v>
      </c>
      <c r="F2362" s="0" t="n">
        <v>0</v>
      </c>
      <c r="G2362" s="0" t="n">
        <v>0</v>
      </c>
      <c r="H2362" s="0" t="s">
        <v>117</v>
      </c>
      <c r="K2362" s="0" t="s">
        <v>118</v>
      </c>
      <c r="L2362" s="0" t="s">
        <v>3835</v>
      </c>
    </row>
    <row r="2363" customFormat="false" ht="15" hidden="false" customHeight="false" outlineLevel="0" collapsed="false">
      <c r="A2363" s="0" t="s">
        <v>3335</v>
      </c>
      <c r="C2363" s="0" t="s">
        <v>1131</v>
      </c>
      <c r="D2363" s="0" t="s">
        <v>531</v>
      </c>
      <c r="E2363" s="0" t="s">
        <v>1134</v>
      </c>
      <c r="F2363" s="0" t="n">
        <v>0</v>
      </c>
      <c r="G2363" s="0" t="n">
        <v>0</v>
      </c>
      <c r="H2363" s="0" t="s">
        <v>117</v>
      </c>
      <c r="K2363" s="0" t="s">
        <v>123</v>
      </c>
      <c r="L2363" s="0" t="s">
        <v>3836</v>
      </c>
    </row>
    <row r="2364" customFormat="false" ht="15" hidden="false" customHeight="false" outlineLevel="0" collapsed="false">
      <c r="A2364" s="0" t="s">
        <v>3335</v>
      </c>
      <c r="C2364" s="0" t="s">
        <v>1131</v>
      </c>
      <c r="D2364" s="0" t="s">
        <v>534</v>
      </c>
      <c r="E2364" s="0" t="s">
        <v>1136</v>
      </c>
      <c r="F2364" s="0" t="n">
        <v>0</v>
      </c>
      <c r="G2364" s="0" t="n">
        <v>0</v>
      </c>
      <c r="H2364" s="0" t="s">
        <v>117</v>
      </c>
      <c r="K2364" s="0" t="s">
        <v>127</v>
      </c>
      <c r="L2364" s="0" t="s">
        <v>3837</v>
      </c>
    </row>
    <row r="2365" customFormat="false" ht="15" hidden="false" customHeight="false" outlineLevel="0" collapsed="false">
      <c r="A2365" s="0" t="s">
        <v>3335</v>
      </c>
      <c r="C2365" s="0" t="s">
        <v>1131</v>
      </c>
      <c r="D2365" s="0" t="s">
        <v>52</v>
      </c>
      <c r="E2365" s="0" t="s">
        <v>1138</v>
      </c>
      <c r="F2365" s="0" t="n">
        <v>0</v>
      </c>
      <c r="G2365" s="0" t="n">
        <v>0</v>
      </c>
      <c r="H2365" s="0" t="s">
        <v>117</v>
      </c>
      <c r="K2365" s="0" t="s">
        <v>132</v>
      </c>
      <c r="L2365" s="0" t="s">
        <v>3838</v>
      </c>
    </row>
    <row r="2366" customFormat="false" ht="15" hidden="false" customHeight="false" outlineLevel="0" collapsed="false">
      <c r="A2366" s="0" t="s">
        <v>3335</v>
      </c>
      <c r="C2366" s="0" t="s">
        <v>1131</v>
      </c>
      <c r="D2366" s="0" t="s">
        <v>55</v>
      </c>
      <c r="E2366" s="0" t="s">
        <v>1140</v>
      </c>
      <c r="F2366" s="0" t="n">
        <v>0</v>
      </c>
      <c r="G2366" s="0" t="n">
        <v>0</v>
      </c>
      <c r="H2366" s="0" t="s">
        <v>117</v>
      </c>
      <c r="K2366" s="0" t="s">
        <v>135</v>
      </c>
      <c r="L2366" s="0" t="s">
        <v>3839</v>
      </c>
    </row>
    <row r="2367" customFormat="false" ht="15" hidden="false" customHeight="false" outlineLevel="0" collapsed="false">
      <c r="A2367" s="0" t="s">
        <v>3335</v>
      </c>
      <c r="C2367" s="0" t="s">
        <v>1131</v>
      </c>
      <c r="D2367" s="0" t="s">
        <v>58</v>
      </c>
      <c r="E2367" s="0" t="s">
        <v>1142</v>
      </c>
      <c r="F2367" s="0" t="n">
        <v>0</v>
      </c>
      <c r="G2367" s="0" t="n">
        <v>0</v>
      </c>
      <c r="H2367" s="0" t="s">
        <v>117</v>
      </c>
      <c r="K2367" s="0" t="s">
        <v>138</v>
      </c>
      <c r="L2367" s="0" t="s">
        <v>3840</v>
      </c>
    </row>
    <row r="2368" customFormat="false" ht="15" hidden="false" customHeight="false" outlineLevel="0" collapsed="false">
      <c r="A2368" s="0" t="s">
        <v>3335</v>
      </c>
      <c r="C2368" s="0" t="s">
        <v>1131</v>
      </c>
      <c r="D2368" s="0" t="s">
        <v>65</v>
      </c>
      <c r="E2368" s="0" t="s">
        <v>1144</v>
      </c>
      <c r="F2368" s="0" t="n">
        <v>0</v>
      </c>
      <c r="G2368" s="0" t="n">
        <v>0</v>
      </c>
      <c r="H2368" s="0" t="s">
        <v>117</v>
      </c>
      <c r="K2368" s="0" t="s">
        <v>143</v>
      </c>
      <c r="L2368" s="0" t="s">
        <v>3841</v>
      </c>
    </row>
    <row r="2369" customFormat="false" ht="15" hidden="false" customHeight="false" outlineLevel="0" collapsed="false">
      <c r="A2369" s="0" t="s">
        <v>3335</v>
      </c>
      <c r="C2369" s="0" t="s">
        <v>1131</v>
      </c>
      <c r="D2369" s="0" t="s">
        <v>69</v>
      </c>
      <c r="E2369" s="0" t="s">
        <v>1146</v>
      </c>
      <c r="F2369" s="0" t="n">
        <v>0</v>
      </c>
      <c r="G2369" s="0" t="n">
        <v>0</v>
      </c>
      <c r="H2369" s="0" t="s">
        <v>117</v>
      </c>
      <c r="K2369" s="0" t="s">
        <v>146</v>
      </c>
      <c r="L2369" s="0" t="s">
        <v>3842</v>
      </c>
    </row>
    <row r="2370" customFormat="false" ht="15" hidden="false" customHeight="false" outlineLevel="0" collapsed="false">
      <c r="A2370" s="0" t="s">
        <v>3335</v>
      </c>
      <c r="C2370" s="0" t="s">
        <v>1131</v>
      </c>
      <c r="D2370" s="0" t="s">
        <v>72</v>
      </c>
      <c r="E2370" s="0" t="s">
        <v>1148</v>
      </c>
      <c r="F2370" s="0" t="n">
        <v>0</v>
      </c>
      <c r="G2370" s="0" t="n">
        <v>0</v>
      </c>
      <c r="H2370" s="0" t="s">
        <v>117</v>
      </c>
      <c r="K2370" s="0" t="s">
        <v>149</v>
      </c>
      <c r="L2370" s="0" t="s">
        <v>3843</v>
      </c>
    </row>
    <row r="2371" customFormat="false" ht="15" hidden="false" customHeight="false" outlineLevel="0" collapsed="false">
      <c r="A2371" s="0" t="s">
        <v>3335</v>
      </c>
      <c r="C2371" s="0" t="s">
        <v>1131</v>
      </c>
      <c r="D2371" s="0" t="s">
        <v>75</v>
      </c>
      <c r="E2371" s="0" t="s">
        <v>1150</v>
      </c>
      <c r="F2371" s="0" t="n">
        <v>0</v>
      </c>
      <c r="G2371" s="0" t="n">
        <v>0</v>
      </c>
      <c r="H2371" s="0" t="s">
        <v>117</v>
      </c>
      <c r="K2371" s="0" t="s">
        <v>152</v>
      </c>
      <c r="L2371" s="0" t="s">
        <v>3844</v>
      </c>
    </row>
    <row r="2372" customFormat="false" ht="15" hidden="false" customHeight="false" outlineLevel="0" collapsed="false">
      <c r="A2372" s="0" t="s">
        <v>3335</v>
      </c>
      <c r="C2372" s="0" t="s">
        <v>1131</v>
      </c>
      <c r="D2372" s="0" t="s">
        <v>78</v>
      </c>
      <c r="E2372" s="0" t="s">
        <v>1152</v>
      </c>
      <c r="F2372" s="0" t="n">
        <v>0</v>
      </c>
      <c r="G2372" s="0" t="n">
        <v>0</v>
      </c>
      <c r="H2372" s="0" t="s">
        <v>117</v>
      </c>
      <c r="K2372" s="0" t="s">
        <v>156</v>
      </c>
      <c r="L2372" s="0" t="s">
        <v>3845</v>
      </c>
    </row>
    <row r="2373" customFormat="false" ht="15" hidden="false" customHeight="false" outlineLevel="0" collapsed="false">
      <c r="A2373" s="0" t="s">
        <v>3335</v>
      </c>
      <c r="C2373" s="0" t="s">
        <v>1131</v>
      </c>
      <c r="D2373" s="0" t="s">
        <v>81</v>
      </c>
      <c r="E2373" s="0" t="s">
        <v>1154</v>
      </c>
      <c r="F2373" s="0" t="n">
        <v>0</v>
      </c>
      <c r="G2373" s="0" t="n">
        <v>0</v>
      </c>
      <c r="H2373" s="0" t="s">
        <v>117</v>
      </c>
      <c r="K2373" s="0" t="s">
        <v>160</v>
      </c>
      <c r="L2373" s="0" t="s">
        <v>3846</v>
      </c>
    </row>
    <row r="2374" customFormat="false" ht="15" hidden="false" customHeight="false" outlineLevel="0" collapsed="false">
      <c r="A2374" s="0" t="s">
        <v>3335</v>
      </c>
      <c r="C2374" s="0" t="s">
        <v>1156</v>
      </c>
      <c r="D2374" s="0" t="s">
        <v>528</v>
      </c>
      <c r="E2374" s="0" t="s">
        <v>1157</v>
      </c>
      <c r="F2374" s="0" t="n">
        <v>0</v>
      </c>
      <c r="G2374" s="0" t="n">
        <v>0</v>
      </c>
      <c r="H2374" s="0" t="s">
        <v>117</v>
      </c>
      <c r="K2374" s="0" t="s">
        <v>118</v>
      </c>
      <c r="L2374" s="0" t="s">
        <v>3847</v>
      </c>
    </row>
    <row r="2375" customFormat="false" ht="15" hidden="false" customHeight="false" outlineLevel="0" collapsed="false">
      <c r="A2375" s="0" t="s">
        <v>3335</v>
      </c>
      <c r="C2375" s="0" t="s">
        <v>1156</v>
      </c>
      <c r="D2375" s="0" t="s">
        <v>531</v>
      </c>
      <c r="E2375" s="0" t="s">
        <v>1159</v>
      </c>
      <c r="F2375" s="0" t="n">
        <v>0</v>
      </c>
      <c r="G2375" s="0" t="n">
        <v>0</v>
      </c>
      <c r="H2375" s="0" t="s">
        <v>117</v>
      </c>
      <c r="K2375" s="0" t="s">
        <v>123</v>
      </c>
      <c r="L2375" s="0" t="s">
        <v>3848</v>
      </c>
    </row>
    <row r="2376" customFormat="false" ht="15" hidden="false" customHeight="false" outlineLevel="0" collapsed="false">
      <c r="A2376" s="0" t="s">
        <v>3335</v>
      </c>
      <c r="C2376" s="0" t="s">
        <v>1156</v>
      </c>
      <c r="D2376" s="0" t="s">
        <v>534</v>
      </c>
      <c r="E2376" s="0" t="s">
        <v>1161</v>
      </c>
      <c r="F2376" s="0" t="n">
        <v>0</v>
      </c>
      <c r="G2376" s="0" t="n">
        <v>0</v>
      </c>
      <c r="H2376" s="0" t="s">
        <v>117</v>
      </c>
      <c r="K2376" s="0" t="s">
        <v>127</v>
      </c>
      <c r="L2376" s="0" t="s">
        <v>3849</v>
      </c>
    </row>
    <row r="2377" customFormat="false" ht="15" hidden="false" customHeight="false" outlineLevel="0" collapsed="false">
      <c r="A2377" s="0" t="s">
        <v>3335</v>
      </c>
      <c r="C2377" s="0" t="s">
        <v>1156</v>
      </c>
      <c r="D2377" s="0" t="s">
        <v>52</v>
      </c>
      <c r="E2377" s="0" t="s">
        <v>1163</v>
      </c>
      <c r="F2377" s="0" t="n">
        <v>0</v>
      </c>
      <c r="G2377" s="0" t="n">
        <v>0</v>
      </c>
      <c r="H2377" s="0" t="s">
        <v>117</v>
      </c>
      <c r="K2377" s="0" t="s">
        <v>132</v>
      </c>
      <c r="L2377" s="0" t="s">
        <v>3850</v>
      </c>
    </row>
    <row r="2378" customFormat="false" ht="15" hidden="false" customHeight="false" outlineLevel="0" collapsed="false">
      <c r="A2378" s="0" t="s">
        <v>3335</v>
      </c>
      <c r="C2378" s="0" t="s">
        <v>1156</v>
      </c>
      <c r="D2378" s="0" t="s">
        <v>55</v>
      </c>
      <c r="E2378" s="0" t="s">
        <v>1165</v>
      </c>
      <c r="F2378" s="0" t="n">
        <v>0</v>
      </c>
      <c r="G2378" s="0" t="n">
        <v>0</v>
      </c>
      <c r="H2378" s="0" t="s">
        <v>117</v>
      </c>
      <c r="K2378" s="0" t="s">
        <v>135</v>
      </c>
      <c r="L2378" s="0" t="s">
        <v>3851</v>
      </c>
    </row>
    <row r="2379" customFormat="false" ht="15" hidden="false" customHeight="false" outlineLevel="0" collapsed="false">
      <c r="A2379" s="0" t="s">
        <v>3335</v>
      </c>
      <c r="C2379" s="0" t="s">
        <v>1156</v>
      </c>
      <c r="D2379" s="0" t="s">
        <v>58</v>
      </c>
      <c r="E2379" s="0" t="s">
        <v>1167</v>
      </c>
      <c r="F2379" s="0" t="n">
        <v>0</v>
      </c>
      <c r="G2379" s="0" t="n">
        <v>0</v>
      </c>
      <c r="H2379" s="0" t="s">
        <v>117</v>
      </c>
      <c r="K2379" s="0" t="s">
        <v>138</v>
      </c>
      <c r="L2379" s="0" t="s">
        <v>3852</v>
      </c>
    </row>
    <row r="2380" customFormat="false" ht="15" hidden="false" customHeight="false" outlineLevel="0" collapsed="false">
      <c r="A2380" s="0" t="s">
        <v>3335</v>
      </c>
      <c r="C2380" s="0" t="s">
        <v>1156</v>
      </c>
      <c r="D2380" s="0" t="s">
        <v>65</v>
      </c>
      <c r="E2380" s="0" t="s">
        <v>1169</v>
      </c>
      <c r="F2380" s="0" t="n">
        <v>0</v>
      </c>
      <c r="G2380" s="0" t="n">
        <v>0</v>
      </c>
      <c r="H2380" s="0" t="s">
        <v>117</v>
      </c>
      <c r="K2380" s="0" t="s">
        <v>143</v>
      </c>
      <c r="L2380" s="0" t="s">
        <v>3853</v>
      </c>
    </row>
    <row r="2381" customFormat="false" ht="15" hidden="false" customHeight="false" outlineLevel="0" collapsed="false">
      <c r="A2381" s="0" t="s">
        <v>3335</v>
      </c>
      <c r="C2381" s="0" t="s">
        <v>1156</v>
      </c>
      <c r="D2381" s="0" t="s">
        <v>69</v>
      </c>
      <c r="E2381" s="0" t="s">
        <v>1171</v>
      </c>
      <c r="F2381" s="0" t="n">
        <v>0</v>
      </c>
      <c r="G2381" s="0" t="n">
        <v>0</v>
      </c>
      <c r="H2381" s="0" t="s">
        <v>117</v>
      </c>
      <c r="K2381" s="0" t="s">
        <v>146</v>
      </c>
      <c r="L2381" s="0" t="s">
        <v>3854</v>
      </c>
    </row>
    <row r="2382" customFormat="false" ht="15" hidden="false" customHeight="false" outlineLevel="0" collapsed="false">
      <c r="A2382" s="0" t="s">
        <v>3335</v>
      </c>
      <c r="C2382" s="0" t="s">
        <v>1156</v>
      </c>
      <c r="D2382" s="0" t="s">
        <v>72</v>
      </c>
      <c r="E2382" s="0" t="s">
        <v>1173</v>
      </c>
      <c r="F2382" s="0" t="n">
        <v>0</v>
      </c>
      <c r="G2382" s="0" t="n">
        <v>0</v>
      </c>
      <c r="H2382" s="0" t="s">
        <v>117</v>
      </c>
      <c r="K2382" s="0" t="s">
        <v>149</v>
      </c>
      <c r="L2382" s="0" t="s">
        <v>3855</v>
      </c>
    </row>
    <row r="2383" customFormat="false" ht="15" hidden="false" customHeight="false" outlineLevel="0" collapsed="false">
      <c r="A2383" s="0" t="s">
        <v>3335</v>
      </c>
      <c r="C2383" s="0" t="s">
        <v>1156</v>
      </c>
      <c r="D2383" s="0" t="s">
        <v>75</v>
      </c>
      <c r="E2383" s="0" t="s">
        <v>1175</v>
      </c>
      <c r="F2383" s="0" t="n">
        <v>0</v>
      </c>
      <c r="G2383" s="0" t="n">
        <v>0</v>
      </c>
      <c r="H2383" s="0" t="s">
        <v>117</v>
      </c>
      <c r="K2383" s="0" t="s">
        <v>152</v>
      </c>
      <c r="L2383" s="0" t="s">
        <v>3856</v>
      </c>
    </row>
    <row r="2384" customFormat="false" ht="15" hidden="false" customHeight="false" outlineLevel="0" collapsed="false">
      <c r="A2384" s="0" t="s">
        <v>3335</v>
      </c>
      <c r="C2384" s="0" t="s">
        <v>1156</v>
      </c>
      <c r="D2384" s="0" t="s">
        <v>78</v>
      </c>
      <c r="E2384" s="0" t="s">
        <v>1177</v>
      </c>
      <c r="F2384" s="0" t="n">
        <v>0</v>
      </c>
      <c r="G2384" s="0" t="n">
        <v>0</v>
      </c>
      <c r="H2384" s="0" t="s">
        <v>117</v>
      </c>
      <c r="K2384" s="0" t="s">
        <v>156</v>
      </c>
      <c r="L2384" s="0" t="s">
        <v>3857</v>
      </c>
    </row>
    <row r="2385" customFormat="false" ht="15" hidden="false" customHeight="false" outlineLevel="0" collapsed="false">
      <c r="A2385" s="0" t="s">
        <v>3335</v>
      </c>
      <c r="C2385" s="0" t="s">
        <v>1156</v>
      </c>
      <c r="D2385" s="0" t="s">
        <v>81</v>
      </c>
      <c r="E2385" s="0" t="s">
        <v>2104</v>
      </c>
      <c r="F2385" s="0" t="n">
        <v>0</v>
      </c>
      <c r="G2385" s="0" t="n">
        <v>0</v>
      </c>
      <c r="H2385" s="0" t="s">
        <v>117</v>
      </c>
      <c r="K2385" s="0" t="s">
        <v>160</v>
      </c>
      <c r="L2385" s="0" t="s">
        <v>3858</v>
      </c>
    </row>
    <row r="2386" customFormat="false" ht="15" hidden="false" customHeight="false" outlineLevel="0" collapsed="false">
      <c r="A2386" s="0" t="s">
        <v>3335</v>
      </c>
      <c r="C2386" s="0" t="s">
        <v>1181</v>
      </c>
      <c r="D2386" s="0" t="s">
        <v>528</v>
      </c>
      <c r="E2386" s="0" t="s">
        <v>1182</v>
      </c>
      <c r="F2386" s="0" t="n">
        <v>0</v>
      </c>
      <c r="G2386" s="0" t="n">
        <v>0</v>
      </c>
      <c r="H2386" s="0" t="s">
        <v>117</v>
      </c>
      <c r="K2386" s="0" t="s">
        <v>118</v>
      </c>
      <c r="L2386" s="0" t="s">
        <v>3859</v>
      </c>
    </row>
    <row r="2387" customFormat="false" ht="15" hidden="false" customHeight="false" outlineLevel="0" collapsed="false">
      <c r="A2387" s="0" t="s">
        <v>3335</v>
      </c>
      <c r="C2387" s="0" t="s">
        <v>1181</v>
      </c>
      <c r="D2387" s="0" t="s">
        <v>531</v>
      </c>
      <c r="E2387" s="0" t="s">
        <v>2107</v>
      </c>
      <c r="F2387" s="0" t="n">
        <v>0</v>
      </c>
      <c r="G2387" s="0" t="n">
        <v>0</v>
      </c>
      <c r="H2387" s="0" t="s">
        <v>117</v>
      </c>
      <c r="K2387" s="0" t="s">
        <v>123</v>
      </c>
      <c r="L2387" s="0" t="s">
        <v>3860</v>
      </c>
    </row>
    <row r="2388" customFormat="false" ht="15" hidden="false" customHeight="false" outlineLevel="0" collapsed="false">
      <c r="A2388" s="0" t="s">
        <v>3335</v>
      </c>
      <c r="C2388" s="0" t="s">
        <v>1181</v>
      </c>
      <c r="D2388" s="0" t="s">
        <v>534</v>
      </c>
      <c r="E2388" s="0" t="s">
        <v>2109</v>
      </c>
      <c r="F2388" s="0" t="n">
        <v>0</v>
      </c>
      <c r="G2388" s="0" t="n">
        <v>0</v>
      </c>
      <c r="H2388" s="0" t="s">
        <v>117</v>
      </c>
      <c r="K2388" s="0" t="s">
        <v>127</v>
      </c>
      <c r="L2388" s="0" t="s">
        <v>3861</v>
      </c>
    </row>
    <row r="2389" customFormat="false" ht="15" hidden="false" customHeight="false" outlineLevel="0" collapsed="false">
      <c r="A2389" s="0" t="s">
        <v>3335</v>
      </c>
      <c r="C2389" s="0" t="s">
        <v>1181</v>
      </c>
      <c r="D2389" s="0" t="s">
        <v>52</v>
      </c>
      <c r="E2389" s="0" t="s">
        <v>2111</v>
      </c>
      <c r="F2389" s="0" t="n">
        <v>0</v>
      </c>
      <c r="G2389" s="0" t="n">
        <v>0</v>
      </c>
      <c r="H2389" s="0" t="s">
        <v>117</v>
      </c>
      <c r="K2389" s="0" t="s">
        <v>132</v>
      </c>
      <c r="L2389" s="0" t="s">
        <v>3862</v>
      </c>
    </row>
    <row r="2390" customFormat="false" ht="15" hidden="false" customHeight="false" outlineLevel="0" collapsed="false">
      <c r="A2390" s="0" t="s">
        <v>3335</v>
      </c>
      <c r="C2390" s="0" t="s">
        <v>1181</v>
      </c>
      <c r="D2390" s="0" t="s">
        <v>55</v>
      </c>
      <c r="E2390" s="0" t="s">
        <v>1190</v>
      </c>
      <c r="F2390" s="0" t="n">
        <v>0</v>
      </c>
      <c r="G2390" s="0" t="n">
        <v>0</v>
      </c>
      <c r="H2390" s="0" t="s">
        <v>117</v>
      </c>
      <c r="K2390" s="0" t="s">
        <v>135</v>
      </c>
      <c r="L2390" s="0" t="s">
        <v>3863</v>
      </c>
    </row>
    <row r="2391" customFormat="false" ht="15" hidden="false" customHeight="false" outlineLevel="0" collapsed="false">
      <c r="A2391" s="0" t="s">
        <v>3335</v>
      </c>
      <c r="C2391" s="0" t="s">
        <v>1181</v>
      </c>
      <c r="D2391" s="0" t="s">
        <v>58</v>
      </c>
      <c r="E2391" s="0" t="s">
        <v>1192</v>
      </c>
      <c r="F2391" s="0" t="n">
        <v>0</v>
      </c>
      <c r="G2391" s="0" t="n">
        <v>0</v>
      </c>
      <c r="H2391" s="0" t="s">
        <v>117</v>
      </c>
      <c r="K2391" s="0" t="s">
        <v>138</v>
      </c>
      <c r="L2391" s="0" t="s">
        <v>3864</v>
      </c>
    </row>
    <row r="2392" customFormat="false" ht="15" hidden="false" customHeight="false" outlineLevel="0" collapsed="false">
      <c r="A2392" s="0" t="s">
        <v>3335</v>
      </c>
      <c r="C2392" s="0" t="s">
        <v>1181</v>
      </c>
      <c r="D2392" s="0" t="s">
        <v>65</v>
      </c>
      <c r="E2392" s="0" t="s">
        <v>1194</v>
      </c>
      <c r="F2392" s="0" t="n">
        <v>0</v>
      </c>
      <c r="G2392" s="0" t="n">
        <v>0</v>
      </c>
      <c r="H2392" s="0" t="s">
        <v>117</v>
      </c>
      <c r="K2392" s="0" t="s">
        <v>143</v>
      </c>
      <c r="L2392" s="0" t="s">
        <v>3865</v>
      </c>
    </row>
    <row r="2393" customFormat="false" ht="15" hidden="false" customHeight="false" outlineLevel="0" collapsed="false">
      <c r="A2393" s="0" t="s">
        <v>3335</v>
      </c>
      <c r="C2393" s="0" t="s">
        <v>1181</v>
      </c>
      <c r="D2393" s="0" t="s">
        <v>69</v>
      </c>
      <c r="E2393" s="0" t="s">
        <v>1196</v>
      </c>
      <c r="F2393" s="0" t="n">
        <v>0</v>
      </c>
      <c r="G2393" s="0" t="n">
        <v>0</v>
      </c>
      <c r="H2393" s="0" t="s">
        <v>117</v>
      </c>
      <c r="K2393" s="0" t="s">
        <v>146</v>
      </c>
      <c r="L2393" s="0" t="s">
        <v>3866</v>
      </c>
    </row>
    <row r="2394" customFormat="false" ht="15" hidden="false" customHeight="false" outlineLevel="0" collapsed="false">
      <c r="A2394" s="0" t="s">
        <v>3335</v>
      </c>
      <c r="C2394" s="0" t="s">
        <v>1181</v>
      </c>
      <c r="D2394" s="0" t="s">
        <v>72</v>
      </c>
      <c r="E2394" s="0" t="s">
        <v>1198</v>
      </c>
      <c r="F2394" s="0" t="n">
        <v>0</v>
      </c>
      <c r="G2394" s="0" t="n">
        <v>0</v>
      </c>
      <c r="H2394" s="0" t="s">
        <v>117</v>
      </c>
      <c r="K2394" s="0" t="s">
        <v>149</v>
      </c>
      <c r="L2394" s="0" t="s">
        <v>3867</v>
      </c>
    </row>
    <row r="2395" customFormat="false" ht="15" hidden="false" customHeight="false" outlineLevel="0" collapsed="false">
      <c r="A2395" s="0" t="s">
        <v>3335</v>
      </c>
      <c r="C2395" s="0" t="s">
        <v>1181</v>
      </c>
      <c r="D2395" s="0" t="s">
        <v>75</v>
      </c>
      <c r="E2395" s="0" t="s">
        <v>1200</v>
      </c>
      <c r="F2395" s="0" t="n">
        <v>0</v>
      </c>
      <c r="G2395" s="0" t="n">
        <v>0</v>
      </c>
      <c r="H2395" s="0" t="s">
        <v>117</v>
      </c>
      <c r="K2395" s="0" t="s">
        <v>152</v>
      </c>
      <c r="L2395" s="0" t="s">
        <v>3868</v>
      </c>
    </row>
    <row r="2396" customFormat="false" ht="15" hidden="false" customHeight="false" outlineLevel="0" collapsed="false">
      <c r="A2396" s="0" t="s">
        <v>3335</v>
      </c>
      <c r="C2396" s="0" t="s">
        <v>1181</v>
      </c>
      <c r="D2396" s="0" t="s">
        <v>78</v>
      </c>
      <c r="E2396" s="0" t="s">
        <v>1202</v>
      </c>
      <c r="F2396" s="0" t="n">
        <v>0</v>
      </c>
      <c r="G2396" s="0" t="n">
        <v>0</v>
      </c>
      <c r="H2396" s="0" t="s">
        <v>117</v>
      </c>
      <c r="K2396" s="0" t="s">
        <v>156</v>
      </c>
      <c r="L2396" s="0" t="s">
        <v>3869</v>
      </c>
    </row>
    <row r="2397" customFormat="false" ht="15" hidden="false" customHeight="false" outlineLevel="0" collapsed="false">
      <c r="A2397" s="0" t="s">
        <v>3335</v>
      </c>
      <c r="C2397" s="0" t="s">
        <v>1181</v>
      </c>
      <c r="D2397" s="0" t="s">
        <v>81</v>
      </c>
      <c r="E2397" s="0" t="s">
        <v>1204</v>
      </c>
      <c r="F2397" s="0" t="n">
        <v>0</v>
      </c>
      <c r="G2397" s="0" t="n">
        <v>0</v>
      </c>
      <c r="H2397" s="0" t="s">
        <v>117</v>
      </c>
      <c r="K2397" s="0" t="s">
        <v>160</v>
      </c>
      <c r="L2397" s="0" t="s">
        <v>3870</v>
      </c>
    </row>
    <row r="2398" customFormat="false" ht="15" hidden="false" customHeight="false" outlineLevel="0" collapsed="false">
      <c r="A2398" s="0" t="s">
        <v>3335</v>
      </c>
      <c r="C2398" s="0" t="s">
        <v>1206</v>
      </c>
      <c r="D2398" s="0" t="s">
        <v>528</v>
      </c>
      <c r="E2398" s="0" t="s">
        <v>1207</v>
      </c>
      <c r="F2398" s="0" t="n">
        <v>0</v>
      </c>
      <c r="G2398" s="0" t="n">
        <v>0</v>
      </c>
      <c r="H2398" s="0" t="s">
        <v>117</v>
      </c>
      <c r="K2398" s="0" t="s">
        <v>118</v>
      </c>
      <c r="L2398" s="0" t="s">
        <v>3871</v>
      </c>
    </row>
    <row r="2399" customFormat="false" ht="15" hidden="false" customHeight="false" outlineLevel="0" collapsed="false">
      <c r="A2399" s="0" t="s">
        <v>3335</v>
      </c>
      <c r="C2399" s="0" t="s">
        <v>1206</v>
      </c>
      <c r="D2399" s="0" t="s">
        <v>531</v>
      </c>
      <c r="E2399" s="0" t="s">
        <v>1209</v>
      </c>
      <c r="F2399" s="0" t="n">
        <v>0</v>
      </c>
      <c r="G2399" s="0" t="n">
        <v>0</v>
      </c>
      <c r="H2399" s="0" t="s">
        <v>117</v>
      </c>
      <c r="K2399" s="0" t="s">
        <v>123</v>
      </c>
      <c r="L2399" s="0" t="s">
        <v>3872</v>
      </c>
    </row>
    <row r="2400" customFormat="false" ht="15" hidden="false" customHeight="false" outlineLevel="0" collapsed="false">
      <c r="A2400" s="0" t="s">
        <v>3335</v>
      </c>
      <c r="C2400" s="0" t="s">
        <v>1206</v>
      </c>
      <c r="D2400" s="0" t="s">
        <v>534</v>
      </c>
      <c r="E2400" s="0" t="s">
        <v>1211</v>
      </c>
      <c r="F2400" s="0" t="n">
        <v>0</v>
      </c>
      <c r="G2400" s="0" t="n">
        <v>0</v>
      </c>
      <c r="H2400" s="0" t="s">
        <v>117</v>
      </c>
      <c r="K2400" s="0" t="s">
        <v>127</v>
      </c>
      <c r="L2400" s="0" t="s">
        <v>3873</v>
      </c>
    </row>
    <row r="2401" customFormat="false" ht="15" hidden="false" customHeight="false" outlineLevel="0" collapsed="false">
      <c r="A2401" s="0" t="s">
        <v>3335</v>
      </c>
      <c r="C2401" s="0" t="s">
        <v>1206</v>
      </c>
      <c r="D2401" s="0" t="s">
        <v>52</v>
      </c>
      <c r="E2401" s="0" t="s">
        <v>1213</v>
      </c>
      <c r="F2401" s="0" t="n">
        <v>0</v>
      </c>
      <c r="G2401" s="0" t="n">
        <v>0</v>
      </c>
      <c r="H2401" s="0" t="s">
        <v>117</v>
      </c>
      <c r="K2401" s="0" t="s">
        <v>132</v>
      </c>
      <c r="L2401" s="0" t="s">
        <v>3874</v>
      </c>
    </row>
    <row r="2402" customFormat="false" ht="15" hidden="false" customHeight="false" outlineLevel="0" collapsed="false">
      <c r="A2402" s="0" t="s">
        <v>3335</v>
      </c>
      <c r="C2402" s="0" t="s">
        <v>1206</v>
      </c>
      <c r="D2402" s="0" t="s">
        <v>55</v>
      </c>
      <c r="E2402" s="0" t="s">
        <v>1215</v>
      </c>
      <c r="F2402" s="0" t="n">
        <v>0</v>
      </c>
      <c r="G2402" s="0" t="n">
        <v>0</v>
      </c>
      <c r="H2402" s="0" t="s">
        <v>117</v>
      </c>
      <c r="K2402" s="0" t="s">
        <v>135</v>
      </c>
      <c r="L2402" s="0" t="s">
        <v>3875</v>
      </c>
    </row>
    <row r="2403" customFormat="false" ht="15" hidden="false" customHeight="false" outlineLevel="0" collapsed="false">
      <c r="A2403" s="0" t="s">
        <v>3335</v>
      </c>
      <c r="C2403" s="0" t="s">
        <v>1206</v>
      </c>
      <c r="D2403" s="0" t="s">
        <v>58</v>
      </c>
      <c r="E2403" s="0" t="s">
        <v>1217</v>
      </c>
      <c r="F2403" s="0" t="n">
        <v>0</v>
      </c>
      <c r="G2403" s="0" t="n">
        <v>0</v>
      </c>
      <c r="H2403" s="0" t="s">
        <v>117</v>
      </c>
      <c r="K2403" s="0" t="s">
        <v>138</v>
      </c>
      <c r="L2403" s="0" t="s">
        <v>3876</v>
      </c>
    </row>
    <row r="2404" customFormat="false" ht="15" hidden="false" customHeight="false" outlineLevel="0" collapsed="false">
      <c r="A2404" s="0" t="s">
        <v>3335</v>
      </c>
      <c r="C2404" s="0" t="s">
        <v>1206</v>
      </c>
      <c r="D2404" s="0" t="s">
        <v>65</v>
      </c>
      <c r="E2404" s="0" t="s">
        <v>1219</v>
      </c>
      <c r="F2404" s="0" t="n">
        <v>0</v>
      </c>
      <c r="G2404" s="0" t="n">
        <v>0</v>
      </c>
      <c r="H2404" s="0" t="s">
        <v>117</v>
      </c>
      <c r="K2404" s="0" t="s">
        <v>143</v>
      </c>
      <c r="L2404" s="0" t="s">
        <v>3877</v>
      </c>
    </row>
    <row r="2405" customFormat="false" ht="15" hidden="false" customHeight="false" outlineLevel="0" collapsed="false">
      <c r="A2405" s="0" t="s">
        <v>3335</v>
      </c>
      <c r="C2405" s="0" t="s">
        <v>1206</v>
      </c>
      <c r="D2405" s="0" t="s">
        <v>69</v>
      </c>
      <c r="E2405" s="0" t="s">
        <v>1221</v>
      </c>
      <c r="F2405" s="0" t="n">
        <v>0</v>
      </c>
      <c r="G2405" s="0" t="n">
        <v>0</v>
      </c>
      <c r="H2405" s="0" t="s">
        <v>117</v>
      </c>
      <c r="K2405" s="0" t="s">
        <v>146</v>
      </c>
      <c r="L2405" s="0" t="s">
        <v>3878</v>
      </c>
    </row>
    <row r="2406" customFormat="false" ht="15" hidden="false" customHeight="false" outlineLevel="0" collapsed="false">
      <c r="A2406" s="0" t="s">
        <v>3335</v>
      </c>
      <c r="C2406" s="0" t="s">
        <v>1206</v>
      </c>
      <c r="D2406" s="0" t="s">
        <v>72</v>
      </c>
      <c r="E2406" s="0" t="s">
        <v>1223</v>
      </c>
      <c r="F2406" s="0" t="n">
        <v>0</v>
      </c>
      <c r="G2406" s="0" t="n">
        <v>0</v>
      </c>
      <c r="H2406" s="0" t="s">
        <v>117</v>
      </c>
      <c r="K2406" s="0" t="s">
        <v>149</v>
      </c>
      <c r="L2406" s="0" t="s">
        <v>3879</v>
      </c>
    </row>
    <row r="2407" customFormat="false" ht="15" hidden="false" customHeight="false" outlineLevel="0" collapsed="false">
      <c r="A2407" s="0" t="s">
        <v>3335</v>
      </c>
      <c r="C2407" s="0" t="s">
        <v>1206</v>
      </c>
      <c r="D2407" s="0" t="s">
        <v>75</v>
      </c>
      <c r="E2407" s="0" t="s">
        <v>1225</v>
      </c>
      <c r="F2407" s="0" t="n">
        <v>0</v>
      </c>
      <c r="G2407" s="0" t="n">
        <v>0</v>
      </c>
      <c r="H2407" s="0" t="s">
        <v>117</v>
      </c>
      <c r="K2407" s="0" t="s">
        <v>152</v>
      </c>
      <c r="L2407" s="0" t="s">
        <v>3880</v>
      </c>
    </row>
    <row r="2408" customFormat="false" ht="15" hidden="false" customHeight="false" outlineLevel="0" collapsed="false">
      <c r="A2408" s="0" t="s">
        <v>3335</v>
      </c>
      <c r="C2408" s="0" t="s">
        <v>1206</v>
      </c>
      <c r="D2408" s="0" t="s">
        <v>78</v>
      </c>
      <c r="E2408" s="0" t="s">
        <v>2131</v>
      </c>
      <c r="F2408" s="0" t="n">
        <v>0</v>
      </c>
      <c r="G2408" s="0" t="n">
        <v>0</v>
      </c>
      <c r="H2408" s="0" t="s">
        <v>117</v>
      </c>
      <c r="K2408" s="0" t="s">
        <v>156</v>
      </c>
      <c r="L2408" s="0" t="s">
        <v>3881</v>
      </c>
    </row>
    <row r="2409" customFormat="false" ht="15" hidden="false" customHeight="false" outlineLevel="0" collapsed="false">
      <c r="A2409" s="0" t="s">
        <v>3335</v>
      </c>
      <c r="C2409" s="0" t="s">
        <v>1206</v>
      </c>
      <c r="D2409" s="0" t="s">
        <v>81</v>
      </c>
      <c r="E2409" s="0" t="s">
        <v>1229</v>
      </c>
      <c r="F2409" s="0" t="n">
        <v>0</v>
      </c>
      <c r="G2409" s="0" t="n">
        <v>0</v>
      </c>
      <c r="H2409" s="0" t="s">
        <v>117</v>
      </c>
      <c r="K2409" s="0" t="s">
        <v>160</v>
      </c>
      <c r="L2409" s="0" t="s">
        <v>3882</v>
      </c>
    </row>
    <row r="2410" customFormat="false" ht="15" hidden="false" customHeight="false" outlineLevel="0" collapsed="false">
      <c r="A2410" s="0" t="s">
        <v>3883</v>
      </c>
      <c r="B2410" s="0" t="s">
        <v>129</v>
      </c>
      <c r="C2410" s="0" t="s">
        <v>114</v>
      </c>
      <c r="D2410" s="0" t="s">
        <v>528</v>
      </c>
      <c r="E2410" s="0" t="s">
        <v>1232</v>
      </c>
      <c r="F2410" s="0" t="n">
        <v>5</v>
      </c>
      <c r="G2410" s="0" t="n">
        <v>0</v>
      </c>
      <c r="H2410" s="0" t="s">
        <v>122</v>
      </c>
      <c r="K2410" s="0" t="s">
        <v>118</v>
      </c>
      <c r="L2410" s="0" t="s">
        <v>3884</v>
      </c>
    </row>
    <row r="2411" customFormat="false" ht="15" hidden="false" customHeight="false" outlineLevel="0" collapsed="false">
      <c r="A2411" s="0" t="s">
        <v>3883</v>
      </c>
      <c r="B2411" s="0" t="s">
        <v>129</v>
      </c>
      <c r="C2411" s="0" t="s">
        <v>114</v>
      </c>
      <c r="D2411" s="0" t="s">
        <v>531</v>
      </c>
      <c r="E2411" s="0" t="s">
        <v>1234</v>
      </c>
      <c r="F2411" s="0" t="n">
        <v>5</v>
      </c>
      <c r="G2411" s="0" t="n">
        <v>0</v>
      </c>
      <c r="H2411" s="0" t="s">
        <v>122</v>
      </c>
      <c r="K2411" s="0" t="s">
        <v>123</v>
      </c>
      <c r="L2411" s="0" t="s">
        <v>3885</v>
      </c>
    </row>
    <row r="2412" customFormat="false" ht="15" hidden="false" customHeight="false" outlineLevel="0" collapsed="false">
      <c r="A2412" s="0" t="s">
        <v>3883</v>
      </c>
      <c r="B2412" s="0" t="s">
        <v>129</v>
      </c>
      <c r="C2412" s="0" t="s">
        <v>114</v>
      </c>
      <c r="D2412" s="0" t="s">
        <v>534</v>
      </c>
      <c r="E2412" s="0" t="s">
        <v>1237</v>
      </c>
      <c r="F2412" s="0" t="n">
        <v>5</v>
      </c>
      <c r="G2412" s="0" t="n">
        <v>0</v>
      </c>
      <c r="H2412" s="0" t="s">
        <v>122</v>
      </c>
      <c r="K2412" s="0" t="s">
        <v>127</v>
      </c>
      <c r="L2412" s="0" t="s">
        <v>3886</v>
      </c>
    </row>
    <row r="2413" customFormat="false" ht="15" hidden="false" customHeight="false" outlineLevel="0" collapsed="false">
      <c r="A2413" s="0" t="s">
        <v>3883</v>
      </c>
      <c r="B2413" s="0" t="s">
        <v>129</v>
      </c>
      <c r="C2413" s="0" t="s">
        <v>114</v>
      </c>
      <c r="D2413" s="0" t="s">
        <v>52</v>
      </c>
      <c r="E2413" s="0" t="s">
        <v>1239</v>
      </c>
      <c r="F2413" s="0" t="n">
        <v>5</v>
      </c>
      <c r="G2413" s="0" t="n">
        <v>0</v>
      </c>
      <c r="H2413" s="0" t="s">
        <v>122</v>
      </c>
      <c r="K2413" s="0" t="s">
        <v>132</v>
      </c>
      <c r="L2413" s="0" t="s">
        <v>3887</v>
      </c>
    </row>
    <row r="2414" customFormat="false" ht="15" hidden="false" customHeight="false" outlineLevel="0" collapsed="false">
      <c r="A2414" s="0" t="s">
        <v>3883</v>
      </c>
      <c r="B2414" s="0" t="s">
        <v>129</v>
      </c>
      <c r="C2414" s="0" t="s">
        <v>114</v>
      </c>
      <c r="D2414" s="0" t="s">
        <v>55</v>
      </c>
      <c r="E2414" s="0" t="s">
        <v>1241</v>
      </c>
      <c r="F2414" s="0" t="n">
        <v>5</v>
      </c>
      <c r="G2414" s="0" t="n">
        <v>0</v>
      </c>
      <c r="H2414" s="0" t="s">
        <v>122</v>
      </c>
      <c r="K2414" s="0" t="s">
        <v>135</v>
      </c>
      <c r="L2414" s="0" t="s">
        <v>3888</v>
      </c>
    </row>
    <row r="2415" customFormat="false" ht="15" hidden="false" customHeight="false" outlineLevel="0" collapsed="false">
      <c r="A2415" s="0" t="s">
        <v>3883</v>
      </c>
      <c r="B2415" s="0" t="s">
        <v>129</v>
      </c>
      <c r="C2415" s="0" t="s">
        <v>114</v>
      </c>
      <c r="D2415" s="0" t="s">
        <v>58</v>
      </c>
      <c r="E2415" s="0" t="s">
        <v>1243</v>
      </c>
      <c r="F2415" s="0" t="n">
        <v>5</v>
      </c>
      <c r="G2415" s="0" t="n">
        <v>0</v>
      </c>
      <c r="H2415" s="0" t="s">
        <v>122</v>
      </c>
      <c r="K2415" s="0" t="s">
        <v>138</v>
      </c>
      <c r="L2415" s="0" t="s">
        <v>3889</v>
      </c>
    </row>
    <row r="2416" customFormat="false" ht="15" hidden="false" customHeight="false" outlineLevel="0" collapsed="false">
      <c r="A2416" s="0" t="s">
        <v>3883</v>
      </c>
      <c r="B2416" s="0" t="s">
        <v>129</v>
      </c>
      <c r="C2416" s="0" t="s">
        <v>114</v>
      </c>
      <c r="D2416" s="0" t="s">
        <v>65</v>
      </c>
      <c r="E2416" s="0" t="s">
        <v>1245</v>
      </c>
      <c r="F2416" s="0" t="n">
        <v>5</v>
      </c>
      <c r="G2416" s="0" t="n">
        <v>0</v>
      </c>
      <c r="H2416" s="0" t="s">
        <v>122</v>
      </c>
      <c r="K2416" s="0" t="s">
        <v>143</v>
      </c>
      <c r="L2416" s="0" t="s">
        <v>3890</v>
      </c>
    </row>
    <row r="2417" customFormat="false" ht="15" hidden="false" customHeight="false" outlineLevel="0" collapsed="false">
      <c r="A2417" s="0" t="s">
        <v>3883</v>
      </c>
      <c r="B2417" s="0" t="s">
        <v>129</v>
      </c>
      <c r="C2417" s="0" t="s">
        <v>114</v>
      </c>
      <c r="D2417" s="0" t="s">
        <v>69</v>
      </c>
      <c r="E2417" s="0" t="s">
        <v>1247</v>
      </c>
      <c r="F2417" s="0" t="n">
        <v>5</v>
      </c>
      <c r="G2417" s="0" t="n">
        <v>0</v>
      </c>
      <c r="H2417" s="0" t="s">
        <v>122</v>
      </c>
      <c r="K2417" s="0" t="s">
        <v>146</v>
      </c>
      <c r="L2417" s="0" t="s">
        <v>3891</v>
      </c>
    </row>
    <row r="2418" customFormat="false" ht="15" hidden="false" customHeight="false" outlineLevel="0" collapsed="false">
      <c r="A2418" s="0" t="s">
        <v>3883</v>
      </c>
      <c r="B2418" s="0" t="s">
        <v>129</v>
      </c>
      <c r="C2418" s="0" t="s">
        <v>114</v>
      </c>
      <c r="D2418" s="0" t="s">
        <v>72</v>
      </c>
      <c r="E2418" s="0" t="s">
        <v>1249</v>
      </c>
      <c r="F2418" s="0" t="n">
        <v>5</v>
      </c>
      <c r="G2418" s="0" t="n">
        <v>0</v>
      </c>
      <c r="H2418" s="0" t="s">
        <v>122</v>
      </c>
      <c r="K2418" s="0" t="s">
        <v>149</v>
      </c>
      <c r="L2418" s="0" t="s">
        <v>3892</v>
      </c>
    </row>
    <row r="2419" customFormat="false" ht="15" hidden="false" customHeight="false" outlineLevel="0" collapsed="false">
      <c r="A2419" s="0" t="s">
        <v>3883</v>
      </c>
      <c r="B2419" s="0" t="s">
        <v>129</v>
      </c>
      <c r="C2419" s="0" t="s">
        <v>114</v>
      </c>
      <c r="D2419" s="0" t="s">
        <v>75</v>
      </c>
      <c r="E2419" s="0" t="s">
        <v>1251</v>
      </c>
      <c r="F2419" s="0" t="n">
        <v>5</v>
      </c>
      <c r="G2419" s="0" t="n">
        <v>0</v>
      </c>
      <c r="H2419" s="0" t="s">
        <v>122</v>
      </c>
      <c r="K2419" s="0" t="s">
        <v>152</v>
      </c>
      <c r="L2419" s="0" t="s">
        <v>3893</v>
      </c>
    </row>
    <row r="2420" customFormat="false" ht="15" hidden="false" customHeight="false" outlineLevel="0" collapsed="false">
      <c r="A2420" s="0" t="s">
        <v>3883</v>
      </c>
      <c r="B2420" s="0" t="s">
        <v>129</v>
      </c>
      <c r="C2420" s="0" t="s">
        <v>114</v>
      </c>
      <c r="D2420" s="0" t="s">
        <v>78</v>
      </c>
      <c r="E2420" s="0" t="s">
        <v>1253</v>
      </c>
      <c r="F2420" s="0" t="n">
        <v>5</v>
      </c>
      <c r="G2420" s="0" t="n">
        <v>0</v>
      </c>
      <c r="H2420" s="0" t="s">
        <v>122</v>
      </c>
      <c r="K2420" s="0" t="s">
        <v>156</v>
      </c>
      <c r="L2420" s="0" t="s">
        <v>3894</v>
      </c>
    </row>
    <row r="2421" customFormat="false" ht="15" hidden="false" customHeight="false" outlineLevel="0" collapsed="false">
      <c r="A2421" s="0" t="s">
        <v>3883</v>
      </c>
      <c r="B2421" s="0" t="s">
        <v>129</v>
      </c>
      <c r="C2421" s="0" t="s">
        <v>114</v>
      </c>
      <c r="D2421" s="0" t="s">
        <v>81</v>
      </c>
      <c r="E2421" s="0" t="s">
        <v>1255</v>
      </c>
      <c r="F2421" s="0" t="n">
        <v>5</v>
      </c>
      <c r="G2421" s="0" t="n">
        <v>0</v>
      </c>
      <c r="H2421" s="0" t="s">
        <v>122</v>
      </c>
      <c r="K2421" s="0" t="s">
        <v>160</v>
      </c>
      <c r="L2421" s="0" t="s">
        <v>3895</v>
      </c>
    </row>
    <row r="2422" customFormat="false" ht="15" hidden="false" customHeight="false" outlineLevel="0" collapsed="false">
      <c r="A2422" s="0" t="s">
        <v>3883</v>
      </c>
      <c r="B2422" s="0" t="s">
        <v>129</v>
      </c>
      <c r="C2422" s="0" t="s">
        <v>162</v>
      </c>
      <c r="D2422" s="0" t="s">
        <v>528</v>
      </c>
      <c r="E2422" s="0" t="s">
        <v>1257</v>
      </c>
      <c r="F2422" s="0" t="n">
        <v>5</v>
      </c>
      <c r="G2422" s="0" t="n">
        <v>0</v>
      </c>
      <c r="H2422" s="0" t="s">
        <v>122</v>
      </c>
      <c r="K2422" s="0" t="s">
        <v>118</v>
      </c>
      <c r="L2422" s="0" t="s">
        <v>3896</v>
      </c>
    </row>
    <row r="2423" customFormat="false" ht="15" hidden="false" customHeight="false" outlineLevel="0" collapsed="false">
      <c r="A2423" s="0" t="s">
        <v>3883</v>
      </c>
      <c r="B2423" s="0" t="s">
        <v>129</v>
      </c>
      <c r="C2423" s="0" t="s">
        <v>162</v>
      </c>
      <c r="D2423" s="0" t="s">
        <v>531</v>
      </c>
      <c r="E2423" s="0" t="s">
        <v>1259</v>
      </c>
      <c r="F2423" s="0" t="n">
        <v>5</v>
      </c>
      <c r="G2423" s="0" t="n">
        <v>0</v>
      </c>
      <c r="H2423" s="0" t="s">
        <v>122</v>
      </c>
      <c r="K2423" s="0" t="s">
        <v>123</v>
      </c>
      <c r="L2423" s="0" t="s">
        <v>3897</v>
      </c>
    </row>
    <row r="2424" customFormat="false" ht="15" hidden="false" customHeight="false" outlineLevel="0" collapsed="false">
      <c r="A2424" s="0" t="s">
        <v>3883</v>
      </c>
      <c r="B2424" s="0" t="s">
        <v>129</v>
      </c>
      <c r="C2424" s="0" t="s">
        <v>162</v>
      </c>
      <c r="D2424" s="0" t="s">
        <v>534</v>
      </c>
      <c r="E2424" s="0" t="s">
        <v>1261</v>
      </c>
      <c r="F2424" s="0" t="n">
        <v>5</v>
      </c>
      <c r="G2424" s="0" t="n">
        <v>0</v>
      </c>
      <c r="H2424" s="0" t="s">
        <v>122</v>
      </c>
      <c r="K2424" s="0" t="s">
        <v>127</v>
      </c>
      <c r="L2424" s="0" t="s">
        <v>3898</v>
      </c>
    </row>
    <row r="2425" customFormat="false" ht="15" hidden="false" customHeight="false" outlineLevel="0" collapsed="false">
      <c r="A2425" s="0" t="s">
        <v>3883</v>
      </c>
      <c r="B2425" s="0" t="s">
        <v>129</v>
      </c>
      <c r="C2425" s="0" t="s">
        <v>162</v>
      </c>
      <c r="D2425" s="0" t="s">
        <v>52</v>
      </c>
      <c r="E2425" s="0" t="s">
        <v>1264</v>
      </c>
      <c r="F2425" s="0" t="n">
        <v>5</v>
      </c>
      <c r="G2425" s="0" t="n">
        <v>0</v>
      </c>
      <c r="H2425" s="0" t="s">
        <v>122</v>
      </c>
      <c r="K2425" s="0" t="s">
        <v>132</v>
      </c>
      <c r="L2425" s="0" t="s">
        <v>3899</v>
      </c>
    </row>
    <row r="2426" customFormat="false" ht="15" hidden="false" customHeight="false" outlineLevel="0" collapsed="false">
      <c r="A2426" s="0" t="s">
        <v>3883</v>
      </c>
      <c r="B2426" s="0" t="s">
        <v>129</v>
      </c>
      <c r="C2426" s="0" t="s">
        <v>162</v>
      </c>
      <c r="D2426" s="0" t="s">
        <v>55</v>
      </c>
      <c r="E2426" s="0" t="s">
        <v>1266</v>
      </c>
      <c r="F2426" s="0" t="n">
        <v>5</v>
      </c>
      <c r="G2426" s="0" t="n">
        <v>1</v>
      </c>
      <c r="H2426" s="0" t="s">
        <v>122</v>
      </c>
      <c r="I2426" s="0" t="s">
        <v>3900</v>
      </c>
      <c r="K2426" s="0" t="s">
        <v>135</v>
      </c>
      <c r="L2426" s="0" t="s">
        <v>3901</v>
      </c>
    </row>
    <row r="2427" customFormat="false" ht="15" hidden="false" customHeight="false" outlineLevel="0" collapsed="false">
      <c r="A2427" s="0" t="s">
        <v>3883</v>
      </c>
      <c r="B2427" s="0" t="s">
        <v>129</v>
      </c>
      <c r="C2427" s="0" t="s">
        <v>162</v>
      </c>
      <c r="D2427" s="0" t="s">
        <v>58</v>
      </c>
      <c r="E2427" s="0" t="s">
        <v>1268</v>
      </c>
      <c r="F2427" s="0" t="n">
        <v>5</v>
      </c>
      <c r="G2427" s="0" t="n">
        <v>0</v>
      </c>
      <c r="H2427" s="0" t="s">
        <v>122</v>
      </c>
      <c r="K2427" s="0" t="s">
        <v>138</v>
      </c>
      <c r="L2427" s="0" t="s">
        <v>3902</v>
      </c>
    </row>
    <row r="2428" customFormat="false" ht="15" hidden="false" customHeight="false" outlineLevel="0" collapsed="false">
      <c r="A2428" s="0" t="s">
        <v>3883</v>
      </c>
      <c r="B2428" s="0" t="s">
        <v>129</v>
      </c>
      <c r="C2428" s="0" t="s">
        <v>162</v>
      </c>
      <c r="D2428" s="0" t="s">
        <v>65</v>
      </c>
      <c r="E2428" s="0" t="s">
        <v>1270</v>
      </c>
      <c r="F2428" s="0" t="n">
        <v>5</v>
      </c>
      <c r="G2428" s="0" t="n">
        <v>0</v>
      </c>
      <c r="H2428" s="0" t="s">
        <v>122</v>
      </c>
      <c r="K2428" s="0" t="s">
        <v>143</v>
      </c>
      <c r="L2428" s="0" t="s">
        <v>3903</v>
      </c>
    </row>
    <row r="2429" customFormat="false" ht="15" hidden="false" customHeight="false" outlineLevel="0" collapsed="false">
      <c r="A2429" s="0" t="s">
        <v>3883</v>
      </c>
      <c r="B2429" s="0" t="s">
        <v>129</v>
      </c>
      <c r="C2429" s="0" t="s">
        <v>162</v>
      </c>
      <c r="D2429" s="0" t="s">
        <v>69</v>
      </c>
      <c r="E2429" s="0" t="s">
        <v>1272</v>
      </c>
      <c r="F2429" s="0" t="n">
        <v>5</v>
      </c>
      <c r="G2429" s="0" t="n">
        <v>0</v>
      </c>
      <c r="H2429" s="0" t="s">
        <v>122</v>
      </c>
      <c r="K2429" s="0" t="s">
        <v>146</v>
      </c>
      <c r="L2429" s="0" t="s">
        <v>3904</v>
      </c>
    </row>
    <row r="2430" customFormat="false" ht="15" hidden="false" customHeight="false" outlineLevel="0" collapsed="false">
      <c r="A2430" s="0" t="s">
        <v>3883</v>
      </c>
      <c r="B2430" s="0" t="s">
        <v>129</v>
      </c>
      <c r="C2430" s="0" t="s">
        <v>162</v>
      </c>
      <c r="D2430" s="0" t="s">
        <v>72</v>
      </c>
      <c r="E2430" s="0" t="s">
        <v>1274</v>
      </c>
      <c r="F2430" s="0" t="n">
        <v>5</v>
      </c>
      <c r="G2430" s="0" t="n">
        <v>0</v>
      </c>
      <c r="H2430" s="0" t="s">
        <v>122</v>
      </c>
      <c r="K2430" s="0" t="s">
        <v>149</v>
      </c>
      <c r="L2430" s="0" t="s">
        <v>3905</v>
      </c>
    </row>
    <row r="2431" customFormat="false" ht="15" hidden="false" customHeight="false" outlineLevel="0" collapsed="false">
      <c r="A2431" s="0" t="s">
        <v>3883</v>
      </c>
      <c r="B2431" s="0" t="s">
        <v>129</v>
      </c>
      <c r="C2431" s="0" t="s">
        <v>162</v>
      </c>
      <c r="D2431" s="0" t="s">
        <v>75</v>
      </c>
      <c r="E2431" s="0" t="s">
        <v>1276</v>
      </c>
      <c r="F2431" s="0" t="n">
        <v>5</v>
      </c>
      <c r="G2431" s="0" t="n">
        <v>0</v>
      </c>
      <c r="H2431" s="0" t="s">
        <v>122</v>
      </c>
      <c r="K2431" s="0" t="s">
        <v>152</v>
      </c>
      <c r="L2431" s="0" t="s">
        <v>3906</v>
      </c>
    </row>
    <row r="2432" customFormat="false" ht="15" hidden="false" customHeight="false" outlineLevel="0" collapsed="false">
      <c r="A2432" s="0" t="s">
        <v>3883</v>
      </c>
      <c r="B2432" s="0" t="s">
        <v>129</v>
      </c>
      <c r="C2432" s="0" t="s">
        <v>162</v>
      </c>
      <c r="D2432" s="0" t="s">
        <v>78</v>
      </c>
      <c r="E2432" s="0" t="s">
        <v>1278</v>
      </c>
      <c r="F2432" s="0" t="n">
        <v>5</v>
      </c>
      <c r="G2432" s="0" t="n">
        <v>0</v>
      </c>
      <c r="H2432" s="0" t="s">
        <v>122</v>
      </c>
      <c r="K2432" s="0" t="s">
        <v>156</v>
      </c>
      <c r="L2432" s="0" t="s">
        <v>3907</v>
      </c>
    </row>
    <row r="2433" customFormat="false" ht="15" hidden="false" customHeight="false" outlineLevel="0" collapsed="false">
      <c r="A2433" s="0" t="s">
        <v>3883</v>
      </c>
      <c r="B2433" s="0" t="s">
        <v>129</v>
      </c>
      <c r="C2433" s="0" t="s">
        <v>162</v>
      </c>
      <c r="D2433" s="0" t="s">
        <v>81</v>
      </c>
      <c r="E2433" s="0" t="s">
        <v>1280</v>
      </c>
      <c r="F2433" s="0" t="n">
        <v>5</v>
      </c>
      <c r="G2433" s="0" t="n">
        <v>0</v>
      </c>
      <c r="H2433" s="0" t="s">
        <v>122</v>
      </c>
      <c r="K2433" s="0" t="s">
        <v>160</v>
      </c>
      <c r="L2433" s="0" t="s">
        <v>3908</v>
      </c>
    </row>
    <row r="2434" customFormat="false" ht="15" hidden="false" customHeight="false" outlineLevel="0" collapsed="false">
      <c r="A2434" s="0" t="s">
        <v>3883</v>
      </c>
      <c r="B2434" s="0" t="s">
        <v>129</v>
      </c>
      <c r="C2434" s="0" t="s">
        <v>189</v>
      </c>
      <c r="D2434" s="0" t="s">
        <v>528</v>
      </c>
      <c r="E2434" s="0" t="s">
        <v>1282</v>
      </c>
      <c r="F2434" s="0" t="n">
        <v>5</v>
      </c>
      <c r="G2434" s="0" t="n">
        <v>0</v>
      </c>
      <c r="H2434" s="0" t="s">
        <v>122</v>
      </c>
      <c r="K2434" s="0" t="s">
        <v>118</v>
      </c>
      <c r="L2434" s="0" t="s">
        <v>3909</v>
      </c>
    </row>
    <row r="2435" customFormat="false" ht="15" hidden="false" customHeight="false" outlineLevel="0" collapsed="false">
      <c r="A2435" s="0" t="s">
        <v>3883</v>
      </c>
      <c r="B2435" s="0" t="s">
        <v>129</v>
      </c>
      <c r="C2435" s="0" t="s">
        <v>189</v>
      </c>
      <c r="D2435" s="0" t="s">
        <v>531</v>
      </c>
      <c r="E2435" s="0" t="s">
        <v>1284</v>
      </c>
      <c r="F2435" s="0" t="n">
        <v>5</v>
      </c>
      <c r="G2435" s="0" t="n">
        <v>0</v>
      </c>
      <c r="H2435" s="0" t="s">
        <v>122</v>
      </c>
      <c r="K2435" s="0" t="s">
        <v>123</v>
      </c>
      <c r="L2435" s="0" t="s">
        <v>3910</v>
      </c>
    </row>
    <row r="2436" customFormat="false" ht="15" hidden="false" customHeight="false" outlineLevel="0" collapsed="false">
      <c r="A2436" s="0" t="s">
        <v>3883</v>
      </c>
      <c r="B2436" s="0" t="s">
        <v>129</v>
      </c>
      <c r="C2436" s="0" t="s">
        <v>189</v>
      </c>
      <c r="D2436" s="0" t="s">
        <v>534</v>
      </c>
      <c r="E2436" s="0" t="s">
        <v>1286</v>
      </c>
      <c r="F2436" s="0" t="n">
        <v>5</v>
      </c>
      <c r="G2436" s="0" t="n">
        <v>0</v>
      </c>
      <c r="H2436" s="0" t="s">
        <v>122</v>
      </c>
      <c r="K2436" s="0" t="s">
        <v>127</v>
      </c>
      <c r="L2436" s="0" t="s">
        <v>3911</v>
      </c>
    </row>
    <row r="2437" customFormat="false" ht="15" hidden="false" customHeight="false" outlineLevel="0" collapsed="false">
      <c r="A2437" s="0" t="s">
        <v>3883</v>
      </c>
      <c r="B2437" s="0" t="s">
        <v>129</v>
      </c>
      <c r="C2437" s="0" t="s">
        <v>189</v>
      </c>
      <c r="D2437" s="0" t="s">
        <v>52</v>
      </c>
      <c r="E2437" s="0" t="s">
        <v>1289</v>
      </c>
      <c r="F2437" s="0" t="n">
        <v>5</v>
      </c>
      <c r="G2437" s="0" t="n">
        <v>0</v>
      </c>
      <c r="H2437" s="0" t="s">
        <v>122</v>
      </c>
      <c r="K2437" s="0" t="s">
        <v>132</v>
      </c>
      <c r="L2437" s="0" t="s">
        <v>3912</v>
      </c>
    </row>
    <row r="2438" customFormat="false" ht="15" hidden="false" customHeight="false" outlineLevel="0" collapsed="false">
      <c r="A2438" s="0" t="s">
        <v>3883</v>
      </c>
      <c r="B2438" s="0" t="s">
        <v>129</v>
      </c>
      <c r="C2438" s="0" t="s">
        <v>189</v>
      </c>
      <c r="D2438" s="0" t="s">
        <v>55</v>
      </c>
      <c r="E2438" s="0" t="s">
        <v>1291</v>
      </c>
      <c r="F2438" s="0" t="n">
        <v>5</v>
      </c>
      <c r="G2438" s="0" t="n">
        <v>1</v>
      </c>
      <c r="H2438" s="0" t="s">
        <v>122</v>
      </c>
      <c r="I2438" s="0" t="s">
        <v>3913</v>
      </c>
      <c r="K2438" s="0" t="s">
        <v>135</v>
      </c>
      <c r="L2438" s="0" t="s">
        <v>3914</v>
      </c>
    </row>
    <row r="2439" customFormat="false" ht="15" hidden="false" customHeight="false" outlineLevel="0" collapsed="false">
      <c r="A2439" s="0" t="s">
        <v>3883</v>
      </c>
      <c r="B2439" s="0" t="s">
        <v>129</v>
      </c>
      <c r="C2439" s="0" t="s">
        <v>189</v>
      </c>
      <c r="D2439" s="0" t="s">
        <v>58</v>
      </c>
      <c r="E2439" s="0" t="s">
        <v>1294</v>
      </c>
      <c r="F2439" s="0" t="n">
        <v>5</v>
      </c>
      <c r="G2439" s="0" t="n">
        <v>0</v>
      </c>
      <c r="H2439" s="0" t="s">
        <v>122</v>
      </c>
      <c r="K2439" s="0" t="s">
        <v>138</v>
      </c>
      <c r="L2439" s="0" t="s">
        <v>3915</v>
      </c>
    </row>
    <row r="2440" customFormat="false" ht="15" hidden="false" customHeight="false" outlineLevel="0" collapsed="false">
      <c r="A2440" s="0" t="s">
        <v>3883</v>
      </c>
      <c r="B2440" s="0" t="s">
        <v>129</v>
      </c>
      <c r="C2440" s="0" t="s">
        <v>189</v>
      </c>
      <c r="D2440" s="0" t="s">
        <v>65</v>
      </c>
      <c r="E2440" s="0" t="s">
        <v>1296</v>
      </c>
      <c r="F2440" s="0" t="n">
        <v>5</v>
      </c>
      <c r="G2440" s="0" t="n">
        <v>0</v>
      </c>
      <c r="H2440" s="0" t="s">
        <v>122</v>
      </c>
      <c r="K2440" s="0" t="s">
        <v>143</v>
      </c>
      <c r="L2440" s="0" t="s">
        <v>3916</v>
      </c>
    </row>
    <row r="2441" customFormat="false" ht="15" hidden="false" customHeight="false" outlineLevel="0" collapsed="false">
      <c r="A2441" s="0" t="s">
        <v>3883</v>
      </c>
      <c r="B2441" s="0" t="s">
        <v>129</v>
      </c>
      <c r="C2441" s="0" t="s">
        <v>189</v>
      </c>
      <c r="D2441" s="0" t="s">
        <v>69</v>
      </c>
      <c r="E2441" s="0" t="s">
        <v>1298</v>
      </c>
      <c r="F2441" s="0" t="n">
        <v>5</v>
      </c>
      <c r="G2441" s="0" t="n">
        <v>0</v>
      </c>
      <c r="H2441" s="0" t="s">
        <v>122</v>
      </c>
      <c r="K2441" s="0" t="s">
        <v>146</v>
      </c>
      <c r="L2441" s="0" t="s">
        <v>3917</v>
      </c>
    </row>
    <row r="2442" customFormat="false" ht="15" hidden="false" customHeight="false" outlineLevel="0" collapsed="false">
      <c r="A2442" s="0" t="s">
        <v>3883</v>
      </c>
      <c r="B2442" s="0" t="s">
        <v>129</v>
      </c>
      <c r="C2442" s="0" t="s">
        <v>189</v>
      </c>
      <c r="D2442" s="0" t="s">
        <v>72</v>
      </c>
      <c r="E2442" s="0" t="s">
        <v>1300</v>
      </c>
      <c r="F2442" s="0" t="n">
        <v>5</v>
      </c>
      <c r="G2442" s="0" t="n">
        <v>1</v>
      </c>
      <c r="H2442" s="0" t="s">
        <v>122</v>
      </c>
      <c r="I2442" s="0" t="s">
        <v>3900</v>
      </c>
      <c r="K2442" s="0" t="s">
        <v>149</v>
      </c>
      <c r="L2442" s="0" t="s">
        <v>3918</v>
      </c>
    </row>
    <row r="2443" customFormat="false" ht="15" hidden="false" customHeight="false" outlineLevel="0" collapsed="false">
      <c r="A2443" s="0" t="s">
        <v>3883</v>
      </c>
      <c r="B2443" s="0" t="s">
        <v>129</v>
      </c>
      <c r="C2443" s="0" t="s">
        <v>189</v>
      </c>
      <c r="D2443" s="0" t="s">
        <v>75</v>
      </c>
      <c r="E2443" s="0" t="s">
        <v>1302</v>
      </c>
      <c r="F2443" s="0" t="n">
        <v>5</v>
      </c>
      <c r="G2443" s="0" t="n">
        <v>0</v>
      </c>
      <c r="H2443" s="0" t="s">
        <v>122</v>
      </c>
      <c r="K2443" s="0" t="s">
        <v>152</v>
      </c>
      <c r="L2443" s="0" t="s">
        <v>3919</v>
      </c>
    </row>
    <row r="2444" customFormat="false" ht="15" hidden="false" customHeight="false" outlineLevel="0" collapsed="false">
      <c r="A2444" s="0" t="s">
        <v>3883</v>
      </c>
      <c r="B2444" s="0" t="s">
        <v>129</v>
      </c>
      <c r="C2444" s="0" t="s">
        <v>189</v>
      </c>
      <c r="D2444" s="0" t="s">
        <v>78</v>
      </c>
      <c r="E2444" s="0" t="s">
        <v>1304</v>
      </c>
      <c r="F2444" s="0" t="n">
        <v>5</v>
      </c>
      <c r="G2444" s="0" t="n">
        <v>0</v>
      </c>
      <c r="H2444" s="0" t="s">
        <v>122</v>
      </c>
      <c r="K2444" s="0" t="s">
        <v>156</v>
      </c>
      <c r="L2444" s="0" t="s">
        <v>3920</v>
      </c>
    </row>
    <row r="2445" customFormat="false" ht="15" hidden="false" customHeight="false" outlineLevel="0" collapsed="false">
      <c r="A2445" s="0" t="s">
        <v>3883</v>
      </c>
      <c r="B2445" s="0" t="s">
        <v>129</v>
      </c>
      <c r="C2445" s="0" t="s">
        <v>189</v>
      </c>
      <c r="D2445" s="0" t="s">
        <v>81</v>
      </c>
      <c r="E2445" s="0" t="s">
        <v>1306</v>
      </c>
      <c r="F2445" s="0" t="n">
        <v>5</v>
      </c>
      <c r="G2445" s="0" t="n">
        <v>0</v>
      </c>
      <c r="H2445" s="0" t="s">
        <v>122</v>
      </c>
      <c r="K2445" s="0" t="s">
        <v>160</v>
      </c>
      <c r="L2445" s="0" t="s">
        <v>3921</v>
      </c>
    </row>
    <row r="2446" customFormat="false" ht="15" hidden="false" customHeight="false" outlineLevel="0" collapsed="false">
      <c r="A2446" s="0" t="s">
        <v>3883</v>
      </c>
      <c r="B2446" s="0" t="s">
        <v>129</v>
      </c>
      <c r="C2446" s="0" t="s">
        <v>215</v>
      </c>
      <c r="D2446" s="0" t="s">
        <v>528</v>
      </c>
      <c r="E2446" s="0" t="s">
        <v>1308</v>
      </c>
      <c r="F2446" s="0" t="n">
        <v>5</v>
      </c>
      <c r="G2446" s="0" t="n">
        <v>0</v>
      </c>
      <c r="H2446" s="0" t="s">
        <v>122</v>
      </c>
      <c r="K2446" s="0" t="s">
        <v>118</v>
      </c>
      <c r="L2446" s="0" t="s">
        <v>3922</v>
      </c>
    </row>
    <row r="2447" customFormat="false" ht="15" hidden="false" customHeight="false" outlineLevel="0" collapsed="false">
      <c r="A2447" s="0" t="s">
        <v>3883</v>
      </c>
      <c r="B2447" s="0" t="s">
        <v>129</v>
      </c>
      <c r="C2447" s="0" t="s">
        <v>215</v>
      </c>
      <c r="D2447" s="0" t="s">
        <v>531</v>
      </c>
      <c r="E2447" s="0" t="s">
        <v>1310</v>
      </c>
      <c r="F2447" s="0" t="n">
        <v>5</v>
      </c>
      <c r="G2447" s="0" t="n">
        <v>0</v>
      </c>
      <c r="H2447" s="0" t="s">
        <v>122</v>
      </c>
      <c r="K2447" s="0" t="s">
        <v>123</v>
      </c>
      <c r="L2447" s="0" t="s">
        <v>3923</v>
      </c>
    </row>
    <row r="2448" customFormat="false" ht="15" hidden="false" customHeight="false" outlineLevel="0" collapsed="false">
      <c r="A2448" s="0" t="s">
        <v>3883</v>
      </c>
      <c r="B2448" s="0" t="s">
        <v>129</v>
      </c>
      <c r="C2448" s="0" t="s">
        <v>215</v>
      </c>
      <c r="D2448" s="0" t="s">
        <v>534</v>
      </c>
      <c r="E2448" s="0" t="s">
        <v>1312</v>
      </c>
      <c r="F2448" s="0" t="n">
        <v>5</v>
      </c>
      <c r="G2448" s="0" t="n">
        <v>0</v>
      </c>
      <c r="H2448" s="0" t="s">
        <v>122</v>
      </c>
      <c r="K2448" s="0" t="s">
        <v>127</v>
      </c>
      <c r="L2448" s="0" t="s">
        <v>3924</v>
      </c>
    </row>
    <row r="2449" customFormat="false" ht="15" hidden="false" customHeight="false" outlineLevel="0" collapsed="false">
      <c r="A2449" s="0" t="s">
        <v>3883</v>
      </c>
      <c r="B2449" s="0" t="s">
        <v>129</v>
      </c>
      <c r="C2449" s="0" t="s">
        <v>215</v>
      </c>
      <c r="D2449" s="0" t="s">
        <v>52</v>
      </c>
      <c r="E2449" s="0" t="s">
        <v>1314</v>
      </c>
      <c r="F2449" s="0" t="n">
        <v>5</v>
      </c>
      <c r="G2449" s="0" t="n">
        <v>0</v>
      </c>
      <c r="H2449" s="0" t="s">
        <v>122</v>
      </c>
      <c r="K2449" s="0" t="s">
        <v>132</v>
      </c>
      <c r="L2449" s="0" t="s">
        <v>3925</v>
      </c>
    </row>
    <row r="2450" customFormat="false" ht="15" hidden="false" customHeight="false" outlineLevel="0" collapsed="false">
      <c r="A2450" s="0" t="s">
        <v>3883</v>
      </c>
      <c r="B2450" s="0" t="s">
        <v>129</v>
      </c>
      <c r="C2450" s="0" t="s">
        <v>215</v>
      </c>
      <c r="D2450" s="0" t="s">
        <v>55</v>
      </c>
      <c r="E2450" s="0" t="s">
        <v>1316</v>
      </c>
      <c r="F2450" s="0" t="n">
        <v>5</v>
      </c>
      <c r="G2450" s="0" t="n">
        <v>0</v>
      </c>
      <c r="H2450" s="0" t="s">
        <v>122</v>
      </c>
      <c r="K2450" s="0" t="s">
        <v>135</v>
      </c>
      <c r="L2450" s="0" t="s">
        <v>3926</v>
      </c>
    </row>
    <row r="2451" customFormat="false" ht="15" hidden="false" customHeight="false" outlineLevel="0" collapsed="false">
      <c r="A2451" s="0" t="s">
        <v>3883</v>
      </c>
      <c r="B2451" s="0" t="s">
        <v>129</v>
      </c>
      <c r="C2451" s="0" t="s">
        <v>215</v>
      </c>
      <c r="D2451" s="0" t="s">
        <v>58</v>
      </c>
      <c r="E2451" s="0" t="s">
        <v>1318</v>
      </c>
      <c r="F2451" s="0" t="n">
        <v>5</v>
      </c>
      <c r="G2451" s="0" t="n">
        <v>0</v>
      </c>
      <c r="H2451" s="0" t="s">
        <v>122</v>
      </c>
      <c r="K2451" s="0" t="s">
        <v>138</v>
      </c>
      <c r="L2451" s="0" t="s">
        <v>3927</v>
      </c>
    </row>
    <row r="2452" customFormat="false" ht="15" hidden="false" customHeight="false" outlineLevel="0" collapsed="false">
      <c r="A2452" s="0" t="s">
        <v>3883</v>
      </c>
      <c r="B2452" s="0" t="s">
        <v>129</v>
      </c>
      <c r="C2452" s="0" t="s">
        <v>215</v>
      </c>
      <c r="D2452" s="0" t="s">
        <v>65</v>
      </c>
      <c r="E2452" s="0" t="s">
        <v>1320</v>
      </c>
      <c r="F2452" s="0" t="n">
        <v>5</v>
      </c>
      <c r="G2452" s="0" t="n">
        <v>1</v>
      </c>
      <c r="H2452" s="0" t="s">
        <v>122</v>
      </c>
      <c r="I2452" s="0" t="s">
        <v>3913</v>
      </c>
      <c r="K2452" s="0" t="s">
        <v>143</v>
      </c>
      <c r="L2452" s="0" t="s">
        <v>3928</v>
      </c>
    </row>
    <row r="2453" customFormat="false" ht="15" hidden="false" customHeight="false" outlineLevel="0" collapsed="false">
      <c r="A2453" s="0" t="s">
        <v>3883</v>
      </c>
      <c r="B2453" s="0" t="s">
        <v>129</v>
      </c>
      <c r="C2453" s="0" t="s">
        <v>215</v>
      </c>
      <c r="D2453" s="0" t="s">
        <v>69</v>
      </c>
      <c r="E2453" s="0" t="s">
        <v>1322</v>
      </c>
      <c r="F2453" s="0" t="n">
        <v>5</v>
      </c>
      <c r="G2453" s="0" t="n">
        <v>0</v>
      </c>
      <c r="H2453" s="0" t="s">
        <v>122</v>
      </c>
      <c r="K2453" s="0" t="s">
        <v>146</v>
      </c>
      <c r="L2453" s="0" t="s">
        <v>3929</v>
      </c>
    </row>
    <row r="2454" customFormat="false" ht="15" hidden="false" customHeight="false" outlineLevel="0" collapsed="false">
      <c r="A2454" s="0" t="s">
        <v>3883</v>
      </c>
      <c r="B2454" s="0" t="s">
        <v>129</v>
      </c>
      <c r="C2454" s="0" t="s">
        <v>215</v>
      </c>
      <c r="D2454" s="0" t="s">
        <v>72</v>
      </c>
      <c r="E2454" s="0" t="s">
        <v>1324</v>
      </c>
      <c r="F2454" s="0" t="n">
        <v>5</v>
      </c>
      <c r="G2454" s="0" t="n">
        <v>0</v>
      </c>
      <c r="H2454" s="0" t="s">
        <v>122</v>
      </c>
      <c r="K2454" s="0" t="s">
        <v>149</v>
      </c>
      <c r="L2454" s="0" t="s">
        <v>3930</v>
      </c>
    </row>
    <row r="2455" customFormat="false" ht="15" hidden="false" customHeight="false" outlineLevel="0" collapsed="false">
      <c r="A2455" s="0" t="s">
        <v>3883</v>
      </c>
      <c r="B2455" s="0" t="s">
        <v>129</v>
      </c>
      <c r="C2455" s="0" t="s">
        <v>215</v>
      </c>
      <c r="D2455" s="0" t="s">
        <v>75</v>
      </c>
      <c r="E2455" s="0" t="s">
        <v>1326</v>
      </c>
      <c r="F2455" s="0" t="n">
        <v>5</v>
      </c>
      <c r="G2455" s="0" t="n">
        <v>0</v>
      </c>
      <c r="H2455" s="0" t="s">
        <v>122</v>
      </c>
      <c r="K2455" s="0" t="s">
        <v>152</v>
      </c>
      <c r="L2455" s="0" t="s">
        <v>3931</v>
      </c>
    </row>
    <row r="2456" customFormat="false" ht="15" hidden="false" customHeight="false" outlineLevel="0" collapsed="false">
      <c r="A2456" s="0" t="s">
        <v>3883</v>
      </c>
      <c r="B2456" s="0" t="s">
        <v>129</v>
      </c>
      <c r="C2456" s="0" t="s">
        <v>215</v>
      </c>
      <c r="D2456" s="0" t="s">
        <v>78</v>
      </c>
      <c r="E2456" s="0" t="s">
        <v>1328</v>
      </c>
      <c r="F2456" s="0" t="n">
        <v>5</v>
      </c>
      <c r="G2456" s="0" t="n">
        <v>0</v>
      </c>
      <c r="H2456" s="0" t="s">
        <v>122</v>
      </c>
      <c r="K2456" s="0" t="s">
        <v>156</v>
      </c>
      <c r="L2456" s="0" t="s">
        <v>3932</v>
      </c>
    </row>
    <row r="2457" customFormat="false" ht="15" hidden="false" customHeight="false" outlineLevel="0" collapsed="false">
      <c r="A2457" s="0" t="s">
        <v>3883</v>
      </c>
      <c r="B2457" s="0" t="s">
        <v>129</v>
      </c>
      <c r="C2457" s="0" t="s">
        <v>215</v>
      </c>
      <c r="D2457" s="0" t="s">
        <v>81</v>
      </c>
      <c r="E2457" s="0" t="s">
        <v>1331</v>
      </c>
      <c r="F2457" s="0" t="n">
        <v>5</v>
      </c>
      <c r="G2457" s="0" t="n">
        <v>0</v>
      </c>
      <c r="H2457" s="0" t="s">
        <v>122</v>
      </c>
      <c r="K2457" s="0" t="s">
        <v>160</v>
      </c>
      <c r="L2457" s="0" t="s">
        <v>3933</v>
      </c>
    </row>
    <row r="2458" customFormat="false" ht="15" hidden="false" customHeight="false" outlineLevel="0" collapsed="false">
      <c r="A2458" s="0" t="s">
        <v>3883</v>
      </c>
      <c r="B2458" s="0" t="s">
        <v>129</v>
      </c>
      <c r="C2458" s="0" t="s">
        <v>241</v>
      </c>
      <c r="D2458" s="0" t="s">
        <v>528</v>
      </c>
      <c r="E2458" s="0" t="s">
        <v>1333</v>
      </c>
      <c r="F2458" s="0" t="n">
        <v>5</v>
      </c>
      <c r="G2458" s="0" t="n">
        <v>0</v>
      </c>
      <c r="H2458" s="0" t="s">
        <v>122</v>
      </c>
      <c r="K2458" s="0" t="s">
        <v>118</v>
      </c>
      <c r="L2458" s="0" t="s">
        <v>3934</v>
      </c>
    </row>
    <row r="2459" customFormat="false" ht="15" hidden="false" customHeight="false" outlineLevel="0" collapsed="false">
      <c r="A2459" s="0" t="s">
        <v>3883</v>
      </c>
      <c r="B2459" s="0" t="s">
        <v>129</v>
      </c>
      <c r="C2459" s="0" t="s">
        <v>241</v>
      </c>
      <c r="D2459" s="0" t="s">
        <v>531</v>
      </c>
      <c r="E2459" s="0" t="s">
        <v>1335</v>
      </c>
      <c r="F2459" s="0" t="n">
        <v>5</v>
      </c>
      <c r="G2459" s="0" t="n">
        <v>1</v>
      </c>
      <c r="H2459" s="0" t="s">
        <v>122</v>
      </c>
      <c r="I2459" s="0" t="s">
        <v>3913</v>
      </c>
      <c r="K2459" s="0" t="s">
        <v>123</v>
      </c>
      <c r="L2459" s="0" t="s">
        <v>3935</v>
      </c>
    </row>
    <row r="2460" customFormat="false" ht="15" hidden="false" customHeight="false" outlineLevel="0" collapsed="false">
      <c r="A2460" s="0" t="s">
        <v>3883</v>
      </c>
      <c r="B2460" s="0" t="s">
        <v>129</v>
      </c>
      <c r="C2460" s="0" t="s">
        <v>241</v>
      </c>
      <c r="D2460" s="0" t="s">
        <v>534</v>
      </c>
      <c r="E2460" s="0" t="s">
        <v>1337</v>
      </c>
      <c r="F2460" s="0" t="n">
        <v>5</v>
      </c>
      <c r="G2460" s="0" t="n">
        <v>0</v>
      </c>
      <c r="H2460" s="0" t="s">
        <v>122</v>
      </c>
      <c r="K2460" s="0" t="s">
        <v>127</v>
      </c>
      <c r="L2460" s="0" t="s">
        <v>3936</v>
      </c>
    </row>
    <row r="2461" customFormat="false" ht="15" hidden="false" customHeight="false" outlineLevel="0" collapsed="false">
      <c r="A2461" s="0" t="s">
        <v>3883</v>
      </c>
      <c r="B2461" s="0" t="s">
        <v>129</v>
      </c>
      <c r="C2461" s="0" t="s">
        <v>241</v>
      </c>
      <c r="D2461" s="0" t="s">
        <v>52</v>
      </c>
      <c r="E2461" s="0" t="s">
        <v>1339</v>
      </c>
      <c r="F2461" s="0" t="n">
        <v>5</v>
      </c>
      <c r="G2461" s="0" t="n">
        <v>0</v>
      </c>
      <c r="H2461" s="0" t="s">
        <v>122</v>
      </c>
      <c r="K2461" s="0" t="s">
        <v>132</v>
      </c>
      <c r="L2461" s="0" t="s">
        <v>3937</v>
      </c>
    </row>
    <row r="2462" customFormat="false" ht="15" hidden="false" customHeight="false" outlineLevel="0" collapsed="false">
      <c r="A2462" s="0" t="s">
        <v>3883</v>
      </c>
      <c r="B2462" s="0" t="s">
        <v>129</v>
      </c>
      <c r="C2462" s="0" t="s">
        <v>241</v>
      </c>
      <c r="D2462" s="0" t="s">
        <v>55</v>
      </c>
      <c r="E2462" s="0" t="s">
        <v>1341</v>
      </c>
      <c r="F2462" s="0" t="n">
        <v>5</v>
      </c>
      <c r="G2462" s="0" t="n">
        <v>0</v>
      </c>
      <c r="H2462" s="0" t="s">
        <v>122</v>
      </c>
      <c r="K2462" s="0" t="s">
        <v>135</v>
      </c>
      <c r="L2462" s="0" t="s">
        <v>3938</v>
      </c>
    </row>
    <row r="2463" customFormat="false" ht="15" hidden="false" customHeight="false" outlineLevel="0" collapsed="false">
      <c r="A2463" s="0" t="s">
        <v>3883</v>
      </c>
      <c r="B2463" s="0" t="s">
        <v>129</v>
      </c>
      <c r="C2463" s="0" t="s">
        <v>241</v>
      </c>
      <c r="D2463" s="0" t="s">
        <v>58</v>
      </c>
      <c r="E2463" s="0" t="s">
        <v>1343</v>
      </c>
      <c r="F2463" s="0" t="n">
        <v>5</v>
      </c>
      <c r="G2463" s="0" t="n">
        <v>0</v>
      </c>
      <c r="H2463" s="0" t="s">
        <v>122</v>
      </c>
      <c r="K2463" s="0" t="s">
        <v>138</v>
      </c>
      <c r="L2463" s="0" t="s">
        <v>3939</v>
      </c>
    </row>
    <row r="2464" customFormat="false" ht="15" hidden="false" customHeight="false" outlineLevel="0" collapsed="false">
      <c r="A2464" s="0" t="s">
        <v>3883</v>
      </c>
      <c r="B2464" s="0" t="s">
        <v>129</v>
      </c>
      <c r="C2464" s="0" t="s">
        <v>241</v>
      </c>
      <c r="D2464" s="0" t="s">
        <v>65</v>
      </c>
      <c r="E2464" s="0" t="s">
        <v>1345</v>
      </c>
      <c r="F2464" s="0" t="n">
        <v>5</v>
      </c>
      <c r="G2464" s="0" t="n">
        <v>0</v>
      </c>
      <c r="H2464" s="0" t="s">
        <v>122</v>
      </c>
      <c r="K2464" s="0" t="s">
        <v>143</v>
      </c>
      <c r="L2464" s="0" t="s">
        <v>3940</v>
      </c>
    </row>
    <row r="2465" customFormat="false" ht="15" hidden="false" customHeight="false" outlineLevel="0" collapsed="false">
      <c r="A2465" s="0" t="s">
        <v>3883</v>
      </c>
      <c r="B2465" s="0" t="s">
        <v>129</v>
      </c>
      <c r="C2465" s="0" t="s">
        <v>241</v>
      </c>
      <c r="D2465" s="0" t="s">
        <v>69</v>
      </c>
      <c r="E2465" s="0" t="s">
        <v>1347</v>
      </c>
      <c r="F2465" s="0" t="n">
        <v>5</v>
      </c>
      <c r="G2465" s="0" t="n">
        <v>0</v>
      </c>
      <c r="H2465" s="0" t="s">
        <v>122</v>
      </c>
      <c r="K2465" s="0" t="s">
        <v>146</v>
      </c>
      <c r="L2465" s="0" t="s">
        <v>3941</v>
      </c>
    </row>
    <row r="2466" customFormat="false" ht="15" hidden="false" customHeight="false" outlineLevel="0" collapsed="false">
      <c r="A2466" s="0" t="s">
        <v>3883</v>
      </c>
      <c r="B2466" s="0" t="s">
        <v>129</v>
      </c>
      <c r="C2466" s="0" t="s">
        <v>241</v>
      </c>
      <c r="D2466" s="0" t="s">
        <v>72</v>
      </c>
      <c r="E2466" s="0" t="s">
        <v>1349</v>
      </c>
      <c r="F2466" s="0" t="n">
        <v>5</v>
      </c>
      <c r="G2466" s="0" t="n">
        <v>0</v>
      </c>
      <c r="H2466" s="0" t="s">
        <v>122</v>
      </c>
      <c r="K2466" s="0" t="s">
        <v>149</v>
      </c>
      <c r="L2466" s="0" t="s">
        <v>3942</v>
      </c>
    </row>
    <row r="2467" customFormat="false" ht="15" hidden="false" customHeight="false" outlineLevel="0" collapsed="false">
      <c r="A2467" s="0" t="s">
        <v>3883</v>
      </c>
      <c r="B2467" s="0" t="s">
        <v>129</v>
      </c>
      <c r="C2467" s="0" t="s">
        <v>241</v>
      </c>
      <c r="D2467" s="0" t="s">
        <v>75</v>
      </c>
      <c r="E2467" s="0" t="s">
        <v>1351</v>
      </c>
      <c r="F2467" s="0" t="n">
        <v>5</v>
      </c>
      <c r="G2467" s="0" t="n">
        <v>0</v>
      </c>
      <c r="H2467" s="0" t="s">
        <v>122</v>
      </c>
      <c r="K2467" s="0" t="s">
        <v>152</v>
      </c>
      <c r="L2467" s="0" t="s">
        <v>3943</v>
      </c>
    </row>
    <row r="2468" customFormat="false" ht="15" hidden="false" customHeight="false" outlineLevel="0" collapsed="false">
      <c r="A2468" s="0" t="s">
        <v>3883</v>
      </c>
      <c r="B2468" s="0" t="s">
        <v>129</v>
      </c>
      <c r="C2468" s="0" t="s">
        <v>241</v>
      </c>
      <c r="D2468" s="0" t="s">
        <v>78</v>
      </c>
      <c r="E2468" s="0" t="s">
        <v>1353</v>
      </c>
      <c r="F2468" s="0" t="n">
        <v>5</v>
      </c>
      <c r="G2468" s="0" t="n">
        <v>2</v>
      </c>
      <c r="H2468" s="0" t="s">
        <v>122</v>
      </c>
      <c r="I2468" s="0" t="s">
        <v>3913</v>
      </c>
      <c r="K2468" s="0" t="s">
        <v>156</v>
      </c>
      <c r="L2468" s="0" t="s">
        <v>3944</v>
      </c>
    </row>
    <row r="2469" customFormat="false" ht="15" hidden="false" customHeight="false" outlineLevel="0" collapsed="false">
      <c r="A2469" s="0" t="s">
        <v>3883</v>
      </c>
      <c r="B2469" s="0" t="s">
        <v>129</v>
      </c>
      <c r="C2469" s="0" t="s">
        <v>241</v>
      </c>
      <c r="D2469" s="0" t="s">
        <v>81</v>
      </c>
      <c r="E2469" s="0" t="s">
        <v>1356</v>
      </c>
      <c r="F2469" s="0" t="n">
        <v>5</v>
      </c>
      <c r="G2469" s="0" t="n">
        <v>0</v>
      </c>
      <c r="H2469" s="0" t="s">
        <v>122</v>
      </c>
      <c r="K2469" s="0" t="s">
        <v>160</v>
      </c>
      <c r="L2469" s="0" t="s">
        <v>3945</v>
      </c>
    </row>
    <row r="2470" customFormat="false" ht="15" hidden="false" customHeight="false" outlineLevel="0" collapsed="false">
      <c r="A2470" s="0" t="s">
        <v>3883</v>
      </c>
      <c r="B2470" s="0" t="s">
        <v>129</v>
      </c>
      <c r="C2470" s="0" t="s">
        <v>268</v>
      </c>
      <c r="D2470" s="0" t="s">
        <v>528</v>
      </c>
      <c r="E2470" s="0" t="s">
        <v>1358</v>
      </c>
      <c r="F2470" s="0" t="n">
        <v>5</v>
      </c>
      <c r="G2470" s="0" t="n">
        <v>0</v>
      </c>
      <c r="H2470" s="0" t="s">
        <v>122</v>
      </c>
      <c r="K2470" s="0" t="s">
        <v>118</v>
      </c>
      <c r="L2470" s="0" t="s">
        <v>3946</v>
      </c>
    </row>
    <row r="2471" customFormat="false" ht="15" hidden="false" customHeight="false" outlineLevel="0" collapsed="false">
      <c r="A2471" s="0" t="s">
        <v>3883</v>
      </c>
      <c r="B2471" s="0" t="s">
        <v>129</v>
      </c>
      <c r="C2471" s="0" t="s">
        <v>268</v>
      </c>
      <c r="D2471" s="0" t="s">
        <v>531</v>
      </c>
      <c r="E2471" s="0" t="s">
        <v>1360</v>
      </c>
      <c r="F2471" s="0" t="n">
        <v>5</v>
      </c>
      <c r="G2471" s="0" t="n">
        <v>1</v>
      </c>
      <c r="H2471" s="0" t="s">
        <v>122</v>
      </c>
      <c r="I2471" s="0" t="s">
        <v>3900</v>
      </c>
      <c r="K2471" s="0" t="s">
        <v>123</v>
      </c>
      <c r="L2471" s="0" t="s">
        <v>3947</v>
      </c>
    </row>
    <row r="2472" customFormat="false" ht="15" hidden="false" customHeight="false" outlineLevel="0" collapsed="false">
      <c r="A2472" s="0" t="s">
        <v>3883</v>
      </c>
      <c r="B2472" s="0" t="s">
        <v>129</v>
      </c>
      <c r="C2472" s="0" t="s">
        <v>268</v>
      </c>
      <c r="D2472" s="0" t="s">
        <v>534</v>
      </c>
      <c r="E2472" s="0" t="s">
        <v>1362</v>
      </c>
      <c r="F2472" s="0" t="n">
        <v>5</v>
      </c>
      <c r="G2472" s="0" t="n">
        <v>1</v>
      </c>
      <c r="H2472" s="0" t="s">
        <v>122</v>
      </c>
      <c r="I2472" s="0" t="s">
        <v>3913</v>
      </c>
      <c r="K2472" s="0" t="s">
        <v>127</v>
      </c>
      <c r="L2472" s="0" t="s">
        <v>3948</v>
      </c>
    </row>
    <row r="2473" customFormat="false" ht="15" hidden="false" customHeight="false" outlineLevel="0" collapsed="false">
      <c r="A2473" s="0" t="s">
        <v>3883</v>
      </c>
      <c r="B2473" s="0" t="s">
        <v>129</v>
      </c>
      <c r="C2473" s="0" t="s">
        <v>268</v>
      </c>
      <c r="D2473" s="0" t="s">
        <v>52</v>
      </c>
      <c r="E2473" s="0" t="s">
        <v>1364</v>
      </c>
      <c r="F2473" s="0" t="n">
        <v>5</v>
      </c>
      <c r="G2473" s="0" t="n">
        <v>3</v>
      </c>
      <c r="H2473" s="0" t="s">
        <v>122</v>
      </c>
      <c r="I2473" s="0" t="s">
        <v>3913</v>
      </c>
      <c r="K2473" s="0" t="s">
        <v>132</v>
      </c>
      <c r="L2473" s="0" t="s">
        <v>3949</v>
      </c>
    </row>
    <row r="2474" customFormat="false" ht="15" hidden="false" customHeight="false" outlineLevel="0" collapsed="false">
      <c r="A2474" s="0" t="s">
        <v>3883</v>
      </c>
      <c r="B2474" s="0" t="s">
        <v>129</v>
      </c>
      <c r="C2474" s="0" t="s">
        <v>268</v>
      </c>
      <c r="D2474" s="0" t="s">
        <v>55</v>
      </c>
      <c r="E2474" s="0" t="s">
        <v>1366</v>
      </c>
      <c r="F2474" s="0" t="n">
        <v>5</v>
      </c>
      <c r="G2474" s="0" t="n">
        <v>0</v>
      </c>
      <c r="H2474" s="0" t="s">
        <v>122</v>
      </c>
      <c r="K2474" s="0" t="s">
        <v>135</v>
      </c>
      <c r="L2474" s="0" t="s">
        <v>3950</v>
      </c>
    </row>
    <row r="2475" customFormat="false" ht="15" hidden="false" customHeight="false" outlineLevel="0" collapsed="false">
      <c r="A2475" s="0" t="s">
        <v>3883</v>
      </c>
      <c r="B2475" s="0" t="s">
        <v>129</v>
      </c>
      <c r="C2475" s="0" t="s">
        <v>268</v>
      </c>
      <c r="D2475" s="0" t="s">
        <v>58</v>
      </c>
      <c r="E2475" s="0" t="s">
        <v>1368</v>
      </c>
      <c r="F2475" s="0" t="n">
        <v>5</v>
      </c>
      <c r="G2475" s="0" t="n">
        <v>0</v>
      </c>
      <c r="H2475" s="0" t="s">
        <v>122</v>
      </c>
      <c r="K2475" s="0" t="s">
        <v>138</v>
      </c>
      <c r="L2475" s="0" t="s">
        <v>3951</v>
      </c>
    </row>
    <row r="2476" customFormat="false" ht="15" hidden="false" customHeight="false" outlineLevel="0" collapsed="false">
      <c r="A2476" s="0" t="s">
        <v>3883</v>
      </c>
      <c r="B2476" s="0" t="s">
        <v>129</v>
      </c>
      <c r="C2476" s="0" t="s">
        <v>268</v>
      </c>
      <c r="D2476" s="0" t="s">
        <v>65</v>
      </c>
      <c r="E2476" s="0" t="s">
        <v>1370</v>
      </c>
      <c r="F2476" s="0" t="n">
        <v>5</v>
      </c>
      <c r="G2476" s="0" t="n">
        <v>1</v>
      </c>
      <c r="H2476" s="0" t="s">
        <v>122</v>
      </c>
      <c r="I2476" s="0" t="s">
        <v>3913</v>
      </c>
      <c r="K2476" s="0" t="s">
        <v>143</v>
      </c>
      <c r="L2476" s="0" t="s">
        <v>3952</v>
      </c>
    </row>
    <row r="2477" customFormat="false" ht="15" hidden="false" customHeight="false" outlineLevel="0" collapsed="false">
      <c r="A2477" s="0" t="s">
        <v>3883</v>
      </c>
      <c r="B2477" s="0" t="s">
        <v>129</v>
      </c>
      <c r="C2477" s="0" t="s">
        <v>268</v>
      </c>
      <c r="D2477" s="0" t="s">
        <v>69</v>
      </c>
      <c r="E2477" s="0" t="s">
        <v>1372</v>
      </c>
      <c r="F2477" s="0" t="n">
        <v>5</v>
      </c>
      <c r="G2477" s="0" t="n">
        <v>0</v>
      </c>
      <c r="H2477" s="0" t="s">
        <v>122</v>
      </c>
      <c r="K2477" s="0" t="s">
        <v>146</v>
      </c>
      <c r="L2477" s="0" t="s">
        <v>3953</v>
      </c>
    </row>
    <row r="2478" customFormat="false" ht="15" hidden="false" customHeight="false" outlineLevel="0" collapsed="false">
      <c r="A2478" s="0" t="s">
        <v>3883</v>
      </c>
      <c r="B2478" s="0" t="s">
        <v>129</v>
      </c>
      <c r="C2478" s="0" t="s">
        <v>268</v>
      </c>
      <c r="D2478" s="0" t="s">
        <v>72</v>
      </c>
      <c r="E2478" s="0" t="s">
        <v>1374</v>
      </c>
      <c r="F2478" s="0" t="n">
        <v>5</v>
      </c>
      <c r="G2478" s="0" t="n">
        <v>0</v>
      </c>
      <c r="H2478" s="0" t="s">
        <v>122</v>
      </c>
      <c r="K2478" s="0" t="s">
        <v>149</v>
      </c>
      <c r="L2478" s="0" t="s">
        <v>3954</v>
      </c>
    </row>
    <row r="2479" customFormat="false" ht="15" hidden="false" customHeight="false" outlineLevel="0" collapsed="false">
      <c r="A2479" s="0" t="s">
        <v>3883</v>
      </c>
      <c r="B2479" s="0" t="s">
        <v>129</v>
      </c>
      <c r="C2479" s="0" t="s">
        <v>268</v>
      </c>
      <c r="D2479" s="0" t="s">
        <v>75</v>
      </c>
      <c r="E2479" s="0" t="s">
        <v>1376</v>
      </c>
      <c r="F2479" s="0" t="n">
        <v>5</v>
      </c>
      <c r="G2479" s="0" t="n">
        <v>0</v>
      </c>
      <c r="H2479" s="0" t="s">
        <v>122</v>
      </c>
      <c r="I2479" s="0" t="s">
        <v>3900</v>
      </c>
      <c r="K2479" s="0" t="s">
        <v>152</v>
      </c>
      <c r="L2479" s="0" t="s">
        <v>3955</v>
      </c>
    </row>
    <row r="2480" customFormat="false" ht="15" hidden="false" customHeight="false" outlineLevel="0" collapsed="false">
      <c r="A2480" s="0" t="s">
        <v>3883</v>
      </c>
      <c r="B2480" s="0" t="s">
        <v>129</v>
      </c>
      <c r="C2480" s="0" t="s">
        <v>268</v>
      </c>
      <c r="D2480" s="0" t="s">
        <v>78</v>
      </c>
      <c r="E2480" s="0" t="s">
        <v>1378</v>
      </c>
      <c r="F2480" s="0" t="n">
        <v>5</v>
      </c>
      <c r="G2480" s="0" t="n">
        <v>2</v>
      </c>
      <c r="H2480" s="0" t="s">
        <v>122</v>
      </c>
      <c r="I2480" s="0" t="s">
        <v>3900</v>
      </c>
      <c r="K2480" s="0" t="s">
        <v>156</v>
      </c>
      <c r="L2480" s="0" t="s">
        <v>3956</v>
      </c>
    </row>
    <row r="2481" customFormat="false" ht="15" hidden="false" customHeight="false" outlineLevel="0" collapsed="false">
      <c r="A2481" s="0" t="s">
        <v>3883</v>
      </c>
      <c r="B2481" s="0" t="s">
        <v>129</v>
      </c>
      <c r="C2481" s="0" t="s">
        <v>268</v>
      </c>
      <c r="D2481" s="0" t="s">
        <v>81</v>
      </c>
      <c r="E2481" s="0" t="s">
        <v>1380</v>
      </c>
      <c r="F2481" s="0" t="n">
        <v>5</v>
      </c>
      <c r="G2481" s="0" t="n">
        <v>0</v>
      </c>
      <c r="H2481" s="0" t="s">
        <v>122</v>
      </c>
      <c r="K2481" s="0" t="s">
        <v>160</v>
      </c>
      <c r="L2481" s="0" t="s">
        <v>3957</v>
      </c>
    </row>
    <row r="2482" customFormat="false" ht="15" hidden="false" customHeight="false" outlineLevel="0" collapsed="false">
      <c r="A2482" s="0" t="s">
        <v>3883</v>
      </c>
      <c r="B2482" s="0" t="s">
        <v>129</v>
      </c>
      <c r="C2482" s="0" t="s">
        <v>294</v>
      </c>
      <c r="D2482" s="0" t="s">
        <v>528</v>
      </c>
      <c r="E2482" s="0" t="s">
        <v>1382</v>
      </c>
      <c r="F2482" s="0" t="n">
        <v>5</v>
      </c>
      <c r="G2482" s="0" t="n">
        <v>0</v>
      </c>
      <c r="H2482" s="0" t="s">
        <v>122</v>
      </c>
      <c r="K2482" s="0" t="s">
        <v>118</v>
      </c>
      <c r="L2482" s="0" t="s">
        <v>3958</v>
      </c>
    </row>
    <row r="2483" customFormat="false" ht="15" hidden="false" customHeight="false" outlineLevel="0" collapsed="false">
      <c r="A2483" s="0" t="s">
        <v>3883</v>
      </c>
      <c r="B2483" s="0" t="s">
        <v>129</v>
      </c>
      <c r="C2483" s="0" t="s">
        <v>294</v>
      </c>
      <c r="D2483" s="0" t="s">
        <v>531</v>
      </c>
      <c r="E2483" s="0" t="s">
        <v>1384</v>
      </c>
      <c r="F2483" s="0" t="n">
        <v>5</v>
      </c>
      <c r="G2483" s="0" t="n">
        <v>0</v>
      </c>
      <c r="H2483" s="0" t="s">
        <v>122</v>
      </c>
      <c r="K2483" s="0" t="s">
        <v>123</v>
      </c>
      <c r="L2483" s="0" t="s">
        <v>3959</v>
      </c>
    </row>
    <row r="2484" customFormat="false" ht="15" hidden="false" customHeight="false" outlineLevel="0" collapsed="false">
      <c r="A2484" s="0" t="s">
        <v>3883</v>
      </c>
      <c r="B2484" s="0" t="s">
        <v>129</v>
      </c>
      <c r="C2484" s="0" t="s">
        <v>294</v>
      </c>
      <c r="D2484" s="0" t="s">
        <v>534</v>
      </c>
      <c r="E2484" s="0" t="s">
        <v>1386</v>
      </c>
      <c r="F2484" s="0" t="n">
        <v>5</v>
      </c>
      <c r="G2484" s="0" t="n">
        <v>4</v>
      </c>
      <c r="H2484" s="0" t="s">
        <v>122</v>
      </c>
      <c r="I2484" s="0" t="s">
        <v>3913</v>
      </c>
      <c r="K2484" s="0" t="s">
        <v>127</v>
      </c>
      <c r="L2484" s="0" t="s">
        <v>3960</v>
      </c>
    </row>
    <row r="2485" customFormat="false" ht="15" hidden="false" customHeight="false" outlineLevel="0" collapsed="false">
      <c r="A2485" s="0" t="s">
        <v>3883</v>
      </c>
      <c r="B2485" s="0" t="s">
        <v>129</v>
      </c>
      <c r="C2485" s="0" t="s">
        <v>294</v>
      </c>
      <c r="D2485" s="0" t="s">
        <v>52</v>
      </c>
      <c r="E2485" s="0" t="s">
        <v>1388</v>
      </c>
      <c r="F2485" s="0" t="n">
        <v>5</v>
      </c>
      <c r="G2485" s="0" t="n">
        <v>0</v>
      </c>
      <c r="H2485" s="0" t="s">
        <v>122</v>
      </c>
      <c r="K2485" s="0" t="s">
        <v>132</v>
      </c>
      <c r="L2485" s="0" t="s">
        <v>3961</v>
      </c>
    </row>
    <row r="2486" customFormat="false" ht="15" hidden="false" customHeight="false" outlineLevel="0" collapsed="false">
      <c r="A2486" s="0" t="s">
        <v>3883</v>
      </c>
      <c r="B2486" s="0" t="s">
        <v>129</v>
      </c>
      <c r="C2486" s="0" t="s">
        <v>294</v>
      </c>
      <c r="D2486" s="0" t="s">
        <v>55</v>
      </c>
      <c r="E2486" s="0" t="s">
        <v>1390</v>
      </c>
      <c r="F2486" s="0" t="n">
        <v>5</v>
      </c>
      <c r="G2486" s="0" t="n">
        <v>0</v>
      </c>
      <c r="H2486" s="0" t="s">
        <v>122</v>
      </c>
      <c r="K2486" s="0" t="s">
        <v>135</v>
      </c>
      <c r="L2486" s="0" t="s">
        <v>3962</v>
      </c>
    </row>
    <row r="2487" customFormat="false" ht="15" hidden="false" customHeight="false" outlineLevel="0" collapsed="false">
      <c r="A2487" s="0" t="s">
        <v>3883</v>
      </c>
      <c r="B2487" s="0" t="s">
        <v>129</v>
      </c>
      <c r="C2487" s="0" t="s">
        <v>294</v>
      </c>
      <c r="D2487" s="0" t="s">
        <v>58</v>
      </c>
      <c r="E2487" s="0" t="s">
        <v>1392</v>
      </c>
      <c r="F2487" s="0" t="n">
        <v>5</v>
      </c>
      <c r="G2487" s="0" t="n">
        <v>1</v>
      </c>
      <c r="H2487" s="0" t="s">
        <v>122</v>
      </c>
      <c r="I2487" s="0" t="s">
        <v>3913</v>
      </c>
      <c r="K2487" s="0" t="s">
        <v>138</v>
      </c>
      <c r="L2487" s="0" t="s">
        <v>3963</v>
      </c>
    </row>
    <row r="2488" customFormat="false" ht="15" hidden="false" customHeight="false" outlineLevel="0" collapsed="false">
      <c r="A2488" s="0" t="s">
        <v>3883</v>
      </c>
      <c r="B2488" s="0" t="s">
        <v>129</v>
      </c>
      <c r="C2488" s="0" t="s">
        <v>294</v>
      </c>
      <c r="D2488" s="0" t="s">
        <v>65</v>
      </c>
      <c r="E2488" s="0" t="s">
        <v>1394</v>
      </c>
      <c r="F2488" s="0" t="n">
        <v>5</v>
      </c>
      <c r="G2488" s="0" t="n">
        <v>0</v>
      </c>
      <c r="H2488" s="0" t="s">
        <v>122</v>
      </c>
      <c r="K2488" s="0" t="s">
        <v>143</v>
      </c>
      <c r="L2488" s="0" t="s">
        <v>3964</v>
      </c>
    </row>
    <row r="2489" customFormat="false" ht="15" hidden="false" customHeight="false" outlineLevel="0" collapsed="false">
      <c r="A2489" s="0" t="s">
        <v>3883</v>
      </c>
      <c r="B2489" s="0" t="s">
        <v>129</v>
      </c>
      <c r="C2489" s="0" t="s">
        <v>294</v>
      </c>
      <c r="D2489" s="0" t="s">
        <v>69</v>
      </c>
      <c r="E2489" s="0" t="s">
        <v>1396</v>
      </c>
      <c r="F2489" s="0" t="n">
        <v>5</v>
      </c>
      <c r="G2489" s="0" t="n">
        <v>1</v>
      </c>
      <c r="H2489" s="0" t="s">
        <v>122</v>
      </c>
      <c r="I2489" s="0" t="s">
        <v>3913</v>
      </c>
      <c r="K2489" s="0" t="s">
        <v>146</v>
      </c>
      <c r="L2489" s="0" t="s">
        <v>3965</v>
      </c>
    </row>
    <row r="2490" customFormat="false" ht="15" hidden="false" customHeight="false" outlineLevel="0" collapsed="false">
      <c r="A2490" s="0" t="s">
        <v>3883</v>
      </c>
      <c r="B2490" s="0" t="s">
        <v>129</v>
      </c>
      <c r="C2490" s="0" t="s">
        <v>294</v>
      </c>
      <c r="D2490" s="0" t="s">
        <v>72</v>
      </c>
      <c r="E2490" s="0" t="s">
        <v>1398</v>
      </c>
      <c r="F2490" s="0" t="n">
        <v>5</v>
      </c>
      <c r="G2490" s="0" t="n">
        <v>0</v>
      </c>
      <c r="H2490" s="0" t="s">
        <v>122</v>
      </c>
      <c r="K2490" s="0" t="s">
        <v>149</v>
      </c>
      <c r="L2490" s="0" t="s">
        <v>3966</v>
      </c>
    </row>
    <row r="2491" customFormat="false" ht="15" hidden="false" customHeight="false" outlineLevel="0" collapsed="false">
      <c r="A2491" s="0" t="s">
        <v>3883</v>
      </c>
      <c r="B2491" s="0" t="s">
        <v>129</v>
      </c>
      <c r="C2491" s="0" t="s">
        <v>294</v>
      </c>
      <c r="D2491" s="0" t="s">
        <v>75</v>
      </c>
      <c r="E2491" s="0" t="s">
        <v>1400</v>
      </c>
      <c r="F2491" s="0" t="n">
        <v>5</v>
      </c>
      <c r="G2491" s="0" t="n">
        <v>0</v>
      </c>
      <c r="H2491" s="0" t="s">
        <v>122</v>
      </c>
      <c r="K2491" s="0" t="s">
        <v>152</v>
      </c>
      <c r="L2491" s="0" t="s">
        <v>3967</v>
      </c>
    </row>
    <row r="2492" customFormat="false" ht="15" hidden="false" customHeight="false" outlineLevel="0" collapsed="false">
      <c r="A2492" s="0" t="s">
        <v>3883</v>
      </c>
      <c r="B2492" s="0" t="s">
        <v>129</v>
      </c>
      <c r="C2492" s="0" t="s">
        <v>294</v>
      </c>
      <c r="D2492" s="0" t="s">
        <v>78</v>
      </c>
      <c r="E2492" s="0" t="s">
        <v>1402</v>
      </c>
      <c r="F2492" s="0" t="n">
        <v>5</v>
      </c>
      <c r="G2492" s="0" t="n">
        <v>0</v>
      </c>
      <c r="H2492" s="0" t="s">
        <v>122</v>
      </c>
      <c r="K2492" s="0" t="s">
        <v>156</v>
      </c>
      <c r="L2492" s="0" t="s">
        <v>3968</v>
      </c>
    </row>
    <row r="2493" customFormat="false" ht="15" hidden="false" customHeight="false" outlineLevel="0" collapsed="false">
      <c r="A2493" s="0" t="s">
        <v>3883</v>
      </c>
      <c r="B2493" s="0" t="s">
        <v>129</v>
      </c>
      <c r="C2493" s="0" t="s">
        <v>294</v>
      </c>
      <c r="D2493" s="0" t="s">
        <v>81</v>
      </c>
      <c r="E2493" s="0" t="s">
        <v>1404</v>
      </c>
      <c r="F2493" s="0" t="n">
        <v>5</v>
      </c>
      <c r="G2493" s="0" t="n">
        <v>0</v>
      </c>
      <c r="H2493" s="0" t="s">
        <v>122</v>
      </c>
      <c r="K2493" s="0" t="s">
        <v>160</v>
      </c>
      <c r="L2493" s="0" t="s">
        <v>3969</v>
      </c>
    </row>
    <row r="2494" customFormat="false" ht="15" hidden="false" customHeight="false" outlineLevel="0" collapsed="false">
      <c r="A2494" s="0" t="s">
        <v>3883</v>
      </c>
      <c r="B2494" s="0" t="s">
        <v>319</v>
      </c>
      <c r="C2494" s="0" t="s">
        <v>114</v>
      </c>
      <c r="D2494" s="0" t="s">
        <v>320</v>
      </c>
      <c r="E2494" s="0" t="s">
        <v>321</v>
      </c>
      <c r="F2494" s="0" t="n">
        <v>8</v>
      </c>
      <c r="G2494" s="0" t="n">
        <v>0</v>
      </c>
      <c r="H2494" s="0" t="s">
        <v>122</v>
      </c>
      <c r="K2494" s="0" t="s">
        <v>322</v>
      </c>
      <c r="L2494" s="0" t="s">
        <v>3970</v>
      </c>
    </row>
    <row r="2495" customFormat="false" ht="15" hidden="false" customHeight="false" outlineLevel="0" collapsed="false">
      <c r="A2495" s="0" t="s">
        <v>3883</v>
      </c>
      <c r="B2495" s="0" t="s">
        <v>319</v>
      </c>
      <c r="C2495" s="0" t="s">
        <v>162</v>
      </c>
      <c r="D2495" s="0" t="s">
        <v>320</v>
      </c>
      <c r="E2495" s="0" t="s">
        <v>324</v>
      </c>
      <c r="F2495" s="0" t="n">
        <v>8</v>
      </c>
      <c r="G2495" s="0" t="n">
        <v>0</v>
      </c>
      <c r="H2495" s="0" t="s">
        <v>122</v>
      </c>
      <c r="K2495" s="0" t="s">
        <v>322</v>
      </c>
      <c r="L2495" s="0" t="s">
        <v>3971</v>
      </c>
    </row>
    <row r="2496" customFormat="false" ht="15" hidden="false" customHeight="false" outlineLevel="0" collapsed="false">
      <c r="A2496" s="0" t="s">
        <v>3883</v>
      </c>
      <c r="B2496" s="0" t="s">
        <v>319</v>
      </c>
      <c r="C2496" s="0" t="s">
        <v>189</v>
      </c>
      <c r="D2496" s="0" t="s">
        <v>320</v>
      </c>
      <c r="E2496" s="0" t="s">
        <v>326</v>
      </c>
      <c r="F2496" s="0" t="n">
        <v>8</v>
      </c>
      <c r="G2496" s="0" t="n">
        <v>0</v>
      </c>
      <c r="H2496" s="0" t="s">
        <v>122</v>
      </c>
      <c r="K2496" s="0" t="s">
        <v>322</v>
      </c>
      <c r="L2496" s="0" t="s">
        <v>3972</v>
      </c>
    </row>
    <row r="2497" customFormat="false" ht="15" hidden="false" customHeight="false" outlineLevel="0" collapsed="false">
      <c r="A2497" s="0" t="s">
        <v>3883</v>
      </c>
      <c r="B2497" s="0" t="s">
        <v>319</v>
      </c>
      <c r="C2497" s="0" t="s">
        <v>215</v>
      </c>
      <c r="D2497" s="0" t="s">
        <v>320</v>
      </c>
      <c r="E2497" s="0" t="s">
        <v>328</v>
      </c>
      <c r="F2497" s="0" t="n">
        <v>8</v>
      </c>
      <c r="G2497" s="0" t="n">
        <v>0</v>
      </c>
      <c r="H2497" s="0" t="s">
        <v>122</v>
      </c>
      <c r="K2497" s="0" t="s">
        <v>322</v>
      </c>
      <c r="L2497" s="0" t="s">
        <v>3973</v>
      </c>
    </row>
    <row r="2498" customFormat="false" ht="15" hidden="false" customHeight="false" outlineLevel="0" collapsed="false">
      <c r="A2498" s="0" t="s">
        <v>3883</v>
      </c>
      <c r="B2498" s="0" t="s">
        <v>319</v>
      </c>
      <c r="C2498" s="0" t="s">
        <v>241</v>
      </c>
      <c r="D2498" s="0" t="s">
        <v>320</v>
      </c>
      <c r="E2498" s="0" t="s">
        <v>330</v>
      </c>
      <c r="F2498" s="0" t="n">
        <v>8</v>
      </c>
      <c r="G2498" s="0" t="n">
        <v>0</v>
      </c>
      <c r="H2498" s="0" t="s">
        <v>122</v>
      </c>
      <c r="K2498" s="0" t="s">
        <v>322</v>
      </c>
      <c r="L2498" s="0" t="s">
        <v>3974</v>
      </c>
    </row>
    <row r="2499" customFormat="false" ht="15" hidden="false" customHeight="false" outlineLevel="0" collapsed="false">
      <c r="A2499" s="0" t="s">
        <v>3883</v>
      </c>
      <c r="B2499" s="0" t="s">
        <v>319</v>
      </c>
      <c r="C2499" s="0" t="s">
        <v>268</v>
      </c>
      <c r="D2499" s="0" t="s">
        <v>320</v>
      </c>
      <c r="E2499" s="0" t="s">
        <v>332</v>
      </c>
      <c r="F2499" s="0" t="n">
        <v>8</v>
      </c>
      <c r="G2499" s="0" t="n">
        <v>1</v>
      </c>
      <c r="H2499" s="0" t="s">
        <v>122</v>
      </c>
      <c r="I2499" s="0" t="s">
        <v>3913</v>
      </c>
      <c r="K2499" s="0" t="s">
        <v>322</v>
      </c>
      <c r="L2499" s="0" t="s">
        <v>3975</v>
      </c>
    </row>
    <row r="2500" customFormat="false" ht="15" hidden="false" customHeight="false" outlineLevel="0" collapsed="false">
      <c r="A2500" s="0" t="s">
        <v>3883</v>
      </c>
      <c r="B2500" s="0" t="s">
        <v>319</v>
      </c>
      <c r="C2500" s="0" t="s">
        <v>294</v>
      </c>
      <c r="D2500" s="0" t="s">
        <v>320</v>
      </c>
      <c r="E2500" s="0" t="s">
        <v>334</v>
      </c>
      <c r="F2500" s="0" t="n">
        <v>8</v>
      </c>
      <c r="G2500" s="0" t="n">
        <v>0</v>
      </c>
      <c r="H2500" s="0" t="s">
        <v>122</v>
      </c>
      <c r="K2500" s="0" t="s">
        <v>322</v>
      </c>
      <c r="L2500" s="0" t="s">
        <v>3976</v>
      </c>
    </row>
    <row r="2501" customFormat="false" ht="15" hidden="false" customHeight="false" outlineLevel="0" collapsed="false">
      <c r="A2501" s="0" t="s">
        <v>3883</v>
      </c>
      <c r="B2501" s="0" t="s">
        <v>319</v>
      </c>
      <c r="C2501" s="0" t="s">
        <v>114</v>
      </c>
      <c r="D2501" s="0" t="s">
        <v>86</v>
      </c>
      <c r="E2501" s="0" t="s">
        <v>336</v>
      </c>
      <c r="F2501" s="0" t="n">
        <v>8</v>
      </c>
      <c r="G2501" s="0" t="n">
        <v>0</v>
      </c>
      <c r="H2501" s="0" t="s">
        <v>122</v>
      </c>
      <c r="K2501" s="0" t="s">
        <v>322</v>
      </c>
      <c r="L2501" s="0" t="s">
        <v>3977</v>
      </c>
    </row>
    <row r="2502" customFormat="false" ht="15" hidden="false" customHeight="false" outlineLevel="0" collapsed="false">
      <c r="A2502" s="0" t="s">
        <v>3883</v>
      </c>
      <c r="B2502" s="0" t="s">
        <v>319</v>
      </c>
      <c r="C2502" s="0" t="s">
        <v>162</v>
      </c>
      <c r="D2502" s="0" t="s">
        <v>86</v>
      </c>
      <c r="E2502" s="0" t="s">
        <v>338</v>
      </c>
      <c r="F2502" s="0" t="n">
        <v>8</v>
      </c>
      <c r="G2502" s="0" t="n">
        <v>0</v>
      </c>
      <c r="H2502" s="0" t="s">
        <v>122</v>
      </c>
      <c r="K2502" s="0" t="s">
        <v>322</v>
      </c>
      <c r="L2502" s="0" t="s">
        <v>3978</v>
      </c>
    </row>
    <row r="2503" customFormat="false" ht="15" hidden="false" customHeight="false" outlineLevel="0" collapsed="false">
      <c r="A2503" s="0" t="s">
        <v>3883</v>
      </c>
      <c r="B2503" s="0" t="s">
        <v>319</v>
      </c>
      <c r="C2503" s="0" t="s">
        <v>189</v>
      </c>
      <c r="D2503" s="0" t="s">
        <v>86</v>
      </c>
      <c r="E2503" s="0" t="s">
        <v>340</v>
      </c>
      <c r="F2503" s="0" t="n">
        <v>8</v>
      </c>
      <c r="G2503" s="0" t="n">
        <v>0</v>
      </c>
      <c r="H2503" s="0" t="s">
        <v>122</v>
      </c>
      <c r="K2503" s="0" t="s">
        <v>322</v>
      </c>
      <c r="L2503" s="0" t="s">
        <v>3979</v>
      </c>
    </row>
    <row r="2504" customFormat="false" ht="15" hidden="false" customHeight="false" outlineLevel="0" collapsed="false">
      <c r="A2504" s="0" t="s">
        <v>3883</v>
      </c>
      <c r="B2504" s="0" t="s">
        <v>319</v>
      </c>
      <c r="C2504" s="0" t="s">
        <v>215</v>
      </c>
      <c r="D2504" s="0" t="s">
        <v>86</v>
      </c>
      <c r="E2504" s="0" t="s">
        <v>342</v>
      </c>
      <c r="F2504" s="0" t="n">
        <v>8</v>
      </c>
      <c r="G2504" s="0" t="n">
        <v>0</v>
      </c>
      <c r="H2504" s="0" t="s">
        <v>122</v>
      </c>
      <c r="K2504" s="0" t="s">
        <v>322</v>
      </c>
      <c r="L2504" s="0" t="s">
        <v>3980</v>
      </c>
    </row>
    <row r="2505" customFormat="false" ht="15" hidden="false" customHeight="false" outlineLevel="0" collapsed="false">
      <c r="A2505" s="0" t="s">
        <v>3883</v>
      </c>
      <c r="B2505" s="0" t="s">
        <v>319</v>
      </c>
      <c r="C2505" s="0" t="s">
        <v>241</v>
      </c>
      <c r="D2505" s="0" t="s">
        <v>86</v>
      </c>
      <c r="E2505" s="0" t="s">
        <v>344</v>
      </c>
      <c r="F2505" s="0" t="n">
        <v>8</v>
      </c>
      <c r="G2505" s="0" t="n">
        <v>0</v>
      </c>
      <c r="H2505" s="0" t="s">
        <v>122</v>
      </c>
      <c r="K2505" s="0" t="s">
        <v>322</v>
      </c>
      <c r="L2505" s="0" t="s">
        <v>3981</v>
      </c>
    </row>
    <row r="2506" customFormat="false" ht="15" hidden="false" customHeight="false" outlineLevel="0" collapsed="false">
      <c r="A2506" s="0" t="s">
        <v>3883</v>
      </c>
      <c r="B2506" s="0" t="s">
        <v>319</v>
      </c>
      <c r="C2506" s="0" t="s">
        <v>268</v>
      </c>
      <c r="D2506" s="0" t="s">
        <v>86</v>
      </c>
      <c r="E2506" s="0" t="s">
        <v>346</v>
      </c>
      <c r="F2506" s="0" t="n">
        <v>8</v>
      </c>
      <c r="G2506" s="0" t="n">
        <v>0</v>
      </c>
      <c r="H2506" s="0" t="s">
        <v>122</v>
      </c>
      <c r="K2506" s="0" t="s">
        <v>322</v>
      </c>
      <c r="L2506" s="0" t="s">
        <v>3982</v>
      </c>
    </row>
    <row r="2507" customFormat="false" ht="15" hidden="false" customHeight="false" outlineLevel="0" collapsed="false">
      <c r="A2507" s="0" t="s">
        <v>3883</v>
      </c>
      <c r="B2507" s="0" t="s">
        <v>319</v>
      </c>
      <c r="C2507" s="0" t="s">
        <v>294</v>
      </c>
      <c r="D2507" s="0" t="s">
        <v>86</v>
      </c>
      <c r="E2507" s="0" t="s">
        <v>348</v>
      </c>
      <c r="F2507" s="0" t="n">
        <v>8</v>
      </c>
      <c r="G2507" s="0" t="n">
        <v>0</v>
      </c>
      <c r="H2507" s="0" t="s">
        <v>122</v>
      </c>
      <c r="K2507" s="0" t="s">
        <v>322</v>
      </c>
      <c r="L2507" s="0" t="s">
        <v>3983</v>
      </c>
    </row>
    <row r="2508" customFormat="false" ht="15" hidden="false" customHeight="false" outlineLevel="0" collapsed="false">
      <c r="A2508" s="0" t="s">
        <v>3883</v>
      </c>
      <c r="B2508" s="0" t="s">
        <v>350</v>
      </c>
      <c r="C2508" s="0" t="s">
        <v>351</v>
      </c>
      <c r="D2508" s="0" t="s">
        <v>528</v>
      </c>
      <c r="E2508" s="0" t="s">
        <v>1421</v>
      </c>
      <c r="F2508" s="0" t="n">
        <v>5</v>
      </c>
      <c r="G2508" s="0" t="n">
        <v>0</v>
      </c>
      <c r="H2508" s="0" t="s">
        <v>122</v>
      </c>
      <c r="K2508" s="0" t="s">
        <v>118</v>
      </c>
      <c r="L2508" s="0" t="s">
        <v>3984</v>
      </c>
    </row>
    <row r="2509" customFormat="false" ht="15" hidden="false" customHeight="false" outlineLevel="0" collapsed="false">
      <c r="A2509" s="0" t="s">
        <v>3883</v>
      </c>
      <c r="B2509" s="0" t="s">
        <v>350</v>
      </c>
      <c r="C2509" s="0" t="s">
        <v>351</v>
      </c>
      <c r="D2509" s="0" t="s">
        <v>531</v>
      </c>
      <c r="E2509" s="0" t="s">
        <v>1423</v>
      </c>
      <c r="F2509" s="0" t="n">
        <v>5</v>
      </c>
      <c r="G2509" s="0" t="n">
        <v>0</v>
      </c>
      <c r="H2509" s="0" t="s">
        <v>122</v>
      </c>
      <c r="K2509" s="0" t="s">
        <v>123</v>
      </c>
      <c r="L2509" s="0" t="s">
        <v>3985</v>
      </c>
    </row>
    <row r="2510" customFormat="false" ht="15" hidden="false" customHeight="false" outlineLevel="0" collapsed="false">
      <c r="A2510" s="0" t="s">
        <v>3883</v>
      </c>
      <c r="B2510" s="0" t="s">
        <v>350</v>
      </c>
      <c r="C2510" s="0" t="s">
        <v>351</v>
      </c>
      <c r="D2510" s="0" t="s">
        <v>534</v>
      </c>
      <c r="E2510" s="0" t="s">
        <v>1425</v>
      </c>
      <c r="F2510" s="0" t="n">
        <v>5</v>
      </c>
      <c r="G2510" s="0" t="n">
        <v>0</v>
      </c>
      <c r="H2510" s="0" t="s">
        <v>122</v>
      </c>
      <c r="K2510" s="0" t="s">
        <v>127</v>
      </c>
      <c r="L2510" s="0" t="s">
        <v>3986</v>
      </c>
    </row>
    <row r="2511" customFormat="false" ht="15" hidden="false" customHeight="false" outlineLevel="0" collapsed="false">
      <c r="A2511" s="0" t="s">
        <v>3883</v>
      </c>
      <c r="B2511" s="0" t="s">
        <v>350</v>
      </c>
      <c r="C2511" s="0" t="s">
        <v>351</v>
      </c>
      <c r="D2511" s="0" t="s">
        <v>52</v>
      </c>
      <c r="E2511" s="0" t="s">
        <v>1427</v>
      </c>
      <c r="F2511" s="0" t="n">
        <v>5</v>
      </c>
      <c r="G2511" s="0" t="n">
        <v>1</v>
      </c>
      <c r="H2511" s="0" t="s">
        <v>122</v>
      </c>
      <c r="I2511" s="0" t="s">
        <v>3900</v>
      </c>
      <c r="K2511" s="0" t="s">
        <v>132</v>
      </c>
      <c r="L2511" s="0" t="s">
        <v>3987</v>
      </c>
    </row>
    <row r="2512" customFormat="false" ht="15" hidden="false" customHeight="false" outlineLevel="0" collapsed="false">
      <c r="A2512" s="0" t="s">
        <v>3883</v>
      </c>
      <c r="B2512" s="0" t="s">
        <v>350</v>
      </c>
      <c r="C2512" s="0" t="s">
        <v>351</v>
      </c>
      <c r="D2512" s="0" t="s">
        <v>55</v>
      </c>
      <c r="E2512" s="0" t="s">
        <v>1429</v>
      </c>
      <c r="F2512" s="0" t="n">
        <v>5</v>
      </c>
      <c r="G2512" s="0" t="n">
        <v>0</v>
      </c>
      <c r="H2512" s="0" t="s">
        <v>122</v>
      </c>
      <c r="K2512" s="0" t="s">
        <v>135</v>
      </c>
      <c r="L2512" s="0" t="s">
        <v>3988</v>
      </c>
    </row>
    <row r="2513" customFormat="false" ht="15" hidden="false" customHeight="false" outlineLevel="0" collapsed="false">
      <c r="A2513" s="0" t="s">
        <v>3883</v>
      </c>
      <c r="B2513" s="0" t="s">
        <v>350</v>
      </c>
      <c r="C2513" s="0" t="s">
        <v>351</v>
      </c>
      <c r="D2513" s="0" t="s">
        <v>58</v>
      </c>
      <c r="E2513" s="0" t="s">
        <v>1431</v>
      </c>
      <c r="F2513" s="0" t="n">
        <v>5</v>
      </c>
      <c r="G2513" s="0" t="n">
        <v>0</v>
      </c>
      <c r="H2513" s="0" t="s">
        <v>122</v>
      </c>
      <c r="K2513" s="0" t="s">
        <v>138</v>
      </c>
      <c r="L2513" s="0" t="s">
        <v>3989</v>
      </c>
    </row>
    <row r="2514" customFormat="false" ht="15" hidden="false" customHeight="false" outlineLevel="0" collapsed="false">
      <c r="A2514" s="0" t="s">
        <v>3883</v>
      </c>
      <c r="B2514" s="0" t="s">
        <v>350</v>
      </c>
      <c r="C2514" s="0" t="s">
        <v>351</v>
      </c>
      <c r="D2514" s="0" t="s">
        <v>65</v>
      </c>
      <c r="E2514" s="0" t="s">
        <v>1433</v>
      </c>
      <c r="F2514" s="0" t="n">
        <v>5</v>
      </c>
      <c r="G2514" s="0" t="n">
        <v>0</v>
      </c>
      <c r="H2514" s="0" t="s">
        <v>122</v>
      </c>
      <c r="K2514" s="0" t="s">
        <v>143</v>
      </c>
      <c r="L2514" s="0" t="s">
        <v>3990</v>
      </c>
    </row>
    <row r="2515" customFormat="false" ht="15" hidden="false" customHeight="false" outlineLevel="0" collapsed="false">
      <c r="A2515" s="0" t="s">
        <v>3883</v>
      </c>
      <c r="B2515" s="0" t="s">
        <v>350</v>
      </c>
      <c r="C2515" s="0" t="s">
        <v>351</v>
      </c>
      <c r="D2515" s="0" t="s">
        <v>69</v>
      </c>
      <c r="E2515" s="0" t="s">
        <v>1435</v>
      </c>
      <c r="F2515" s="0" t="n">
        <v>5</v>
      </c>
      <c r="G2515" s="0" t="n">
        <v>0</v>
      </c>
      <c r="H2515" s="0" t="s">
        <v>122</v>
      </c>
      <c r="K2515" s="0" t="s">
        <v>146</v>
      </c>
      <c r="L2515" s="0" t="s">
        <v>3991</v>
      </c>
    </row>
    <row r="2516" customFormat="false" ht="15" hidden="false" customHeight="false" outlineLevel="0" collapsed="false">
      <c r="A2516" s="0" t="s">
        <v>3883</v>
      </c>
      <c r="B2516" s="0" t="s">
        <v>350</v>
      </c>
      <c r="C2516" s="0" t="s">
        <v>351</v>
      </c>
      <c r="D2516" s="0" t="s">
        <v>72</v>
      </c>
      <c r="E2516" s="0" t="s">
        <v>1437</v>
      </c>
      <c r="F2516" s="0" t="n">
        <v>5</v>
      </c>
      <c r="G2516" s="0" t="n">
        <v>0</v>
      </c>
      <c r="H2516" s="0" t="s">
        <v>122</v>
      </c>
      <c r="K2516" s="0" t="s">
        <v>149</v>
      </c>
      <c r="L2516" s="0" t="s">
        <v>3992</v>
      </c>
    </row>
    <row r="2517" customFormat="false" ht="15" hidden="false" customHeight="false" outlineLevel="0" collapsed="false">
      <c r="A2517" s="0" t="s">
        <v>3883</v>
      </c>
      <c r="B2517" s="0" t="s">
        <v>350</v>
      </c>
      <c r="C2517" s="0" t="s">
        <v>351</v>
      </c>
      <c r="D2517" s="0" t="s">
        <v>75</v>
      </c>
      <c r="E2517" s="0" t="s">
        <v>1439</v>
      </c>
      <c r="F2517" s="0" t="n">
        <v>5</v>
      </c>
      <c r="G2517" s="0" t="n">
        <v>0</v>
      </c>
      <c r="H2517" s="0" t="s">
        <v>122</v>
      </c>
      <c r="K2517" s="0" t="s">
        <v>152</v>
      </c>
      <c r="L2517" s="0" t="s">
        <v>3993</v>
      </c>
    </row>
    <row r="2518" customFormat="false" ht="15" hidden="false" customHeight="false" outlineLevel="0" collapsed="false">
      <c r="A2518" s="0" t="s">
        <v>3883</v>
      </c>
      <c r="B2518" s="0" t="s">
        <v>350</v>
      </c>
      <c r="C2518" s="0" t="s">
        <v>351</v>
      </c>
      <c r="D2518" s="0" t="s">
        <v>78</v>
      </c>
      <c r="E2518" s="0" t="s">
        <v>1441</v>
      </c>
      <c r="F2518" s="0" t="n">
        <v>5</v>
      </c>
      <c r="G2518" s="0" t="n">
        <v>0</v>
      </c>
      <c r="H2518" s="0" t="s">
        <v>122</v>
      </c>
      <c r="K2518" s="0" t="s">
        <v>156</v>
      </c>
      <c r="L2518" s="0" t="s">
        <v>3994</v>
      </c>
    </row>
    <row r="2519" customFormat="false" ht="15" hidden="false" customHeight="false" outlineLevel="0" collapsed="false">
      <c r="A2519" s="0" t="s">
        <v>3883</v>
      </c>
      <c r="B2519" s="0" t="s">
        <v>350</v>
      </c>
      <c r="C2519" s="0" t="s">
        <v>351</v>
      </c>
      <c r="D2519" s="0" t="s">
        <v>81</v>
      </c>
      <c r="E2519" s="0" t="s">
        <v>1443</v>
      </c>
      <c r="F2519" s="0" t="n">
        <v>5</v>
      </c>
      <c r="G2519" s="0" t="n">
        <v>0</v>
      </c>
      <c r="H2519" s="0" t="s">
        <v>122</v>
      </c>
      <c r="K2519" s="0" t="s">
        <v>160</v>
      </c>
      <c r="L2519" s="0" t="s">
        <v>3995</v>
      </c>
    </row>
    <row r="2520" customFormat="false" ht="15" hidden="false" customHeight="false" outlineLevel="0" collapsed="false">
      <c r="A2520" s="0" t="s">
        <v>3883</v>
      </c>
      <c r="B2520" s="0" t="s">
        <v>350</v>
      </c>
      <c r="C2520" s="0" t="s">
        <v>376</v>
      </c>
      <c r="D2520" s="0" t="s">
        <v>528</v>
      </c>
      <c r="E2520" s="0" t="s">
        <v>1445</v>
      </c>
      <c r="F2520" s="0" t="n">
        <v>5</v>
      </c>
      <c r="G2520" s="0" t="n">
        <v>0</v>
      </c>
      <c r="H2520" s="0" t="s">
        <v>122</v>
      </c>
      <c r="K2520" s="0" t="s">
        <v>118</v>
      </c>
      <c r="L2520" s="0" t="s">
        <v>3996</v>
      </c>
    </row>
    <row r="2521" customFormat="false" ht="15" hidden="false" customHeight="false" outlineLevel="0" collapsed="false">
      <c r="A2521" s="0" t="s">
        <v>3883</v>
      </c>
      <c r="B2521" s="0" t="s">
        <v>350</v>
      </c>
      <c r="C2521" s="0" t="s">
        <v>376</v>
      </c>
      <c r="D2521" s="0" t="s">
        <v>531</v>
      </c>
      <c r="E2521" s="0" t="s">
        <v>1447</v>
      </c>
      <c r="F2521" s="0" t="n">
        <v>5</v>
      </c>
      <c r="G2521" s="0" t="n">
        <v>0</v>
      </c>
      <c r="H2521" s="0" t="s">
        <v>122</v>
      </c>
      <c r="K2521" s="0" t="s">
        <v>123</v>
      </c>
      <c r="L2521" s="0" t="s">
        <v>3997</v>
      </c>
    </row>
    <row r="2522" customFormat="false" ht="15" hidden="false" customHeight="false" outlineLevel="0" collapsed="false">
      <c r="A2522" s="0" t="s">
        <v>3883</v>
      </c>
      <c r="B2522" s="0" t="s">
        <v>350</v>
      </c>
      <c r="C2522" s="0" t="s">
        <v>376</v>
      </c>
      <c r="D2522" s="0" t="s">
        <v>534</v>
      </c>
      <c r="E2522" s="0" t="s">
        <v>1449</v>
      </c>
      <c r="F2522" s="0" t="n">
        <v>5</v>
      </c>
      <c r="G2522" s="0" t="n">
        <v>0</v>
      </c>
      <c r="H2522" s="0" t="s">
        <v>122</v>
      </c>
      <c r="K2522" s="0" t="s">
        <v>127</v>
      </c>
      <c r="L2522" s="0" t="s">
        <v>3998</v>
      </c>
    </row>
    <row r="2523" customFormat="false" ht="15" hidden="false" customHeight="false" outlineLevel="0" collapsed="false">
      <c r="A2523" s="0" t="s">
        <v>3883</v>
      </c>
      <c r="B2523" s="0" t="s">
        <v>350</v>
      </c>
      <c r="C2523" s="0" t="s">
        <v>376</v>
      </c>
      <c r="D2523" s="0" t="s">
        <v>52</v>
      </c>
      <c r="E2523" s="0" t="s">
        <v>1451</v>
      </c>
      <c r="F2523" s="0" t="n">
        <v>5</v>
      </c>
      <c r="G2523" s="0" t="n">
        <v>0</v>
      </c>
      <c r="H2523" s="0" t="s">
        <v>122</v>
      </c>
      <c r="K2523" s="0" t="s">
        <v>132</v>
      </c>
      <c r="L2523" s="0" t="s">
        <v>3999</v>
      </c>
    </row>
    <row r="2524" customFormat="false" ht="15" hidden="false" customHeight="false" outlineLevel="0" collapsed="false">
      <c r="A2524" s="0" t="s">
        <v>3883</v>
      </c>
      <c r="B2524" s="0" t="s">
        <v>350</v>
      </c>
      <c r="C2524" s="0" t="s">
        <v>376</v>
      </c>
      <c r="D2524" s="0" t="s">
        <v>55</v>
      </c>
      <c r="E2524" s="0" t="s">
        <v>1453</v>
      </c>
      <c r="F2524" s="0" t="n">
        <v>5</v>
      </c>
      <c r="G2524" s="0" t="n">
        <v>0</v>
      </c>
      <c r="H2524" s="0" t="s">
        <v>122</v>
      </c>
      <c r="K2524" s="0" t="s">
        <v>135</v>
      </c>
      <c r="L2524" s="0" t="s">
        <v>4000</v>
      </c>
    </row>
    <row r="2525" customFormat="false" ht="15" hidden="false" customHeight="false" outlineLevel="0" collapsed="false">
      <c r="A2525" s="0" t="s">
        <v>3883</v>
      </c>
      <c r="B2525" s="0" t="s">
        <v>350</v>
      </c>
      <c r="C2525" s="0" t="s">
        <v>376</v>
      </c>
      <c r="D2525" s="0" t="s">
        <v>58</v>
      </c>
      <c r="E2525" s="0" t="s">
        <v>1455</v>
      </c>
      <c r="F2525" s="0" t="n">
        <v>5</v>
      </c>
      <c r="G2525" s="0" t="n">
        <v>0</v>
      </c>
      <c r="H2525" s="0" t="s">
        <v>122</v>
      </c>
      <c r="K2525" s="0" t="s">
        <v>138</v>
      </c>
      <c r="L2525" s="0" t="s">
        <v>4001</v>
      </c>
    </row>
    <row r="2526" customFormat="false" ht="15" hidden="false" customHeight="false" outlineLevel="0" collapsed="false">
      <c r="A2526" s="0" t="s">
        <v>3883</v>
      </c>
      <c r="B2526" s="0" t="s">
        <v>350</v>
      </c>
      <c r="C2526" s="0" t="s">
        <v>376</v>
      </c>
      <c r="D2526" s="0" t="s">
        <v>65</v>
      </c>
      <c r="E2526" s="0" t="s">
        <v>1457</v>
      </c>
      <c r="F2526" s="0" t="n">
        <v>5</v>
      </c>
      <c r="G2526" s="0" t="n">
        <v>0</v>
      </c>
      <c r="H2526" s="0" t="s">
        <v>122</v>
      </c>
      <c r="K2526" s="0" t="s">
        <v>143</v>
      </c>
      <c r="L2526" s="0" t="s">
        <v>4002</v>
      </c>
    </row>
    <row r="2527" customFormat="false" ht="15" hidden="false" customHeight="false" outlineLevel="0" collapsed="false">
      <c r="A2527" s="0" t="s">
        <v>3883</v>
      </c>
      <c r="B2527" s="0" t="s">
        <v>350</v>
      </c>
      <c r="C2527" s="0" t="s">
        <v>376</v>
      </c>
      <c r="D2527" s="0" t="s">
        <v>69</v>
      </c>
      <c r="E2527" s="0" t="s">
        <v>1459</v>
      </c>
      <c r="F2527" s="0" t="n">
        <v>5</v>
      </c>
      <c r="G2527" s="0" t="n">
        <v>0</v>
      </c>
      <c r="H2527" s="0" t="s">
        <v>122</v>
      </c>
      <c r="K2527" s="0" t="s">
        <v>146</v>
      </c>
      <c r="L2527" s="0" t="s">
        <v>4003</v>
      </c>
    </row>
    <row r="2528" customFormat="false" ht="15" hidden="false" customHeight="false" outlineLevel="0" collapsed="false">
      <c r="A2528" s="0" t="s">
        <v>3883</v>
      </c>
      <c r="B2528" s="0" t="s">
        <v>350</v>
      </c>
      <c r="C2528" s="0" t="s">
        <v>376</v>
      </c>
      <c r="D2528" s="0" t="s">
        <v>72</v>
      </c>
      <c r="E2528" s="0" t="s">
        <v>1461</v>
      </c>
      <c r="F2528" s="0" t="n">
        <v>5</v>
      </c>
      <c r="G2528" s="0" t="n">
        <v>0</v>
      </c>
      <c r="H2528" s="0" t="s">
        <v>122</v>
      </c>
      <c r="K2528" s="0" t="s">
        <v>149</v>
      </c>
      <c r="L2528" s="0" t="s">
        <v>4004</v>
      </c>
    </row>
    <row r="2529" customFormat="false" ht="15" hidden="false" customHeight="false" outlineLevel="0" collapsed="false">
      <c r="A2529" s="0" t="s">
        <v>3883</v>
      </c>
      <c r="B2529" s="0" t="s">
        <v>350</v>
      </c>
      <c r="C2529" s="0" t="s">
        <v>376</v>
      </c>
      <c r="D2529" s="0" t="s">
        <v>75</v>
      </c>
      <c r="E2529" s="0" t="s">
        <v>1463</v>
      </c>
      <c r="F2529" s="0" t="n">
        <v>5</v>
      </c>
      <c r="G2529" s="0" t="n">
        <v>0</v>
      </c>
      <c r="H2529" s="0" t="s">
        <v>122</v>
      </c>
      <c r="K2529" s="0" t="s">
        <v>152</v>
      </c>
      <c r="L2529" s="0" t="s">
        <v>4005</v>
      </c>
    </row>
    <row r="2530" customFormat="false" ht="15" hidden="false" customHeight="false" outlineLevel="0" collapsed="false">
      <c r="A2530" s="0" t="s">
        <v>3883</v>
      </c>
      <c r="B2530" s="0" t="s">
        <v>350</v>
      </c>
      <c r="C2530" s="0" t="s">
        <v>376</v>
      </c>
      <c r="D2530" s="0" t="s">
        <v>78</v>
      </c>
      <c r="E2530" s="0" t="s">
        <v>1465</v>
      </c>
      <c r="F2530" s="0" t="n">
        <v>5</v>
      </c>
      <c r="G2530" s="0" t="n">
        <v>0</v>
      </c>
      <c r="H2530" s="0" t="s">
        <v>122</v>
      </c>
      <c r="K2530" s="0" t="s">
        <v>156</v>
      </c>
      <c r="L2530" s="0" t="s">
        <v>4006</v>
      </c>
    </row>
    <row r="2531" customFormat="false" ht="15" hidden="false" customHeight="false" outlineLevel="0" collapsed="false">
      <c r="A2531" s="0" t="s">
        <v>3883</v>
      </c>
      <c r="B2531" s="0" t="s">
        <v>350</v>
      </c>
      <c r="C2531" s="0" t="s">
        <v>376</v>
      </c>
      <c r="D2531" s="0" t="s">
        <v>81</v>
      </c>
      <c r="E2531" s="0" t="s">
        <v>1467</v>
      </c>
      <c r="F2531" s="0" t="n">
        <v>5</v>
      </c>
      <c r="G2531" s="0" t="n">
        <v>0</v>
      </c>
      <c r="H2531" s="0" t="s">
        <v>122</v>
      </c>
      <c r="K2531" s="0" t="s">
        <v>160</v>
      </c>
      <c r="L2531" s="0" t="s">
        <v>4007</v>
      </c>
    </row>
    <row r="2532" customFormat="false" ht="15" hidden="false" customHeight="false" outlineLevel="0" collapsed="false">
      <c r="A2532" s="0" t="s">
        <v>3883</v>
      </c>
      <c r="B2532" s="0" t="s">
        <v>350</v>
      </c>
      <c r="C2532" s="0" t="s">
        <v>401</v>
      </c>
      <c r="D2532" s="0" t="s">
        <v>528</v>
      </c>
      <c r="E2532" s="0" t="s">
        <v>1469</v>
      </c>
      <c r="F2532" s="0" t="n">
        <v>5</v>
      </c>
      <c r="G2532" s="0" t="n">
        <v>0</v>
      </c>
      <c r="H2532" s="0" t="s">
        <v>122</v>
      </c>
      <c r="K2532" s="0" t="s">
        <v>118</v>
      </c>
      <c r="L2532" s="0" t="s">
        <v>4008</v>
      </c>
    </row>
    <row r="2533" customFormat="false" ht="15" hidden="false" customHeight="false" outlineLevel="0" collapsed="false">
      <c r="A2533" s="0" t="s">
        <v>3883</v>
      </c>
      <c r="B2533" s="0" t="s">
        <v>350</v>
      </c>
      <c r="C2533" s="0" t="s">
        <v>401</v>
      </c>
      <c r="D2533" s="0" t="s">
        <v>531</v>
      </c>
      <c r="E2533" s="0" t="s">
        <v>1471</v>
      </c>
      <c r="F2533" s="0" t="n">
        <v>5</v>
      </c>
      <c r="G2533" s="0" t="n">
        <v>1</v>
      </c>
      <c r="H2533" s="0" t="s">
        <v>122</v>
      </c>
      <c r="I2533" s="0" t="s">
        <v>3900</v>
      </c>
      <c r="K2533" s="0" t="s">
        <v>123</v>
      </c>
      <c r="L2533" s="0" t="s">
        <v>4009</v>
      </c>
    </row>
    <row r="2534" customFormat="false" ht="15" hidden="false" customHeight="false" outlineLevel="0" collapsed="false">
      <c r="A2534" s="0" t="s">
        <v>3883</v>
      </c>
      <c r="B2534" s="0" t="s">
        <v>350</v>
      </c>
      <c r="C2534" s="0" t="s">
        <v>401</v>
      </c>
      <c r="D2534" s="0" t="s">
        <v>534</v>
      </c>
      <c r="E2534" s="0" t="s">
        <v>1473</v>
      </c>
      <c r="F2534" s="0" t="n">
        <v>5</v>
      </c>
      <c r="G2534" s="0" t="n">
        <v>2</v>
      </c>
      <c r="H2534" s="0" t="s">
        <v>122</v>
      </c>
      <c r="I2534" s="0" t="s">
        <v>3913</v>
      </c>
      <c r="K2534" s="0" t="s">
        <v>127</v>
      </c>
      <c r="L2534" s="0" t="s">
        <v>4010</v>
      </c>
    </row>
    <row r="2535" customFormat="false" ht="15" hidden="false" customHeight="false" outlineLevel="0" collapsed="false">
      <c r="A2535" s="0" t="s">
        <v>3883</v>
      </c>
      <c r="B2535" s="0" t="s">
        <v>350</v>
      </c>
      <c r="C2535" s="0" t="s">
        <v>401</v>
      </c>
      <c r="D2535" s="0" t="s">
        <v>52</v>
      </c>
      <c r="E2535" s="0" t="s">
        <v>1475</v>
      </c>
      <c r="F2535" s="0" t="n">
        <v>5</v>
      </c>
      <c r="G2535" s="0" t="n">
        <v>2</v>
      </c>
      <c r="H2535" s="0" t="s">
        <v>122</v>
      </c>
      <c r="I2535" s="0" t="s">
        <v>3913</v>
      </c>
      <c r="K2535" s="0" t="s">
        <v>132</v>
      </c>
      <c r="L2535" s="0" t="s">
        <v>4011</v>
      </c>
    </row>
    <row r="2536" customFormat="false" ht="15" hidden="false" customHeight="false" outlineLevel="0" collapsed="false">
      <c r="A2536" s="0" t="s">
        <v>3883</v>
      </c>
      <c r="B2536" s="0" t="s">
        <v>350</v>
      </c>
      <c r="C2536" s="0" t="s">
        <v>401</v>
      </c>
      <c r="D2536" s="0" t="s">
        <v>55</v>
      </c>
      <c r="E2536" s="0" t="s">
        <v>1477</v>
      </c>
      <c r="F2536" s="0" t="n">
        <v>5</v>
      </c>
      <c r="G2536" s="0" t="n">
        <v>0</v>
      </c>
      <c r="H2536" s="0" t="s">
        <v>122</v>
      </c>
      <c r="K2536" s="0" t="s">
        <v>135</v>
      </c>
      <c r="L2536" s="0" t="s">
        <v>4012</v>
      </c>
    </row>
    <row r="2537" customFormat="false" ht="15" hidden="false" customHeight="false" outlineLevel="0" collapsed="false">
      <c r="A2537" s="0" t="s">
        <v>3883</v>
      </c>
      <c r="B2537" s="0" t="s">
        <v>350</v>
      </c>
      <c r="C2537" s="0" t="s">
        <v>401</v>
      </c>
      <c r="D2537" s="0" t="s">
        <v>58</v>
      </c>
      <c r="E2537" s="0" t="s">
        <v>1479</v>
      </c>
      <c r="F2537" s="0" t="n">
        <v>5</v>
      </c>
      <c r="G2537" s="0" t="n">
        <v>0</v>
      </c>
      <c r="H2537" s="0" t="s">
        <v>122</v>
      </c>
      <c r="K2537" s="0" t="s">
        <v>138</v>
      </c>
      <c r="L2537" s="0" t="s">
        <v>4013</v>
      </c>
    </row>
    <row r="2538" customFormat="false" ht="15" hidden="false" customHeight="false" outlineLevel="0" collapsed="false">
      <c r="A2538" s="0" t="s">
        <v>3883</v>
      </c>
      <c r="B2538" s="0" t="s">
        <v>350</v>
      </c>
      <c r="C2538" s="0" t="s">
        <v>401</v>
      </c>
      <c r="D2538" s="0" t="s">
        <v>65</v>
      </c>
      <c r="E2538" s="0" t="s">
        <v>1481</v>
      </c>
      <c r="F2538" s="0" t="n">
        <v>5</v>
      </c>
      <c r="G2538" s="0" t="n">
        <v>0</v>
      </c>
      <c r="H2538" s="0" t="s">
        <v>122</v>
      </c>
      <c r="K2538" s="0" t="s">
        <v>143</v>
      </c>
      <c r="L2538" s="0" t="s">
        <v>4014</v>
      </c>
    </row>
    <row r="2539" customFormat="false" ht="15" hidden="false" customHeight="false" outlineLevel="0" collapsed="false">
      <c r="A2539" s="0" t="s">
        <v>3883</v>
      </c>
      <c r="B2539" s="0" t="s">
        <v>350</v>
      </c>
      <c r="C2539" s="0" t="s">
        <v>401</v>
      </c>
      <c r="D2539" s="0" t="s">
        <v>69</v>
      </c>
      <c r="E2539" s="0" t="s">
        <v>1483</v>
      </c>
      <c r="F2539" s="0" t="n">
        <v>5</v>
      </c>
      <c r="G2539" s="0" t="n">
        <v>0</v>
      </c>
      <c r="H2539" s="0" t="s">
        <v>122</v>
      </c>
      <c r="K2539" s="0" t="s">
        <v>146</v>
      </c>
      <c r="L2539" s="0" t="s">
        <v>4015</v>
      </c>
    </row>
    <row r="2540" customFormat="false" ht="15" hidden="false" customHeight="false" outlineLevel="0" collapsed="false">
      <c r="A2540" s="0" t="s">
        <v>3883</v>
      </c>
      <c r="B2540" s="0" t="s">
        <v>350</v>
      </c>
      <c r="C2540" s="0" t="s">
        <v>401</v>
      </c>
      <c r="D2540" s="0" t="s">
        <v>72</v>
      </c>
      <c r="E2540" s="0" t="s">
        <v>1485</v>
      </c>
      <c r="F2540" s="0" t="n">
        <v>5</v>
      </c>
      <c r="G2540" s="0" t="n">
        <v>0</v>
      </c>
      <c r="H2540" s="0" t="s">
        <v>122</v>
      </c>
      <c r="K2540" s="0" t="s">
        <v>149</v>
      </c>
      <c r="L2540" s="0" t="s">
        <v>4016</v>
      </c>
    </row>
    <row r="2541" customFormat="false" ht="15" hidden="false" customHeight="false" outlineLevel="0" collapsed="false">
      <c r="A2541" s="0" t="s">
        <v>3883</v>
      </c>
      <c r="B2541" s="0" t="s">
        <v>350</v>
      </c>
      <c r="C2541" s="0" t="s">
        <v>401</v>
      </c>
      <c r="D2541" s="0" t="s">
        <v>75</v>
      </c>
      <c r="E2541" s="0" t="s">
        <v>1487</v>
      </c>
      <c r="F2541" s="0" t="n">
        <v>5</v>
      </c>
      <c r="G2541" s="0" t="n">
        <v>4</v>
      </c>
      <c r="H2541" s="0" t="s">
        <v>122</v>
      </c>
      <c r="I2541" s="0" t="s">
        <v>3913</v>
      </c>
      <c r="K2541" s="0" t="s">
        <v>152</v>
      </c>
      <c r="L2541" s="0" t="s">
        <v>4017</v>
      </c>
    </row>
    <row r="2542" customFormat="false" ht="15" hidden="false" customHeight="false" outlineLevel="0" collapsed="false">
      <c r="A2542" s="0" t="s">
        <v>3883</v>
      </c>
      <c r="B2542" s="0" t="s">
        <v>350</v>
      </c>
      <c r="C2542" s="0" t="s">
        <v>401</v>
      </c>
      <c r="D2542" s="0" t="s">
        <v>78</v>
      </c>
      <c r="E2542" s="0" t="s">
        <v>1489</v>
      </c>
      <c r="F2542" s="0" t="n">
        <v>5</v>
      </c>
      <c r="G2542" s="0" t="n">
        <v>0</v>
      </c>
      <c r="H2542" s="0" t="s">
        <v>122</v>
      </c>
      <c r="I2542" s="0" t="s">
        <v>3900</v>
      </c>
      <c r="K2542" s="0" t="s">
        <v>156</v>
      </c>
      <c r="L2542" s="0" t="s">
        <v>4018</v>
      </c>
    </row>
    <row r="2543" customFormat="false" ht="15" hidden="false" customHeight="false" outlineLevel="0" collapsed="false">
      <c r="A2543" s="0" t="s">
        <v>3883</v>
      </c>
      <c r="B2543" s="0" t="s">
        <v>350</v>
      </c>
      <c r="C2543" s="0" t="s">
        <v>401</v>
      </c>
      <c r="D2543" s="0" t="s">
        <v>81</v>
      </c>
      <c r="E2543" s="0" t="s">
        <v>1491</v>
      </c>
      <c r="F2543" s="0" t="n">
        <v>5</v>
      </c>
      <c r="G2543" s="0" t="n">
        <v>0</v>
      </c>
      <c r="H2543" s="0" t="s">
        <v>122</v>
      </c>
      <c r="K2543" s="0" t="s">
        <v>160</v>
      </c>
      <c r="L2543" s="0" t="s">
        <v>4019</v>
      </c>
    </row>
    <row r="2544" customFormat="false" ht="15" hidden="false" customHeight="false" outlineLevel="0" collapsed="false">
      <c r="A2544" s="0" t="s">
        <v>3883</v>
      </c>
      <c r="B2544" s="0" t="s">
        <v>350</v>
      </c>
      <c r="C2544" s="0" t="s">
        <v>426</v>
      </c>
      <c r="D2544" s="0" t="s">
        <v>528</v>
      </c>
      <c r="E2544" s="0" t="s">
        <v>1493</v>
      </c>
      <c r="F2544" s="0" t="n">
        <v>5</v>
      </c>
      <c r="G2544" s="0" t="n">
        <v>0</v>
      </c>
      <c r="H2544" s="0" t="s">
        <v>122</v>
      </c>
      <c r="K2544" s="0" t="s">
        <v>118</v>
      </c>
      <c r="L2544" s="0" t="s">
        <v>4020</v>
      </c>
    </row>
    <row r="2545" customFormat="false" ht="15" hidden="false" customHeight="false" outlineLevel="0" collapsed="false">
      <c r="A2545" s="0" t="s">
        <v>3883</v>
      </c>
      <c r="B2545" s="0" t="s">
        <v>350</v>
      </c>
      <c r="C2545" s="0" t="s">
        <v>426</v>
      </c>
      <c r="D2545" s="0" t="s">
        <v>531</v>
      </c>
      <c r="E2545" s="0" t="s">
        <v>1495</v>
      </c>
      <c r="F2545" s="0" t="n">
        <v>5</v>
      </c>
      <c r="G2545" s="0" t="n">
        <v>0</v>
      </c>
      <c r="H2545" s="0" t="s">
        <v>122</v>
      </c>
      <c r="K2545" s="0" t="s">
        <v>123</v>
      </c>
      <c r="L2545" s="0" t="s">
        <v>4021</v>
      </c>
    </row>
    <row r="2546" customFormat="false" ht="15" hidden="false" customHeight="false" outlineLevel="0" collapsed="false">
      <c r="A2546" s="0" t="s">
        <v>3883</v>
      </c>
      <c r="B2546" s="0" t="s">
        <v>350</v>
      </c>
      <c r="C2546" s="0" t="s">
        <v>426</v>
      </c>
      <c r="D2546" s="0" t="s">
        <v>534</v>
      </c>
      <c r="E2546" s="0" t="s">
        <v>1497</v>
      </c>
      <c r="F2546" s="0" t="n">
        <v>5</v>
      </c>
      <c r="G2546" s="0" t="n">
        <v>2</v>
      </c>
      <c r="H2546" s="0" t="s">
        <v>122</v>
      </c>
      <c r="I2546" s="0" t="s">
        <v>3913</v>
      </c>
      <c r="K2546" s="0" t="s">
        <v>127</v>
      </c>
      <c r="L2546" s="0" t="s">
        <v>4022</v>
      </c>
    </row>
    <row r="2547" customFormat="false" ht="15" hidden="false" customHeight="false" outlineLevel="0" collapsed="false">
      <c r="A2547" s="0" t="s">
        <v>3883</v>
      </c>
      <c r="B2547" s="0" t="s">
        <v>350</v>
      </c>
      <c r="C2547" s="0" t="s">
        <v>426</v>
      </c>
      <c r="D2547" s="0" t="s">
        <v>52</v>
      </c>
      <c r="E2547" s="0" t="s">
        <v>1499</v>
      </c>
      <c r="F2547" s="0" t="n">
        <v>5</v>
      </c>
      <c r="G2547" s="0" t="n">
        <v>1</v>
      </c>
      <c r="H2547" s="0" t="s">
        <v>122</v>
      </c>
      <c r="I2547" s="0" t="s">
        <v>3913</v>
      </c>
      <c r="K2547" s="0" t="s">
        <v>132</v>
      </c>
      <c r="L2547" s="0" t="s">
        <v>4023</v>
      </c>
    </row>
    <row r="2548" customFormat="false" ht="15" hidden="false" customHeight="false" outlineLevel="0" collapsed="false">
      <c r="A2548" s="0" t="s">
        <v>3883</v>
      </c>
      <c r="B2548" s="0" t="s">
        <v>350</v>
      </c>
      <c r="C2548" s="0" t="s">
        <v>426</v>
      </c>
      <c r="D2548" s="0" t="s">
        <v>55</v>
      </c>
      <c r="E2548" s="0" t="s">
        <v>1501</v>
      </c>
      <c r="F2548" s="0" t="n">
        <v>5</v>
      </c>
      <c r="G2548" s="0" t="n">
        <v>1</v>
      </c>
      <c r="H2548" s="0" t="s">
        <v>122</v>
      </c>
      <c r="I2548" s="0" t="s">
        <v>3913</v>
      </c>
      <c r="K2548" s="0" t="s">
        <v>135</v>
      </c>
      <c r="L2548" s="0" t="s">
        <v>4024</v>
      </c>
    </row>
    <row r="2549" customFormat="false" ht="15" hidden="false" customHeight="false" outlineLevel="0" collapsed="false">
      <c r="A2549" s="0" t="s">
        <v>3883</v>
      </c>
      <c r="B2549" s="0" t="s">
        <v>350</v>
      </c>
      <c r="C2549" s="0" t="s">
        <v>426</v>
      </c>
      <c r="D2549" s="0" t="s">
        <v>58</v>
      </c>
      <c r="E2549" s="0" t="s">
        <v>1503</v>
      </c>
      <c r="F2549" s="0" t="n">
        <v>5</v>
      </c>
      <c r="G2549" s="0" t="n">
        <v>1</v>
      </c>
      <c r="H2549" s="0" t="s">
        <v>122</v>
      </c>
      <c r="I2549" s="0" t="s">
        <v>3913</v>
      </c>
      <c r="K2549" s="0" t="s">
        <v>138</v>
      </c>
      <c r="L2549" s="0" t="s">
        <v>4025</v>
      </c>
    </row>
    <row r="2550" customFormat="false" ht="15" hidden="false" customHeight="false" outlineLevel="0" collapsed="false">
      <c r="A2550" s="0" t="s">
        <v>3883</v>
      </c>
      <c r="B2550" s="0" t="s">
        <v>350</v>
      </c>
      <c r="C2550" s="0" t="s">
        <v>426</v>
      </c>
      <c r="D2550" s="0" t="s">
        <v>65</v>
      </c>
      <c r="E2550" s="0" t="s">
        <v>1505</v>
      </c>
      <c r="F2550" s="0" t="n">
        <v>5</v>
      </c>
      <c r="G2550" s="0" t="n">
        <v>0</v>
      </c>
      <c r="H2550" s="0" t="s">
        <v>122</v>
      </c>
      <c r="K2550" s="0" t="s">
        <v>143</v>
      </c>
      <c r="L2550" s="0" t="s">
        <v>4026</v>
      </c>
    </row>
    <row r="2551" customFormat="false" ht="15" hidden="false" customHeight="false" outlineLevel="0" collapsed="false">
      <c r="A2551" s="0" t="s">
        <v>3883</v>
      </c>
      <c r="B2551" s="0" t="s">
        <v>350</v>
      </c>
      <c r="C2551" s="0" t="s">
        <v>426</v>
      </c>
      <c r="D2551" s="0" t="s">
        <v>69</v>
      </c>
      <c r="E2551" s="0" t="s">
        <v>1507</v>
      </c>
      <c r="F2551" s="0" t="n">
        <v>5</v>
      </c>
      <c r="G2551" s="0" t="n">
        <v>0</v>
      </c>
      <c r="H2551" s="0" t="s">
        <v>122</v>
      </c>
      <c r="K2551" s="0" t="s">
        <v>146</v>
      </c>
      <c r="L2551" s="0" t="s">
        <v>4027</v>
      </c>
    </row>
    <row r="2552" customFormat="false" ht="15" hidden="false" customHeight="false" outlineLevel="0" collapsed="false">
      <c r="A2552" s="0" t="s">
        <v>3883</v>
      </c>
      <c r="B2552" s="0" t="s">
        <v>350</v>
      </c>
      <c r="C2552" s="0" t="s">
        <v>426</v>
      </c>
      <c r="D2552" s="0" t="s">
        <v>72</v>
      </c>
      <c r="E2552" s="0" t="s">
        <v>1509</v>
      </c>
      <c r="F2552" s="0" t="n">
        <v>5</v>
      </c>
      <c r="G2552" s="0" t="n">
        <v>0</v>
      </c>
      <c r="H2552" s="0" t="s">
        <v>122</v>
      </c>
      <c r="K2552" s="0" t="s">
        <v>149</v>
      </c>
      <c r="L2552" s="0" t="s">
        <v>4028</v>
      </c>
    </row>
    <row r="2553" customFormat="false" ht="15" hidden="false" customHeight="false" outlineLevel="0" collapsed="false">
      <c r="A2553" s="0" t="s">
        <v>3883</v>
      </c>
      <c r="B2553" s="0" t="s">
        <v>350</v>
      </c>
      <c r="C2553" s="0" t="s">
        <v>426</v>
      </c>
      <c r="D2553" s="0" t="s">
        <v>75</v>
      </c>
      <c r="E2553" s="0" t="s">
        <v>1511</v>
      </c>
      <c r="F2553" s="0" t="n">
        <v>5</v>
      </c>
      <c r="G2553" s="0" t="n">
        <v>0</v>
      </c>
      <c r="H2553" s="0" t="s">
        <v>122</v>
      </c>
      <c r="K2553" s="0" t="s">
        <v>152</v>
      </c>
      <c r="L2553" s="0" t="s">
        <v>4029</v>
      </c>
    </row>
    <row r="2554" customFormat="false" ht="15" hidden="false" customHeight="false" outlineLevel="0" collapsed="false">
      <c r="A2554" s="0" t="s">
        <v>3883</v>
      </c>
      <c r="B2554" s="0" t="s">
        <v>350</v>
      </c>
      <c r="C2554" s="0" t="s">
        <v>426</v>
      </c>
      <c r="D2554" s="0" t="s">
        <v>78</v>
      </c>
      <c r="E2554" s="0" t="s">
        <v>1513</v>
      </c>
      <c r="F2554" s="0" t="n">
        <v>5</v>
      </c>
      <c r="G2554" s="0" t="n">
        <v>0</v>
      </c>
      <c r="H2554" s="0" t="s">
        <v>122</v>
      </c>
      <c r="K2554" s="0" t="s">
        <v>156</v>
      </c>
      <c r="L2554" s="0" t="s">
        <v>4030</v>
      </c>
    </row>
    <row r="2555" customFormat="false" ht="15" hidden="false" customHeight="false" outlineLevel="0" collapsed="false">
      <c r="A2555" s="0" t="s">
        <v>3883</v>
      </c>
      <c r="B2555" s="0" t="s">
        <v>350</v>
      </c>
      <c r="C2555" s="0" t="s">
        <v>426</v>
      </c>
      <c r="D2555" s="0" t="s">
        <v>81</v>
      </c>
      <c r="E2555" s="0" t="s">
        <v>1515</v>
      </c>
      <c r="F2555" s="0" t="n">
        <v>5</v>
      </c>
      <c r="G2555" s="0" t="n">
        <v>0</v>
      </c>
      <c r="H2555" s="0" t="s">
        <v>122</v>
      </c>
      <c r="K2555" s="0" t="s">
        <v>160</v>
      </c>
      <c r="L2555" s="0" t="s">
        <v>4031</v>
      </c>
    </row>
    <row r="2556" customFormat="false" ht="15" hidden="false" customHeight="false" outlineLevel="0" collapsed="false">
      <c r="A2556" s="0" t="s">
        <v>3883</v>
      </c>
      <c r="B2556" s="0" t="s">
        <v>350</v>
      </c>
      <c r="C2556" s="0" t="s">
        <v>451</v>
      </c>
      <c r="D2556" s="0" t="s">
        <v>528</v>
      </c>
      <c r="E2556" s="0" t="s">
        <v>1517</v>
      </c>
      <c r="F2556" s="0" t="n">
        <v>5</v>
      </c>
      <c r="G2556" s="0" t="n">
        <v>0</v>
      </c>
      <c r="H2556" s="0" t="s">
        <v>122</v>
      </c>
      <c r="K2556" s="0" t="s">
        <v>118</v>
      </c>
      <c r="L2556" s="0" t="s">
        <v>4032</v>
      </c>
    </row>
    <row r="2557" customFormat="false" ht="15" hidden="false" customHeight="false" outlineLevel="0" collapsed="false">
      <c r="A2557" s="0" t="s">
        <v>3883</v>
      </c>
      <c r="B2557" s="0" t="s">
        <v>350</v>
      </c>
      <c r="C2557" s="0" t="s">
        <v>451</v>
      </c>
      <c r="D2557" s="0" t="s">
        <v>531</v>
      </c>
      <c r="E2557" s="0" t="s">
        <v>1519</v>
      </c>
      <c r="F2557" s="0" t="n">
        <v>5</v>
      </c>
      <c r="G2557" s="0" t="n">
        <v>0</v>
      </c>
      <c r="H2557" s="0" t="s">
        <v>122</v>
      </c>
      <c r="K2557" s="0" t="s">
        <v>123</v>
      </c>
      <c r="L2557" s="0" t="s">
        <v>4033</v>
      </c>
    </row>
    <row r="2558" customFormat="false" ht="15" hidden="false" customHeight="false" outlineLevel="0" collapsed="false">
      <c r="A2558" s="0" t="s">
        <v>3883</v>
      </c>
      <c r="B2558" s="0" t="s">
        <v>350</v>
      </c>
      <c r="C2558" s="0" t="s">
        <v>451</v>
      </c>
      <c r="D2558" s="0" t="s">
        <v>534</v>
      </c>
      <c r="E2558" s="0" t="s">
        <v>1521</v>
      </c>
      <c r="F2558" s="0" t="n">
        <v>5</v>
      </c>
      <c r="G2558" s="0" t="n">
        <v>1</v>
      </c>
      <c r="H2558" s="0" t="s">
        <v>122</v>
      </c>
      <c r="I2558" s="0" t="s">
        <v>3913</v>
      </c>
      <c r="K2558" s="0" t="s">
        <v>127</v>
      </c>
      <c r="L2558" s="0" t="s">
        <v>4034</v>
      </c>
    </row>
    <row r="2559" customFormat="false" ht="15" hidden="false" customHeight="false" outlineLevel="0" collapsed="false">
      <c r="A2559" s="0" t="s">
        <v>3883</v>
      </c>
      <c r="B2559" s="0" t="s">
        <v>350</v>
      </c>
      <c r="C2559" s="0" t="s">
        <v>451</v>
      </c>
      <c r="D2559" s="0" t="s">
        <v>52</v>
      </c>
      <c r="E2559" s="0" t="s">
        <v>1523</v>
      </c>
      <c r="F2559" s="0" t="n">
        <v>5</v>
      </c>
      <c r="G2559" s="0" t="n">
        <v>0</v>
      </c>
      <c r="H2559" s="0" t="s">
        <v>122</v>
      </c>
      <c r="K2559" s="0" t="s">
        <v>132</v>
      </c>
      <c r="L2559" s="0" t="s">
        <v>4035</v>
      </c>
    </row>
    <row r="2560" customFormat="false" ht="15" hidden="false" customHeight="false" outlineLevel="0" collapsed="false">
      <c r="A2560" s="0" t="s">
        <v>3883</v>
      </c>
      <c r="B2560" s="0" t="s">
        <v>350</v>
      </c>
      <c r="C2560" s="0" t="s">
        <v>451</v>
      </c>
      <c r="D2560" s="0" t="s">
        <v>55</v>
      </c>
      <c r="E2560" s="0" t="s">
        <v>1525</v>
      </c>
      <c r="F2560" s="0" t="n">
        <v>5</v>
      </c>
      <c r="G2560" s="0" t="n">
        <v>0</v>
      </c>
      <c r="H2560" s="0" t="s">
        <v>122</v>
      </c>
      <c r="K2560" s="0" t="s">
        <v>135</v>
      </c>
      <c r="L2560" s="0" t="s">
        <v>4036</v>
      </c>
    </row>
    <row r="2561" customFormat="false" ht="15" hidden="false" customHeight="false" outlineLevel="0" collapsed="false">
      <c r="A2561" s="0" t="s">
        <v>3883</v>
      </c>
      <c r="B2561" s="0" t="s">
        <v>350</v>
      </c>
      <c r="C2561" s="0" t="s">
        <v>451</v>
      </c>
      <c r="D2561" s="0" t="s">
        <v>58</v>
      </c>
      <c r="E2561" s="0" t="s">
        <v>1527</v>
      </c>
      <c r="F2561" s="0" t="n">
        <v>5</v>
      </c>
      <c r="G2561" s="0" t="n">
        <v>0</v>
      </c>
      <c r="H2561" s="0" t="s">
        <v>122</v>
      </c>
      <c r="K2561" s="0" t="s">
        <v>138</v>
      </c>
      <c r="L2561" s="0" t="s">
        <v>4037</v>
      </c>
    </row>
    <row r="2562" customFormat="false" ht="15" hidden="false" customHeight="false" outlineLevel="0" collapsed="false">
      <c r="A2562" s="0" t="s">
        <v>3883</v>
      </c>
      <c r="B2562" s="0" t="s">
        <v>350</v>
      </c>
      <c r="C2562" s="0" t="s">
        <v>451</v>
      </c>
      <c r="D2562" s="0" t="s">
        <v>65</v>
      </c>
      <c r="E2562" s="0" t="s">
        <v>1529</v>
      </c>
      <c r="F2562" s="0" t="n">
        <v>5</v>
      </c>
      <c r="G2562" s="0" t="n">
        <v>0</v>
      </c>
      <c r="H2562" s="0" t="s">
        <v>122</v>
      </c>
      <c r="K2562" s="0" t="s">
        <v>143</v>
      </c>
      <c r="L2562" s="0" t="s">
        <v>4038</v>
      </c>
    </row>
    <row r="2563" customFormat="false" ht="15" hidden="false" customHeight="false" outlineLevel="0" collapsed="false">
      <c r="A2563" s="0" t="s">
        <v>3883</v>
      </c>
      <c r="B2563" s="0" t="s">
        <v>350</v>
      </c>
      <c r="C2563" s="0" t="s">
        <v>451</v>
      </c>
      <c r="D2563" s="0" t="s">
        <v>69</v>
      </c>
      <c r="E2563" s="0" t="s">
        <v>1531</v>
      </c>
      <c r="F2563" s="0" t="n">
        <v>5</v>
      </c>
      <c r="G2563" s="0" t="n">
        <v>0</v>
      </c>
      <c r="H2563" s="0" t="s">
        <v>122</v>
      </c>
      <c r="K2563" s="0" t="s">
        <v>146</v>
      </c>
      <c r="L2563" s="0" t="s">
        <v>4039</v>
      </c>
    </row>
    <row r="2564" customFormat="false" ht="15" hidden="false" customHeight="false" outlineLevel="0" collapsed="false">
      <c r="A2564" s="0" t="s">
        <v>3883</v>
      </c>
      <c r="B2564" s="0" t="s">
        <v>350</v>
      </c>
      <c r="C2564" s="0" t="s">
        <v>451</v>
      </c>
      <c r="D2564" s="0" t="s">
        <v>72</v>
      </c>
      <c r="E2564" s="0" t="s">
        <v>1533</v>
      </c>
      <c r="F2564" s="0" t="n">
        <v>5</v>
      </c>
      <c r="G2564" s="0" t="n">
        <v>0</v>
      </c>
      <c r="H2564" s="0" t="s">
        <v>122</v>
      </c>
      <c r="K2564" s="0" t="s">
        <v>149</v>
      </c>
      <c r="L2564" s="0" t="s">
        <v>4040</v>
      </c>
    </row>
    <row r="2565" customFormat="false" ht="15" hidden="false" customHeight="false" outlineLevel="0" collapsed="false">
      <c r="A2565" s="0" t="s">
        <v>3883</v>
      </c>
      <c r="B2565" s="0" t="s">
        <v>350</v>
      </c>
      <c r="C2565" s="0" t="s">
        <v>451</v>
      </c>
      <c r="D2565" s="0" t="s">
        <v>75</v>
      </c>
      <c r="E2565" s="0" t="s">
        <v>1535</v>
      </c>
      <c r="F2565" s="0" t="n">
        <v>5</v>
      </c>
      <c r="G2565" s="0" t="n">
        <v>1</v>
      </c>
      <c r="H2565" s="0" t="s">
        <v>122</v>
      </c>
      <c r="I2565" s="0" t="s">
        <v>3913</v>
      </c>
      <c r="K2565" s="0" t="s">
        <v>152</v>
      </c>
      <c r="L2565" s="0" t="s">
        <v>4041</v>
      </c>
    </row>
    <row r="2566" customFormat="false" ht="15" hidden="false" customHeight="false" outlineLevel="0" collapsed="false">
      <c r="A2566" s="0" t="s">
        <v>3883</v>
      </c>
      <c r="B2566" s="0" t="s">
        <v>350</v>
      </c>
      <c r="C2566" s="0" t="s">
        <v>451</v>
      </c>
      <c r="D2566" s="0" t="s">
        <v>78</v>
      </c>
      <c r="E2566" s="0" t="s">
        <v>1537</v>
      </c>
      <c r="F2566" s="0" t="n">
        <v>5</v>
      </c>
      <c r="G2566" s="0" t="n">
        <v>0</v>
      </c>
      <c r="H2566" s="0" t="s">
        <v>122</v>
      </c>
      <c r="K2566" s="0" t="s">
        <v>156</v>
      </c>
      <c r="L2566" s="0" t="s">
        <v>4042</v>
      </c>
    </row>
    <row r="2567" customFormat="false" ht="15" hidden="false" customHeight="false" outlineLevel="0" collapsed="false">
      <c r="A2567" s="0" t="s">
        <v>3883</v>
      </c>
      <c r="B2567" s="0" t="s">
        <v>350</v>
      </c>
      <c r="C2567" s="0" t="s">
        <v>451</v>
      </c>
      <c r="D2567" s="0" t="s">
        <v>81</v>
      </c>
      <c r="E2567" s="0" t="s">
        <v>1539</v>
      </c>
      <c r="F2567" s="0" t="n">
        <v>5</v>
      </c>
      <c r="G2567" s="0" t="n">
        <v>0</v>
      </c>
      <c r="H2567" s="0" t="s">
        <v>122</v>
      </c>
      <c r="K2567" s="0" t="s">
        <v>160</v>
      </c>
      <c r="L2567" s="0" t="s">
        <v>4043</v>
      </c>
    </row>
    <row r="2568" customFormat="false" ht="15" hidden="false" customHeight="false" outlineLevel="0" collapsed="false">
      <c r="A2568" s="0" t="s">
        <v>3883</v>
      </c>
      <c r="B2568" s="0" t="s">
        <v>350</v>
      </c>
      <c r="C2568" s="0" t="s">
        <v>476</v>
      </c>
      <c r="D2568" s="0" t="s">
        <v>528</v>
      </c>
      <c r="E2568" s="0" t="s">
        <v>1541</v>
      </c>
      <c r="F2568" s="0" t="n">
        <v>5</v>
      </c>
      <c r="G2568" s="0" t="n">
        <v>0</v>
      </c>
      <c r="H2568" s="0" t="s">
        <v>122</v>
      </c>
      <c r="K2568" s="0" t="s">
        <v>118</v>
      </c>
      <c r="L2568" s="0" t="s">
        <v>4044</v>
      </c>
    </row>
    <row r="2569" customFormat="false" ht="15" hidden="false" customHeight="false" outlineLevel="0" collapsed="false">
      <c r="A2569" s="0" t="s">
        <v>3883</v>
      </c>
      <c r="B2569" s="0" t="s">
        <v>350</v>
      </c>
      <c r="C2569" s="0" t="s">
        <v>476</v>
      </c>
      <c r="D2569" s="0" t="s">
        <v>531</v>
      </c>
      <c r="E2569" s="0" t="s">
        <v>1543</v>
      </c>
      <c r="F2569" s="0" t="n">
        <v>5</v>
      </c>
      <c r="G2569" s="0" t="n">
        <v>3</v>
      </c>
      <c r="H2569" s="0" t="s">
        <v>122</v>
      </c>
      <c r="I2569" s="0" t="s">
        <v>3913</v>
      </c>
      <c r="K2569" s="0" t="s">
        <v>123</v>
      </c>
      <c r="L2569" s="0" t="s">
        <v>4045</v>
      </c>
    </row>
    <row r="2570" customFormat="false" ht="15" hidden="false" customHeight="false" outlineLevel="0" collapsed="false">
      <c r="A2570" s="0" t="s">
        <v>3883</v>
      </c>
      <c r="B2570" s="0" t="s">
        <v>350</v>
      </c>
      <c r="C2570" s="0" t="s">
        <v>476</v>
      </c>
      <c r="D2570" s="0" t="s">
        <v>534</v>
      </c>
      <c r="E2570" s="0" t="s">
        <v>1545</v>
      </c>
      <c r="F2570" s="0" t="n">
        <v>5</v>
      </c>
      <c r="G2570" s="0" t="n">
        <v>1</v>
      </c>
      <c r="H2570" s="0" t="s">
        <v>122</v>
      </c>
      <c r="I2570" s="0" t="s">
        <v>3900</v>
      </c>
      <c r="K2570" s="0" t="s">
        <v>127</v>
      </c>
      <c r="L2570" s="0" t="s">
        <v>4046</v>
      </c>
    </row>
    <row r="2571" customFormat="false" ht="15" hidden="false" customHeight="false" outlineLevel="0" collapsed="false">
      <c r="A2571" s="0" t="s">
        <v>3883</v>
      </c>
      <c r="B2571" s="0" t="s">
        <v>350</v>
      </c>
      <c r="C2571" s="0" t="s">
        <v>476</v>
      </c>
      <c r="D2571" s="0" t="s">
        <v>52</v>
      </c>
      <c r="E2571" s="0" t="s">
        <v>1547</v>
      </c>
      <c r="F2571" s="0" t="n">
        <v>5</v>
      </c>
      <c r="G2571" s="0" t="n">
        <v>2</v>
      </c>
      <c r="H2571" s="0" t="s">
        <v>122</v>
      </c>
      <c r="I2571" s="0" t="s">
        <v>3900</v>
      </c>
      <c r="K2571" s="0" t="s">
        <v>132</v>
      </c>
      <c r="L2571" s="0" t="s">
        <v>4047</v>
      </c>
    </row>
    <row r="2572" customFormat="false" ht="15" hidden="false" customHeight="false" outlineLevel="0" collapsed="false">
      <c r="A2572" s="0" t="s">
        <v>3883</v>
      </c>
      <c r="B2572" s="0" t="s">
        <v>350</v>
      </c>
      <c r="C2572" s="0" t="s">
        <v>476</v>
      </c>
      <c r="D2572" s="0" t="s">
        <v>55</v>
      </c>
      <c r="E2572" s="0" t="s">
        <v>1549</v>
      </c>
      <c r="F2572" s="0" t="n">
        <v>5</v>
      </c>
      <c r="G2572" s="0" t="n">
        <v>0</v>
      </c>
      <c r="H2572" s="0" t="s">
        <v>122</v>
      </c>
      <c r="K2572" s="0" t="s">
        <v>135</v>
      </c>
      <c r="L2572" s="0" t="s">
        <v>4048</v>
      </c>
    </row>
    <row r="2573" customFormat="false" ht="15" hidden="false" customHeight="false" outlineLevel="0" collapsed="false">
      <c r="A2573" s="0" t="s">
        <v>3883</v>
      </c>
      <c r="B2573" s="0" t="s">
        <v>350</v>
      </c>
      <c r="C2573" s="0" t="s">
        <v>476</v>
      </c>
      <c r="D2573" s="0" t="s">
        <v>58</v>
      </c>
      <c r="E2573" s="0" t="s">
        <v>1551</v>
      </c>
      <c r="F2573" s="0" t="n">
        <v>5</v>
      </c>
      <c r="G2573" s="0" t="n">
        <v>2</v>
      </c>
      <c r="H2573" s="0" t="s">
        <v>122</v>
      </c>
      <c r="I2573" s="0" t="s">
        <v>3913</v>
      </c>
      <c r="K2573" s="0" t="s">
        <v>138</v>
      </c>
      <c r="L2573" s="0" t="s">
        <v>4049</v>
      </c>
    </row>
    <row r="2574" customFormat="false" ht="15" hidden="false" customHeight="false" outlineLevel="0" collapsed="false">
      <c r="A2574" s="0" t="s">
        <v>3883</v>
      </c>
      <c r="B2574" s="0" t="s">
        <v>350</v>
      </c>
      <c r="C2574" s="0" t="s">
        <v>476</v>
      </c>
      <c r="D2574" s="0" t="s">
        <v>65</v>
      </c>
      <c r="E2574" s="0" t="s">
        <v>1553</v>
      </c>
      <c r="F2574" s="0" t="n">
        <v>5</v>
      </c>
      <c r="G2574" s="0" t="n">
        <v>0</v>
      </c>
      <c r="H2574" s="0" t="s">
        <v>122</v>
      </c>
      <c r="K2574" s="0" t="s">
        <v>143</v>
      </c>
      <c r="L2574" s="0" t="s">
        <v>4050</v>
      </c>
    </row>
    <row r="2575" customFormat="false" ht="15" hidden="false" customHeight="false" outlineLevel="0" collapsed="false">
      <c r="A2575" s="0" t="s">
        <v>3883</v>
      </c>
      <c r="B2575" s="0" t="s">
        <v>350</v>
      </c>
      <c r="C2575" s="0" t="s">
        <v>476</v>
      </c>
      <c r="D2575" s="0" t="s">
        <v>69</v>
      </c>
      <c r="E2575" s="0" t="s">
        <v>1555</v>
      </c>
      <c r="F2575" s="0" t="n">
        <v>5</v>
      </c>
      <c r="G2575" s="0" t="n">
        <v>0</v>
      </c>
      <c r="H2575" s="0" t="s">
        <v>122</v>
      </c>
      <c r="K2575" s="0" t="s">
        <v>146</v>
      </c>
      <c r="L2575" s="0" t="s">
        <v>4051</v>
      </c>
    </row>
    <row r="2576" customFormat="false" ht="15" hidden="false" customHeight="false" outlineLevel="0" collapsed="false">
      <c r="A2576" s="0" t="s">
        <v>3883</v>
      </c>
      <c r="B2576" s="0" t="s">
        <v>350</v>
      </c>
      <c r="C2576" s="0" t="s">
        <v>476</v>
      </c>
      <c r="D2576" s="0" t="s">
        <v>72</v>
      </c>
      <c r="E2576" s="0" t="s">
        <v>1557</v>
      </c>
      <c r="F2576" s="0" t="n">
        <v>5</v>
      </c>
      <c r="G2576" s="0" t="n">
        <v>0</v>
      </c>
      <c r="H2576" s="0" t="s">
        <v>122</v>
      </c>
      <c r="K2576" s="0" t="s">
        <v>149</v>
      </c>
      <c r="L2576" s="0" t="s">
        <v>4052</v>
      </c>
    </row>
    <row r="2577" customFormat="false" ht="15" hidden="false" customHeight="false" outlineLevel="0" collapsed="false">
      <c r="A2577" s="0" t="s">
        <v>3883</v>
      </c>
      <c r="B2577" s="0" t="s">
        <v>350</v>
      </c>
      <c r="C2577" s="0" t="s">
        <v>476</v>
      </c>
      <c r="D2577" s="0" t="s">
        <v>75</v>
      </c>
      <c r="E2577" s="0" t="s">
        <v>1559</v>
      </c>
      <c r="F2577" s="0" t="n">
        <v>5</v>
      </c>
      <c r="G2577" s="0" t="n">
        <v>1</v>
      </c>
      <c r="H2577" s="0" t="s">
        <v>122</v>
      </c>
      <c r="I2577" s="0" t="s">
        <v>3900</v>
      </c>
      <c r="K2577" s="0" t="s">
        <v>152</v>
      </c>
      <c r="L2577" s="0" t="s">
        <v>4053</v>
      </c>
    </row>
    <row r="2578" customFormat="false" ht="15" hidden="false" customHeight="false" outlineLevel="0" collapsed="false">
      <c r="A2578" s="0" t="s">
        <v>3883</v>
      </c>
      <c r="B2578" s="0" t="s">
        <v>350</v>
      </c>
      <c r="C2578" s="0" t="s">
        <v>476</v>
      </c>
      <c r="D2578" s="0" t="s">
        <v>78</v>
      </c>
      <c r="E2578" s="0" t="s">
        <v>1561</v>
      </c>
      <c r="F2578" s="0" t="n">
        <v>5</v>
      </c>
      <c r="G2578" s="0" t="n">
        <v>0</v>
      </c>
      <c r="H2578" s="0" t="s">
        <v>122</v>
      </c>
      <c r="K2578" s="0" t="s">
        <v>156</v>
      </c>
      <c r="L2578" s="0" t="s">
        <v>4054</v>
      </c>
    </row>
    <row r="2579" customFormat="false" ht="15" hidden="false" customHeight="false" outlineLevel="0" collapsed="false">
      <c r="A2579" s="0" t="s">
        <v>3883</v>
      </c>
      <c r="B2579" s="0" t="s">
        <v>350</v>
      </c>
      <c r="C2579" s="0" t="s">
        <v>476</v>
      </c>
      <c r="D2579" s="0" t="s">
        <v>81</v>
      </c>
      <c r="E2579" s="0" t="s">
        <v>1563</v>
      </c>
      <c r="F2579" s="0" t="n">
        <v>5</v>
      </c>
      <c r="G2579" s="0" t="n">
        <v>0</v>
      </c>
      <c r="H2579" s="0" t="s">
        <v>122</v>
      </c>
      <c r="K2579" s="0" t="s">
        <v>160</v>
      </c>
      <c r="L2579" s="0" t="s">
        <v>4055</v>
      </c>
    </row>
    <row r="2580" customFormat="false" ht="15" hidden="false" customHeight="false" outlineLevel="0" collapsed="false">
      <c r="A2580" s="0" t="s">
        <v>3883</v>
      </c>
      <c r="B2580" s="0" t="s">
        <v>350</v>
      </c>
      <c r="C2580" s="0" t="s">
        <v>502</v>
      </c>
      <c r="D2580" s="0" t="s">
        <v>528</v>
      </c>
      <c r="E2580" s="0" t="s">
        <v>1565</v>
      </c>
      <c r="F2580" s="0" t="n">
        <v>5</v>
      </c>
      <c r="G2580" s="0" t="n">
        <v>0</v>
      </c>
      <c r="H2580" s="0" t="s">
        <v>122</v>
      </c>
      <c r="K2580" s="0" t="s">
        <v>118</v>
      </c>
      <c r="L2580" s="0" t="s">
        <v>4056</v>
      </c>
    </row>
    <row r="2581" customFormat="false" ht="15" hidden="false" customHeight="false" outlineLevel="0" collapsed="false">
      <c r="A2581" s="0" t="s">
        <v>3883</v>
      </c>
      <c r="B2581" s="0" t="s">
        <v>350</v>
      </c>
      <c r="C2581" s="0" t="s">
        <v>502</v>
      </c>
      <c r="D2581" s="0" t="s">
        <v>531</v>
      </c>
      <c r="E2581" s="0" t="s">
        <v>1567</v>
      </c>
      <c r="F2581" s="0" t="n">
        <v>5</v>
      </c>
      <c r="G2581" s="0" t="n">
        <v>1</v>
      </c>
      <c r="H2581" s="0" t="s">
        <v>122</v>
      </c>
      <c r="I2581" s="0" t="s">
        <v>3913</v>
      </c>
      <c r="K2581" s="0" t="s">
        <v>123</v>
      </c>
      <c r="L2581" s="0" t="s">
        <v>4057</v>
      </c>
    </row>
    <row r="2582" customFormat="false" ht="15" hidden="false" customHeight="false" outlineLevel="0" collapsed="false">
      <c r="A2582" s="0" t="s">
        <v>3883</v>
      </c>
      <c r="B2582" s="0" t="s">
        <v>350</v>
      </c>
      <c r="C2582" s="0" t="s">
        <v>502</v>
      </c>
      <c r="D2582" s="0" t="s">
        <v>534</v>
      </c>
      <c r="E2582" s="0" t="s">
        <v>1569</v>
      </c>
      <c r="F2582" s="0" t="n">
        <v>5</v>
      </c>
      <c r="G2582" s="0" t="n">
        <v>0</v>
      </c>
      <c r="H2582" s="0" t="s">
        <v>122</v>
      </c>
      <c r="K2582" s="0" t="s">
        <v>127</v>
      </c>
      <c r="L2582" s="0" t="s">
        <v>4058</v>
      </c>
    </row>
    <row r="2583" customFormat="false" ht="15" hidden="false" customHeight="false" outlineLevel="0" collapsed="false">
      <c r="A2583" s="0" t="s">
        <v>3883</v>
      </c>
      <c r="B2583" s="0" t="s">
        <v>350</v>
      </c>
      <c r="C2583" s="0" t="s">
        <v>502</v>
      </c>
      <c r="D2583" s="0" t="s">
        <v>52</v>
      </c>
      <c r="E2583" s="0" t="s">
        <v>1571</v>
      </c>
      <c r="F2583" s="0" t="n">
        <v>5</v>
      </c>
      <c r="G2583" s="0" t="n">
        <v>0</v>
      </c>
      <c r="H2583" s="0" t="s">
        <v>122</v>
      </c>
      <c r="K2583" s="0" t="s">
        <v>132</v>
      </c>
      <c r="L2583" s="0" t="s">
        <v>4059</v>
      </c>
    </row>
    <row r="2584" customFormat="false" ht="15" hidden="false" customHeight="false" outlineLevel="0" collapsed="false">
      <c r="A2584" s="0" t="s">
        <v>3883</v>
      </c>
      <c r="B2584" s="0" t="s">
        <v>350</v>
      </c>
      <c r="C2584" s="0" t="s">
        <v>502</v>
      </c>
      <c r="D2584" s="0" t="s">
        <v>55</v>
      </c>
      <c r="E2584" s="0" t="s">
        <v>1573</v>
      </c>
      <c r="F2584" s="0" t="n">
        <v>5</v>
      </c>
      <c r="G2584" s="0" t="n">
        <v>3</v>
      </c>
      <c r="H2584" s="0" t="s">
        <v>122</v>
      </c>
      <c r="I2584" s="0" t="s">
        <v>3913</v>
      </c>
      <c r="K2584" s="0" t="s">
        <v>135</v>
      </c>
      <c r="L2584" s="0" t="s">
        <v>4060</v>
      </c>
    </row>
    <row r="2585" customFormat="false" ht="15" hidden="false" customHeight="false" outlineLevel="0" collapsed="false">
      <c r="A2585" s="0" t="s">
        <v>3883</v>
      </c>
      <c r="B2585" s="0" t="s">
        <v>350</v>
      </c>
      <c r="C2585" s="0" t="s">
        <v>502</v>
      </c>
      <c r="D2585" s="0" t="s">
        <v>58</v>
      </c>
      <c r="E2585" s="0" t="s">
        <v>1575</v>
      </c>
      <c r="F2585" s="0" t="n">
        <v>5</v>
      </c>
      <c r="G2585" s="0" t="n">
        <v>0</v>
      </c>
      <c r="H2585" s="0" t="s">
        <v>122</v>
      </c>
      <c r="K2585" s="0" t="s">
        <v>138</v>
      </c>
      <c r="L2585" s="0" t="s">
        <v>4061</v>
      </c>
    </row>
    <row r="2586" customFormat="false" ht="15" hidden="false" customHeight="false" outlineLevel="0" collapsed="false">
      <c r="A2586" s="0" t="s">
        <v>3883</v>
      </c>
      <c r="B2586" s="0" t="s">
        <v>350</v>
      </c>
      <c r="C2586" s="0" t="s">
        <v>502</v>
      </c>
      <c r="D2586" s="0" t="s">
        <v>65</v>
      </c>
      <c r="E2586" s="0" t="s">
        <v>1577</v>
      </c>
      <c r="F2586" s="0" t="n">
        <v>5</v>
      </c>
      <c r="G2586" s="0" t="n">
        <v>0</v>
      </c>
      <c r="H2586" s="0" t="s">
        <v>122</v>
      </c>
      <c r="K2586" s="0" t="s">
        <v>143</v>
      </c>
      <c r="L2586" s="0" t="s">
        <v>4062</v>
      </c>
    </row>
    <row r="2587" customFormat="false" ht="15" hidden="false" customHeight="false" outlineLevel="0" collapsed="false">
      <c r="A2587" s="0" t="s">
        <v>3883</v>
      </c>
      <c r="B2587" s="0" t="s">
        <v>350</v>
      </c>
      <c r="C2587" s="0" t="s">
        <v>502</v>
      </c>
      <c r="D2587" s="0" t="s">
        <v>69</v>
      </c>
      <c r="E2587" s="0" t="s">
        <v>1580</v>
      </c>
      <c r="F2587" s="0" t="n">
        <v>5</v>
      </c>
      <c r="G2587" s="0" t="n">
        <v>0</v>
      </c>
      <c r="H2587" s="0" t="s">
        <v>122</v>
      </c>
      <c r="K2587" s="0" t="s">
        <v>146</v>
      </c>
      <c r="L2587" s="0" t="s">
        <v>4063</v>
      </c>
    </row>
    <row r="2588" customFormat="false" ht="15" hidden="false" customHeight="false" outlineLevel="0" collapsed="false">
      <c r="A2588" s="0" t="s">
        <v>3883</v>
      </c>
      <c r="B2588" s="0" t="s">
        <v>350</v>
      </c>
      <c r="C2588" s="0" t="s">
        <v>502</v>
      </c>
      <c r="D2588" s="0" t="s">
        <v>72</v>
      </c>
      <c r="E2588" s="0" t="s">
        <v>1582</v>
      </c>
      <c r="F2588" s="0" t="n">
        <v>5</v>
      </c>
      <c r="G2588" s="0" t="n">
        <v>0</v>
      </c>
      <c r="H2588" s="0" t="s">
        <v>122</v>
      </c>
      <c r="K2588" s="0" t="s">
        <v>149</v>
      </c>
      <c r="L2588" s="0" t="s">
        <v>4064</v>
      </c>
    </row>
    <row r="2589" customFormat="false" ht="15" hidden="false" customHeight="false" outlineLevel="0" collapsed="false">
      <c r="A2589" s="0" t="s">
        <v>3883</v>
      </c>
      <c r="B2589" s="0" t="s">
        <v>350</v>
      </c>
      <c r="C2589" s="0" t="s">
        <v>502</v>
      </c>
      <c r="D2589" s="0" t="s">
        <v>75</v>
      </c>
      <c r="E2589" s="0" t="s">
        <v>1584</v>
      </c>
      <c r="F2589" s="0" t="n">
        <v>5</v>
      </c>
      <c r="G2589" s="0" t="n">
        <v>0</v>
      </c>
      <c r="H2589" s="0" t="s">
        <v>122</v>
      </c>
      <c r="K2589" s="0" t="s">
        <v>152</v>
      </c>
      <c r="L2589" s="0" t="s">
        <v>4065</v>
      </c>
    </row>
    <row r="2590" customFormat="false" ht="15" hidden="false" customHeight="false" outlineLevel="0" collapsed="false">
      <c r="A2590" s="0" t="s">
        <v>3883</v>
      </c>
      <c r="B2590" s="0" t="s">
        <v>350</v>
      </c>
      <c r="C2590" s="0" t="s">
        <v>502</v>
      </c>
      <c r="D2590" s="0" t="s">
        <v>78</v>
      </c>
      <c r="E2590" s="0" t="s">
        <v>1586</v>
      </c>
      <c r="F2590" s="0" t="n">
        <v>5</v>
      </c>
      <c r="G2590" s="0" t="n">
        <v>0</v>
      </c>
      <c r="H2590" s="0" t="s">
        <v>122</v>
      </c>
      <c r="K2590" s="0" t="s">
        <v>156</v>
      </c>
      <c r="L2590" s="0" t="s">
        <v>4066</v>
      </c>
    </row>
    <row r="2591" customFormat="false" ht="15" hidden="false" customHeight="false" outlineLevel="0" collapsed="false">
      <c r="A2591" s="0" t="s">
        <v>3883</v>
      </c>
      <c r="B2591" s="0" t="s">
        <v>350</v>
      </c>
      <c r="C2591" s="0" t="s">
        <v>502</v>
      </c>
      <c r="D2591" s="0" t="s">
        <v>81</v>
      </c>
      <c r="E2591" s="0" t="s">
        <v>1588</v>
      </c>
      <c r="F2591" s="0" t="n">
        <v>5</v>
      </c>
      <c r="G2591" s="0" t="n">
        <v>0</v>
      </c>
      <c r="H2591" s="0" t="s">
        <v>122</v>
      </c>
      <c r="K2591" s="0" t="s">
        <v>160</v>
      </c>
      <c r="L2591" s="0" t="s">
        <v>4067</v>
      </c>
    </row>
    <row r="2592" customFormat="false" ht="15" hidden="false" customHeight="false" outlineLevel="0" collapsed="false">
      <c r="A2592" s="0" t="s">
        <v>3883</v>
      </c>
      <c r="B2592" s="0" t="s">
        <v>140</v>
      </c>
      <c r="C2592" s="0" t="s">
        <v>527</v>
      </c>
      <c r="D2592" s="0" t="s">
        <v>115</v>
      </c>
      <c r="E2592" s="0" t="s">
        <v>1590</v>
      </c>
      <c r="F2592" s="0" t="n">
        <v>4</v>
      </c>
      <c r="G2592" s="0" t="n">
        <v>0</v>
      </c>
      <c r="H2592" s="0" t="s">
        <v>122</v>
      </c>
      <c r="K2592" s="0" t="s">
        <v>118</v>
      </c>
      <c r="L2592" s="0" t="s">
        <v>4068</v>
      </c>
    </row>
    <row r="2593" customFormat="false" ht="15" hidden="false" customHeight="false" outlineLevel="0" collapsed="false">
      <c r="A2593" s="0" t="s">
        <v>3883</v>
      </c>
      <c r="B2593" s="0" t="s">
        <v>140</v>
      </c>
      <c r="C2593" s="0" t="s">
        <v>527</v>
      </c>
      <c r="D2593" s="0" t="s">
        <v>120</v>
      </c>
      <c r="E2593" s="0" t="s">
        <v>1592</v>
      </c>
      <c r="F2593" s="0" t="n">
        <v>4</v>
      </c>
      <c r="G2593" s="0" t="n">
        <v>0</v>
      </c>
      <c r="H2593" s="0" t="s">
        <v>122</v>
      </c>
      <c r="K2593" s="0" t="s">
        <v>123</v>
      </c>
      <c r="L2593" s="0" t="s">
        <v>4069</v>
      </c>
    </row>
    <row r="2594" customFormat="false" ht="15" hidden="false" customHeight="false" outlineLevel="0" collapsed="false">
      <c r="A2594" s="0" t="s">
        <v>3883</v>
      </c>
      <c r="B2594" s="0" t="s">
        <v>140</v>
      </c>
      <c r="C2594" s="0" t="s">
        <v>527</v>
      </c>
      <c r="D2594" s="0" t="s">
        <v>125</v>
      </c>
      <c r="E2594" s="0" t="s">
        <v>1594</v>
      </c>
      <c r="F2594" s="0" t="n">
        <v>4</v>
      </c>
      <c r="G2594" s="0" t="n">
        <v>1</v>
      </c>
      <c r="H2594" s="0" t="s">
        <v>122</v>
      </c>
      <c r="I2594" s="0" t="s">
        <v>4070</v>
      </c>
      <c r="K2594" s="0" t="s">
        <v>127</v>
      </c>
      <c r="L2594" s="0" t="s">
        <v>4071</v>
      </c>
    </row>
    <row r="2595" customFormat="false" ht="15" hidden="false" customHeight="false" outlineLevel="0" collapsed="false">
      <c r="A2595" s="0" t="s">
        <v>3883</v>
      </c>
      <c r="B2595" s="0" t="s">
        <v>140</v>
      </c>
      <c r="C2595" s="0" t="s">
        <v>527</v>
      </c>
      <c r="D2595" s="0" t="s">
        <v>53</v>
      </c>
      <c r="E2595" s="0" t="s">
        <v>1596</v>
      </c>
      <c r="F2595" s="0" t="n">
        <v>4</v>
      </c>
      <c r="G2595" s="0" t="n">
        <v>1</v>
      </c>
      <c r="H2595" s="0" t="s">
        <v>122</v>
      </c>
      <c r="I2595" s="0" t="s">
        <v>4070</v>
      </c>
      <c r="K2595" s="0" t="s">
        <v>132</v>
      </c>
      <c r="L2595" s="0" t="s">
        <v>4072</v>
      </c>
    </row>
    <row r="2596" customFormat="false" ht="15" hidden="false" customHeight="false" outlineLevel="0" collapsed="false">
      <c r="A2596" s="0" t="s">
        <v>3883</v>
      </c>
      <c r="B2596" s="0" t="s">
        <v>140</v>
      </c>
      <c r="C2596" s="0" t="s">
        <v>527</v>
      </c>
      <c r="D2596" s="0" t="s">
        <v>56</v>
      </c>
      <c r="E2596" s="0" t="s">
        <v>1598</v>
      </c>
      <c r="F2596" s="0" t="n">
        <v>4</v>
      </c>
      <c r="G2596" s="0" t="n">
        <v>1</v>
      </c>
      <c r="H2596" s="0" t="s">
        <v>122</v>
      </c>
      <c r="I2596" s="0" t="s">
        <v>4070</v>
      </c>
      <c r="K2596" s="0" t="s">
        <v>135</v>
      </c>
      <c r="L2596" s="0" t="s">
        <v>4073</v>
      </c>
    </row>
    <row r="2597" customFormat="false" ht="15" hidden="false" customHeight="false" outlineLevel="0" collapsed="false">
      <c r="A2597" s="0" t="s">
        <v>3883</v>
      </c>
      <c r="B2597" s="0" t="s">
        <v>140</v>
      </c>
      <c r="C2597" s="0" t="s">
        <v>527</v>
      </c>
      <c r="D2597" s="0" t="s">
        <v>59</v>
      </c>
      <c r="E2597" s="0" t="s">
        <v>1600</v>
      </c>
      <c r="F2597" s="0" t="n">
        <v>4</v>
      </c>
      <c r="G2597" s="0" t="n">
        <v>0</v>
      </c>
      <c r="H2597" s="0" t="s">
        <v>122</v>
      </c>
      <c r="K2597" s="0" t="s">
        <v>138</v>
      </c>
      <c r="L2597" s="0" t="s">
        <v>4074</v>
      </c>
    </row>
    <row r="2598" customFormat="false" ht="15" hidden="false" customHeight="false" outlineLevel="0" collapsed="false">
      <c r="A2598" s="0" t="s">
        <v>3883</v>
      </c>
      <c r="B2598" s="0" t="s">
        <v>140</v>
      </c>
      <c r="C2598" s="0" t="s">
        <v>527</v>
      </c>
      <c r="D2598" s="0" t="s">
        <v>67</v>
      </c>
      <c r="E2598" s="0" t="s">
        <v>1602</v>
      </c>
      <c r="F2598" s="0" t="n">
        <v>4</v>
      </c>
      <c r="G2598" s="0" t="n">
        <v>1</v>
      </c>
      <c r="H2598" s="0" t="s">
        <v>122</v>
      </c>
      <c r="I2598" s="0" t="s">
        <v>4070</v>
      </c>
      <c r="K2598" s="0" t="s">
        <v>143</v>
      </c>
      <c r="L2598" s="0" t="s">
        <v>4075</v>
      </c>
    </row>
    <row r="2599" customFormat="false" ht="15" hidden="false" customHeight="false" outlineLevel="0" collapsed="false">
      <c r="A2599" s="0" t="s">
        <v>3883</v>
      </c>
      <c r="B2599" s="0" t="s">
        <v>140</v>
      </c>
      <c r="C2599" s="0" t="s">
        <v>527</v>
      </c>
      <c r="D2599" s="0" t="s">
        <v>70</v>
      </c>
      <c r="E2599" s="0" t="s">
        <v>1604</v>
      </c>
      <c r="F2599" s="0" t="n">
        <v>4</v>
      </c>
      <c r="G2599" s="0" t="n">
        <v>0</v>
      </c>
      <c r="H2599" s="0" t="s">
        <v>122</v>
      </c>
      <c r="K2599" s="0" t="s">
        <v>146</v>
      </c>
      <c r="L2599" s="0" t="s">
        <v>4076</v>
      </c>
    </row>
    <row r="2600" customFormat="false" ht="15" hidden="false" customHeight="false" outlineLevel="0" collapsed="false">
      <c r="A2600" s="0" t="s">
        <v>3883</v>
      </c>
      <c r="B2600" s="0" t="s">
        <v>140</v>
      </c>
      <c r="C2600" s="0" t="s">
        <v>527</v>
      </c>
      <c r="D2600" s="0" t="s">
        <v>73</v>
      </c>
      <c r="E2600" s="0" t="s">
        <v>1606</v>
      </c>
      <c r="F2600" s="0" t="n">
        <v>4</v>
      </c>
      <c r="G2600" s="0" t="n">
        <v>0</v>
      </c>
      <c r="H2600" s="0" t="s">
        <v>122</v>
      </c>
      <c r="K2600" s="0" t="s">
        <v>149</v>
      </c>
      <c r="L2600" s="0" t="s">
        <v>4077</v>
      </c>
    </row>
    <row r="2601" customFormat="false" ht="15" hidden="false" customHeight="false" outlineLevel="0" collapsed="false">
      <c r="A2601" s="0" t="s">
        <v>3883</v>
      </c>
      <c r="B2601" s="0" t="s">
        <v>140</v>
      </c>
      <c r="C2601" s="0" t="s">
        <v>527</v>
      </c>
      <c r="D2601" s="0" t="s">
        <v>76</v>
      </c>
      <c r="E2601" s="0" t="s">
        <v>1608</v>
      </c>
      <c r="F2601" s="0" t="n">
        <v>4</v>
      </c>
      <c r="G2601" s="0" t="n">
        <v>1</v>
      </c>
      <c r="H2601" s="0" t="s">
        <v>122</v>
      </c>
      <c r="I2601" s="0" t="s">
        <v>4078</v>
      </c>
      <c r="K2601" s="0" t="s">
        <v>152</v>
      </c>
      <c r="L2601" s="0" t="s">
        <v>4079</v>
      </c>
    </row>
    <row r="2602" customFormat="false" ht="15" hidden="false" customHeight="false" outlineLevel="0" collapsed="false">
      <c r="A2602" s="0" t="s">
        <v>3883</v>
      </c>
      <c r="B2602" s="0" t="s">
        <v>140</v>
      </c>
      <c r="C2602" s="0" t="s">
        <v>527</v>
      </c>
      <c r="D2602" s="0" t="s">
        <v>79</v>
      </c>
      <c r="E2602" s="0" t="s">
        <v>1610</v>
      </c>
      <c r="F2602" s="0" t="n">
        <v>4</v>
      </c>
      <c r="G2602" s="0" t="n">
        <v>0</v>
      </c>
      <c r="H2602" s="0" t="s">
        <v>122</v>
      </c>
      <c r="K2602" s="0" t="s">
        <v>156</v>
      </c>
      <c r="L2602" s="0" t="s">
        <v>4080</v>
      </c>
    </row>
    <row r="2603" customFormat="false" ht="15" hidden="false" customHeight="false" outlineLevel="0" collapsed="false">
      <c r="A2603" s="0" t="s">
        <v>3883</v>
      </c>
      <c r="B2603" s="0" t="s">
        <v>140</v>
      </c>
      <c r="C2603" s="0" t="s">
        <v>527</v>
      </c>
      <c r="D2603" s="0" t="s">
        <v>82</v>
      </c>
      <c r="E2603" s="0" t="s">
        <v>1612</v>
      </c>
      <c r="F2603" s="0" t="n">
        <v>4</v>
      </c>
      <c r="G2603" s="0" t="n">
        <v>0</v>
      </c>
      <c r="H2603" s="0" t="s">
        <v>122</v>
      </c>
      <c r="K2603" s="0" t="s">
        <v>160</v>
      </c>
      <c r="L2603" s="0" t="s">
        <v>4081</v>
      </c>
    </row>
    <row r="2604" customFormat="false" ht="15" hidden="false" customHeight="false" outlineLevel="0" collapsed="false">
      <c r="A2604" s="0" t="s">
        <v>3883</v>
      </c>
      <c r="B2604" s="0" t="s">
        <v>140</v>
      </c>
      <c r="C2604" s="0" t="s">
        <v>555</v>
      </c>
      <c r="D2604" s="0" t="s">
        <v>115</v>
      </c>
      <c r="E2604" s="0" t="s">
        <v>1614</v>
      </c>
      <c r="F2604" s="0" t="n">
        <v>4</v>
      </c>
      <c r="G2604" s="0" t="n">
        <v>0</v>
      </c>
      <c r="H2604" s="0" t="s">
        <v>122</v>
      </c>
      <c r="K2604" s="0" t="s">
        <v>118</v>
      </c>
      <c r="L2604" s="0" t="s">
        <v>4082</v>
      </c>
    </row>
    <row r="2605" customFormat="false" ht="15" hidden="false" customHeight="false" outlineLevel="0" collapsed="false">
      <c r="A2605" s="0" t="s">
        <v>3883</v>
      </c>
      <c r="B2605" s="0" t="s">
        <v>140</v>
      </c>
      <c r="C2605" s="0" t="s">
        <v>555</v>
      </c>
      <c r="D2605" s="0" t="s">
        <v>120</v>
      </c>
      <c r="E2605" s="0" t="s">
        <v>1616</v>
      </c>
      <c r="F2605" s="0" t="n">
        <v>4</v>
      </c>
      <c r="G2605" s="0" t="n">
        <v>0</v>
      </c>
      <c r="H2605" s="0" t="s">
        <v>122</v>
      </c>
      <c r="K2605" s="0" t="s">
        <v>123</v>
      </c>
      <c r="L2605" s="0" t="s">
        <v>4083</v>
      </c>
    </row>
    <row r="2606" customFormat="false" ht="15" hidden="false" customHeight="false" outlineLevel="0" collapsed="false">
      <c r="A2606" s="0" t="s">
        <v>3883</v>
      </c>
      <c r="B2606" s="0" t="s">
        <v>140</v>
      </c>
      <c r="C2606" s="0" t="s">
        <v>555</v>
      </c>
      <c r="D2606" s="0" t="s">
        <v>125</v>
      </c>
      <c r="E2606" s="0" t="s">
        <v>1618</v>
      </c>
      <c r="F2606" s="0" t="n">
        <v>4</v>
      </c>
      <c r="G2606" s="0" t="n">
        <v>3</v>
      </c>
      <c r="H2606" s="0" t="s">
        <v>122</v>
      </c>
      <c r="I2606" s="0" t="s">
        <v>4078</v>
      </c>
      <c r="K2606" s="0" t="s">
        <v>127</v>
      </c>
      <c r="L2606" s="0" t="s">
        <v>4084</v>
      </c>
    </row>
    <row r="2607" customFormat="false" ht="15" hidden="false" customHeight="false" outlineLevel="0" collapsed="false">
      <c r="A2607" s="0" t="s">
        <v>3883</v>
      </c>
      <c r="B2607" s="0" t="s">
        <v>140</v>
      </c>
      <c r="C2607" s="0" t="s">
        <v>555</v>
      </c>
      <c r="D2607" s="0" t="s">
        <v>53</v>
      </c>
      <c r="E2607" s="0" t="s">
        <v>1620</v>
      </c>
      <c r="F2607" s="0" t="n">
        <v>4</v>
      </c>
      <c r="G2607" s="0" t="n">
        <v>0</v>
      </c>
      <c r="H2607" s="0" t="s">
        <v>122</v>
      </c>
      <c r="K2607" s="0" t="s">
        <v>132</v>
      </c>
      <c r="L2607" s="0" t="s">
        <v>4085</v>
      </c>
    </row>
    <row r="2608" customFormat="false" ht="15" hidden="false" customHeight="false" outlineLevel="0" collapsed="false">
      <c r="A2608" s="0" t="s">
        <v>3883</v>
      </c>
      <c r="B2608" s="0" t="s">
        <v>140</v>
      </c>
      <c r="C2608" s="0" t="s">
        <v>555</v>
      </c>
      <c r="D2608" s="0" t="s">
        <v>56</v>
      </c>
      <c r="E2608" s="0" t="s">
        <v>1622</v>
      </c>
      <c r="F2608" s="0" t="n">
        <v>4</v>
      </c>
      <c r="G2608" s="0" t="n">
        <v>2</v>
      </c>
      <c r="H2608" s="0" t="s">
        <v>122</v>
      </c>
      <c r="I2608" s="0" t="s">
        <v>4078</v>
      </c>
      <c r="K2608" s="0" t="s">
        <v>135</v>
      </c>
      <c r="L2608" s="0" t="s">
        <v>4086</v>
      </c>
    </row>
    <row r="2609" customFormat="false" ht="15" hidden="false" customHeight="false" outlineLevel="0" collapsed="false">
      <c r="A2609" s="0" t="s">
        <v>3883</v>
      </c>
      <c r="B2609" s="0" t="s">
        <v>140</v>
      </c>
      <c r="C2609" s="0" t="s">
        <v>555</v>
      </c>
      <c r="D2609" s="0" t="s">
        <v>59</v>
      </c>
      <c r="E2609" s="0" t="s">
        <v>1624</v>
      </c>
      <c r="F2609" s="0" t="n">
        <v>4</v>
      </c>
      <c r="G2609" s="0" t="n">
        <v>0</v>
      </c>
      <c r="H2609" s="0" t="s">
        <v>122</v>
      </c>
      <c r="K2609" s="0" t="s">
        <v>138</v>
      </c>
      <c r="L2609" s="0" t="s">
        <v>4087</v>
      </c>
    </row>
    <row r="2610" customFormat="false" ht="15" hidden="false" customHeight="false" outlineLevel="0" collapsed="false">
      <c r="A2610" s="0" t="s">
        <v>3883</v>
      </c>
      <c r="B2610" s="0" t="s">
        <v>140</v>
      </c>
      <c r="C2610" s="0" t="s">
        <v>555</v>
      </c>
      <c r="D2610" s="0" t="s">
        <v>67</v>
      </c>
      <c r="E2610" s="0" t="s">
        <v>1626</v>
      </c>
      <c r="F2610" s="0" t="n">
        <v>4</v>
      </c>
      <c r="G2610" s="0" t="n">
        <v>0</v>
      </c>
      <c r="H2610" s="0" t="s">
        <v>122</v>
      </c>
      <c r="K2610" s="0" t="s">
        <v>143</v>
      </c>
      <c r="L2610" s="0" t="s">
        <v>4088</v>
      </c>
    </row>
    <row r="2611" customFormat="false" ht="15" hidden="false" customHeight="false" outlineLevel="0" collapsed="false">
      <c r="A2611" s="0" t="s">
        <v>3883</v>
      </c>
      <c r="B2611" s="0" t="s">
        <v>140</v>
      </c>
      <c r="C2611" s="0" t="s">
        <v>555</v>
      </c>
      <c r="D2611" s="0" t="s">
        <v>70</v>
      </c>
      <c r="E2611" s="0" t="s">
        <v>1628</v>
      </c>
      <c r="F2611" s="0" t="n">
        <v>4</v>
      </c>
      <c r="G2611" s="0" t="n">
        <v>0</v>
      </c>
      <c r="H2611" s="0" t="s">
        <v>122</v>
      </c>
      <c r="K2611" s="0" t="s">
        <v>146</v>
      </c>
      <c r="L2611" s="0" t="s">
        <v>4089</v>
      </c>
    </row>
    <row r="2612" customFormat="false" ht="15" hidden="false" customHeight="false" outlineLevel="0" collapsed="false">
      <c r="A2612" s="0" t="s">
        <v>3883</v>
      </c>
      <c r="B2612" s="0" t="s">
        <v>140</v>
      </c>
      <c r="C2612" s="0" t="s">
        <v>555</v>
      </c>
      <c r="D2612" s="0" t="s">
        <v>73</v>
      </c>
      <c r="E2612" s="0" t="s">
        <v>1631</v>
      </c>
      <c r="F2612" s="0" t="n">
        <v>4</v>
      </c>
      <c r="G2612" s="0" t="n">
        <v>0</v>
      </c>
      <c r="H2612" s="0" t="s">
        <v>122</v>
      </c>
      <c r="K2612" s="0" t="s">
        <v>149</v>
      </c>
      <c r="L2612" s="0" t="s">
        <v>4090</v>
      </c>
    </row>
    <row r="2613" customFormat="false" ht="15" hidden="false" customHeight="false" outlineLevel="0" collapsed="false">
      <c r="A2613" s="0" t="s">
        <v>3883</v>
      </c>
      <c r="B2613" s="0" t="s">
        <v>140</v>
      </c>
      <c r="C2613" s="0" t="s">
        <v>555</v>
      </c>
      <c r="D2613" s="0" t="s">
        <v>76</v>
      </c>
      <c r="E2613" s="0" t="s">
        <v>1633</v>
      </c>
      <c r="F2613" s="0" t="n">
        <v>4</v>
      </c>
      <c r="G2613" s="0" t="n">
        <v>2</v>
      </c>
      <c r="H2613" s="0" t="s">
        <v>122</v>
      </c>
      <c r="I2613" s="0" t="s">
        <v>4070</v>
      </c>
      <c r="K2613" s="0" t="s">
        <v>152</v>
      </c>
      <c r="L2613" s="0" t="s">
        <v>4091</v>
      </c>
    </row>
    <row r="2614" customFormat="false" ht="15" hidden="false" customHeight="false" outlineLevel="0" collapsed="false">
      <c r="A2614" s="0" t="s">
        <v>3883</v>
      </c>
      <c r="B2614" s="0" t="s">
        <v>140</v>
      </c>
      <c r="C2614" s="0" t="s">
        <v>555</v>
      </c>
      <c r="D2614" s="0" t="s">
        <v>79</v>
      </c>
      <c r="E2614" s="0" t="s">
        <v>1635</v>
      </c>
      <c r="F2614" s="0" t="n">
        <v>4</v>
      </c>
      <c r="G2614" s="0" t="n">
        <v>0</v>
      </c>
      <c r="H2614" s="0" t="s">
        <v>122</v>
      </c>
      <c r="K2614" s="0" t="s">
        <v>156</v>
      </c>
      <c r="L2614" s="0" t="s">
        <v>4092</v>
      </c>
    </row>
    <row r="2615" customFormat="false" ht="15" hidden="false" customHeight="false" outlineLevel="0" collapsed="false">
      <c r="A2615" s="0" t="s">
        <v>3883</v>
      </c>
      <c r="B2615" s="0" t="s">
        <v>140</v>
      </c>
      <c r="C2615" s="0" t="s">
        <v>555</v>
      </c>
      <c r="D2615" s="0" t="s">
        <v>82</v>
      </c>
      <c r="E2615" s="0" t="s">
        <v>1637</v>
      </c>
      <c r="F2615" s="0" t="n">
        <v>4</v>
      </c>
      <c r="G2615" s="0" t="n">
        <v>0</v>
      </c>
      <c r="H2615" s="0" t="s">
        <v>122</v>
      </c>
      <c r="K2615" s="0" t="s">
        <v>160</v>
      </c>
      <c r="L2615" s="0" t="s">
        <v>4093</v>
      </c>
    </row>
    <row r="2616" customFormat="false" ht="15" hidden="false" customHeight="false" outlineLevel="0" collapsed="false">
      <c r="A2616" s="0" t="s">
        <v>3883</v>
      </c>
      <c r="B2616" s="0" t="s">
        <v>140</v>
      </c>
      <c r="C2616" s="0" t="s">
        <v>580</v>
      </c>
      <c r="D2616" s="0" t="s">
        <v>115</v>
      </c>
      <c r="E2616" s="0" t="s">
        <v>1639</v>
      </c>
      <c r="F2616" s="0" t="n">
        <v>4</v>
      </c>
      <c r="G2616" s="0" t="n">
        <v>0</v>
      </c>
      <c r="H2616" s="0" t="s">
        <v>122</v>
      </c>
      <c r="K2616" s="0" t="s">
        <v>118</v>
      </c>
      <c r="L2616" s="0" t="s">
        <v>4094</v>
      </c>
    </row>
    <row r="2617" customFormat="false" ht="15" hidden="false" customHeight="false" outlineLevel="0" collapsed="false">
      <c r="A2617" s="0" t="s">
        <v>3883</v>
      </c>
      <c r="B2617" s="0" t="s">
        <v>140</v>
      </c>
      <c r="C2617" s="0" t="s">
        <v>580</v>
      </c>
      <c r="D2617" s="0" t="s">
        <v>120</v>
      </c>
      <c r="E2617" s="0" t="s">
        <v>1641</v>
      </c>
      <c r="F2617" s="0" t="n">
        <v>4</v>
      </c>
      <c r="G2617" s="0" t="n">
        <v>0</v>
      </c>
      <c r="H2617" s="0" t="s">
        <v>122</v>
      </c>
      <c r="K2617" s="0" t="s">
        <v>123</v>
      </c>
      <c r="L2617" s="0" t="s">
        <v>4095</v>
      </c>
    </row>
    <row r="2618" customFormat="false" ht="15" hidden="false" customHeight="false" outlineLevel="0" collapsed="false">
      <c r="A2618" s="0" t="s">
        <v>3883</v>
      </c>
      <c r="B2618" s="0" t="s">
        <v>140</v>
      </c>
      <c r="C2618" s="0" t="s">
        <v>580</v>
      </c>
      <c r="D2618" s="0" t="s">
        <v>125</v>
      </c>
      <c r="E2618" s="0" t="s">
        <v>1643</v>
      </c>
      <c r="F2618" s="0" t="n">
        <v>4</v>
      </c>
      <c r="G2618" s="0" t="n">
        <v>0</v>
      </c>
      <c r="H2618" s="0" t="s">
        <v>122</v>
      </c>
      <c r="K2618" s="0" t="s">
        <v>127</v>
      </c>
      <c r="L2618" s="0" t="s">
        <v>4096</v>
      </c>
    </row>
    <row r="2619" customFormat="false" ht="15" hidden="false" customHeight="false" outlineLevel="0" collapsed="false">
      <c r="A2619" s="0" t="s">
        <v>3883</v>
      </c>
      <c r="B2619" s="0" t="s">
        <v>140</v>
      </c>
      <c r="C2619" s="0" t="s">
        <v>580</v>
      </c>
      <c r="D2619" s="0" t="s">
        <v>53</v>
      </c>
      <c r="E2619" s="0" t="s">
        <v>1645</v>
      </c>
      <c r="F2619" s="0" t="n">
        <v>4</v>
      </c>
      <c r="G2619" s="0" t="n">
        <v>1</v>
      </c>
      <c r="H2619" s="0" t="s">
        <v>122</v>
      </c>
      <c r="I2619" s="0" t="s">
        <v>4078</v>
      </c>
      <c r="K2619" s="0" t="s">
        <v>132</v>
      </c>
      <c r="L2619" s="0" t="s">
        <v>4097</v>
      </c>
    </row>
    <row r="2620" customFormat="false" ht="15" hidden="false" customHeight="false" outlineLevel="0" collapsed="false">
      <c r="A2620" s="0" t="s">
        <v>3883</v>
      </c>
      <c r="B2620" s="0" t="s">
        <v>140</v>
      </c>
      <c r="C2620" s="0" t="s">
        <v>580</v>
      </c>
      <c r="D2620" s="0" t="s">
        <v>56</v>
      </c>
      <c r="E2620" s="0" t="s">
        <v>1647</v>
      </c>
      <c r="F2620" s="0" t="n">
        <v>4</v>
      </c>
      <c r="G2620" s="0" t="n">
        <v>0</v>
      </c>
      <c r="H2620" s="0" t="s">
        <v>122</v>
      </c>
      <c r="K2620" s="0" t="s">
        <v>135</v>
      </c>
      <c r="L2620" s="0" t="s">
        <v>4098</v>
      </c>
    </row>
    <row r="2621" customFormat="false" ht="15" hidden="false" customHeight="false" outlineLevel="0" collapsed="false">
      <c r="A2621" s="0" t="s">
        <v>3883</v>
      </c>
      <c r="B2621" s="0" t="s">
        <v>140</v>
      </c>
      <c r="C2621" s="0" t="s">
        <v>580</v>
      </c>
      <c r="D2621" s="0" t="s">
        <v>59</v>
      </c>
      <c r="E2621" s="0" t="s">
        <v>1649</v>
      </c>
      <c r="F2621" s="0" t="n">
        <v>4</v>
      </c>
      <c r="G2621" s="0" t="n">
        <v>0</v>
      </c>
      <c r="H2621" s="0" t="s">
        <v>122</v>
      </c>
      <c r="K2621" s="0" t="s">
        <v>138</v>
      </c>
      <c r="L2621" s="0" t="s">
        <v>4099</v>
      </c>
    </row>
    <row r="2622" customFormat="false" ht="15" hidden="false" customHeight="false" outlineLevel="0" collapsed="false">
      <c r="A2622" s="0" t="s">
        <v>3883</v>
      </c>
      <c r="B2622" s="0" t="s">
        <v>140</v>
      </c>
      <c r="C2622" s="0" t="s">
        <v>580</v>
      </c>
      <c r="D2622" s="0" t="s">
        <v>67</v>
      </c>
      <c r="E2622" s="0" t="s">
        <v>1651</v>
      </c>
      <c r="F2622" s="0" t="n">
        <v>4</v>
      </c>
      <c r="G2622" s="0" t="n">
        <v>0</v>
      </c>
      <c r="H2622" s="0" t="s">
        <v>122</v>
      </c>
      <c r="K2622" s="0" t="s">
        <v>143</v>
      </c>
      <c r="L2622" s="0" t="s">
        <v>4100</v>
      </c>
    </row>
    <row r="2623" customFormat="false" ht="15" hidden="false" customHeight="false" outlineLevel="0" collapsed="false">
      <c r="A2623" s="0" t="s">
        <v>3883</v>
      </c>
      <c r="B2623" s="0" t="s">
        <v>140</v>
      </c>
      <c r="C2623" s="0" t="s">
        <v>580</v>
      </c>
      <c r="D2623" s="0" t="s">
        <v>70</v>
      </c>
      <c r="E2623" s="0" t="s">
        <v>1653</v>
      </c>
      <c r="F2623" s="0" t="n">
        <v>4</v>
      </c>
      <c r="G2623" s="0" t="n">
        <v>0</v>
      </c>
      <c r="H2623" s="0" t="s">
        <v>122</v>
      </c>
      <c r="K2623" s="0" t="s">
        <v>146</v>
      </c>
      <c r="L2623" s="0" t="s">
        <v>4101</v>
      </c>
    </row>
    <row r="2624" customFormat="false" ht="15" hidden="false" customHeight="false" outlineLevel="0" collapsed="false">
      <c r="A2624" s="0" t="s">
        <v>3883</v>
      </c>
      <c r="B2624" s="0" t="s">
        <v>140</v>
      </c>
      <c r="C2624" s="0" t="s">
        <v>580</v>
      </c>
      <c r="D2624" s="0" t="s">
        <v>73</v>
      </c>
      <c r="E2624" s="0" t="s">
        <v>1655</v>
      </c>
      <c r="F2624" s="0" t="n">
        <v>4</v>
      </c>
      <c r="G2624" s="0" t="n">
        <v>2</v>
      </c>
      <c r="H2624" s="0" t="s">
        <v>122</v>
      </c>
      <c r="I2624" s="0" t="s">
        <v>4078</v>
      </c>
      <c r="K2624" s="0" t="s">
        <v>149</v>
      </c>
      <c r="L2624" s="0" t="s">
        <v>4102</v>
      </c>
    </row>
    <row r="2625" customFormat="false" ht="15" hidden="false" customHeight="false" outlineLevel="0" collapsed="false">
      <c r="A2625" s="0" t="s">
        <v>3883</v>
      </c>
      <c r="B2625" s="0" t="s">
        <v>140</v>
      </c>
      <c r="C2625" s="0" t="s">
        <v>580</v>
      </c>
      <c r="D2625" s="0" t="s">
        <v>76</v>
      </c>
      <c r="E2625" s="0" t="s">
        <v>1657</v>
      </c>
      <c r="F2625" s="0" t="n">
        <v>4</v>
      </c>
      <c r="G2625" s="0" t="n">
        <v>1</v>
      </c>
      <c r="H2625" s="0" t="s">
        <v>122</v>
      </c>
      <c r="I2625" s="0" t="s">
        <v>4078</v>
      </c>
      <c r="K2625" s="0" t="s">
        <v>152</v>
      </c>
      <c r="L2625" s="0" t="s">
        <v>4103</v>
      </c>
    </row>
    <row r="2626" customFormat="false" ht="15" hidden="false" customHeight="false" outlineLevel="0" collapsed="false">
      <c r="A2626" s="0" t="s">
        <v>3883</v>
      </c>
      <c r="B2626" s="0" t="s">
        <v>140</v>
      </c>
      <c r="C2626" s="0" t="s">
        <v>580</v>
      </c>
      <c r="D2626" s="0" t="s">
        <v>79</v>
      </c>
      <c r="E2626" s="0" t="s">
        <v>1659</v>
      </c>
      <c r="F2626" s="0" t="n">
        <v>4</v>
      </c>
      <c r="G2626" s="0" t="n">
        <v>0</v>
      </c>
      <c r="H2626" s="0" t="s">
        <v>122</v>
      </c>
      <c r="K2626" s="0" t="s">
        <v>156</v>
      </c>
      <c r="L2626" s="0" t="s">
        <v>4104</v>
      </c>
    </row>
    <row r="2627" customFormat="false" ht="15" hidden="false" customHeight="false" outlineLevel="0" collapsed="false">
      <c r="A2627" s="0" t="s">
        <v>3883</v>
      </c>
      <c r="B2627" s="0" t="s">
        <v>140</v>
      </c>
      <c r="C2627" s="0" t="s">
        <v>580</v>
      </c>
      <c r="D2627" s="0" t="s">
        <v>82</v>
      </c>
      <c r="E2627" s="0" t="s">
        <v>1661</v>
      </c>
      <c r="F2627" s="0" t="n">
        <v>4</v>
      </c>
      <c r="G2627" s="0" t="n">
        <v>0</v>
      </c>
      <c r="H2627" s="0" t="s">
        <v>122</v>
      </c>
      <c r="K2627" s="0" t="s">
        <v>160</v>
      </c>
      <c r="L2627" s="0" t="s">
        <v>4105</v>
      </c>
    </row>
    <row r="2628" customFormat="false" ht="15" hidden="false" customHeight="false" outlineLevel="0" collapsed="false">
      <c r="A2628" s="0" t="s">
        <v>3883</v>
      </c>
      <c r="B2628" s="0" t="s">
        <v>140</v>
      </c>
      <c r="C2628" s="0" t="s">
        <v>605</v>
      </c>
      <c r="D2628" s="0" t="s">
        <v>115</v>
      </c>
      <c r="E2628" s="0" t="s">
        <v>3561</v>
      </c>
      <c r="F2628" s="0" t="n">
        <v>4</v>
      </c>
      <c r="G2628" s="0" t="n">
        <v>0</v>
      </c>
      <c r="H2628" s="0" t="s">
        <v>122</v>
      </c>
      <c r="K2628" s="0" t="s">
        <v>118</v>
      </c>
      <c r="L2628" s="0" t="s">
        <v>4106</v>
      </c>
    </row>
    <row r="2629" customFormat="false" ht="15" hidden="false" customHeight="false" outlineLevel="0" collapsed="false">
      <c r="A2629" s="0" t="s">
        <v>3883</v>
      </c>
      <c r="B2629" s="0" t="s">
        <v>140</v>
      </c>
      <c r="C2629" s="0" t="s">
        <v>605</v>
      </c>
      <c r="D2629" s="0" t="s">
        <v>120</v>
      </c>
      <c r="E2629" s="0" t="s">
        <v>1665</v>
      </c>
      <c r="F2629" s="0" t="n">
        <v>4</v>
      </c>
      <c r="G2629" s="0" t="n">
        <v>0</v>
      </c>
      <c r="H2629" s="0" t="s">
        <v>122</v>
      </c>
      <c r="K2629" s="0" t="s">
        <v>123</v>
      </c>
      <c r="L2629" s="0" t="s">
        <v>4107</v>
      </c>
    </row>
    <row r="2630" customFormat="false" ht="15" hidden="false" customHeight="false" outlineLevel="0" collapsed="false">
      <c r="A2630" s="0" t="s">
        <v>3883</v>
      </c>
      <c r="B2630" s="0" t="s">
        <v>140</v>
      </c>
      <c r="C2630" s="0" t="s">
        <v>605</v>
      </c>
      <c r="D2630" s="0" t="s">
        <v>125</v>
      </c>
      <c r="E2630" s="0" t="s">
        <v>1667</v>
      </c>
      <c r="F2630" s="0" t="n">
        <v>4</v>
      </c>
      <c r="G2630" s="0" t="n">
        <v>3</v>
      </c>
      <c r="H2630" s="0" t="s">
        <v>122</v>
      </c>
      <c r="I2630" s="0" t="s">
        <v>4108</v>
      </c>
      <c r="K2630" s="0" t="s">
        <v>127</v>
      </c>
      <c r="L2630" s="0" t="s">
        <v>4109</v>
      </c>
    </row>
    <row r="2631" customFormat="false" ht="15" hidden="false" customHeight="false" outlineLevel="0" collapsed="false">
      <c r="A2631" s="0" t="s">
        <v>3883</v>
      </c>
      <c r="B2631" s="0" t="s">
        <v>140</v>
      </c>
      <c r="C2631" s="0" t="s">
        <v>605</v>
      </c>
      <c r="D2631" s="0" t="s">
        <v>53</v>
      </c>
      <c r="E2631" s="0" t="s">
        <v>1669</v>
      </c>
      <c r="F2631" s="0" t="n">
        <v>4</v>
      </c>
      <c r="G2631" s="0" t="n">
        <v>1</v>
      </c>
      <c r="H2631" s="0" t="s">
        <v>122</v>
      </c>
      <c r="I2631" s="0" t="s">
        <v>4108</v>
      </c>
      <c r="K2631" s="0" t="s">
        <v>132</v>
      </c>
      <c r="L2631" s="0" t="s">
        <v>4110</v>
      </c>
    </row>
    <row r="2632" customFormat="false" ht="15" hidden="false" customHeight="false" outlineLevel="0" collapsed="false">
      <c r="A2632" s="0" t="s">
        <v>3883</v>
      </c>
      <c r="B2632" s="0" t="s">
        <v>140</v>
      </c>
      <c r="C2632" s="0" t="s">
        <v>605</v>
      </c>
      <c r="D2632" s="0" t="s">
        <v>56</v>
      </c>
      <c r="E2632" s="0" t="s">
        <v>1671</v>
      </c>
      <c r="F2632" s="0" t="n">
        <v>4</v>
      </c>
      <c r="G2632" s="0" t="n">
        <v>1</v>
      </c>
      <c r="H2632" s="0" t="s">
        <v>122</v>
      </c>
      <c r="I2632" s="0" t="s">
        <v>4108</v>
      </c>
      <c r="K2632" s="0" t="s">
        <v>135</v>
      </c>
      <c r="L2632" s="0" t="s">
        <v>4111</v>
      </c>
    </row>
    <row r="2633" customFormat="false" ht="15" hidden="false" customHeight="false" outlineLevel="0" collapsed="false">
      <c r="A2633" s="0" t="s">
        <v>3883</v>
      </c>
      <c r="B2633" s="0" t="s">
        <v>140</v>
      </c>
      <c r="C2633" s="0" t="s">
        <v>605</v>
      </c>
      <c r="D2633" s="0" t="s">
        <v>59</v>
      </c>
      <c r="E2633" s="0" t="s">
        <v>1673</v>
      </c>
      <c r="F2633" s="0" t="n">
        <v>4</v>
      </c>
      <c r="G2633" s="0" t="n">
        <v>0</v>
      </c>
      <c r="H2633" s="0" t="s">
        <v>122</v>
      </c>
      <c r="K2633" s="0" t="s">
        <v>138</v>
      </c>
      <c r="L2633" s="0" t="s">
        <v>4112</v>
      </c>
    </row>
    <row r="2634" customFormat="false" ht="15" hidden="false" customHeight="false" outlineLevel="0" collapsed="false">
      <c r="A2634" s="0" t="s">
        <v>3883</v>
      </c>
      <c r="B2634" s="0" t="s">
        <v>140</v>
      </c>
      <c r="C2634" s="0" t="s">
        <v>605</v>
      </c>
      <c r="D2634" s="0" t="s">
        <v>67</v>
      </c>
      <c r="E2634" s="0" t="s">
        <v>1675</v>
      </c>
      <c r="F2634" s="0" t="n">
        <v>4</v>
      </c>
      <c r="G2634" s="0" t="n">
        <v>0</v>
      </c>
      <c r="H2634" s="0" t="s">
        <v>122</v>
      </c>
      <c r="K2634" s="0" t="s">
        <v>143</v>
      </c>
      <c r="L2634" s="0" t="s">
        <v>4113</v>
      </c>
    </row>
    <row r="2635" customFormat="false" ht="15" hidden="false" customHeight="false" outlineLevel="0" collapsed="false">
      <c r="A2635" s="0" t="s">
        <v>3883</v>
      </c>
      <c r="B2635" s="0" t="s">
        <v>140</v>
      </c>
      <c r="C2635" s="0" t="s">
        <v>605</v>
      </c>
      <c r="D2635" s="0" t="s">
        <v>70</v>
      </c>
      <c r="E2635" s="0" t="s">
        <v>1677</v>
      </c>
      <c r="F2635" s="0" t="n">
        <v>4</v>
      </c>
      <c r="G2635" s="0" t="n">
        <v>0</v>
      </c>
      <c r="H2635" s="0" t="s">
        <v>122</v>
      </c>
      <c r="K2635" s="0" t="s">
        <v>146</v>
      </c>
      <c r="L2635" s="0" t="s">
        <v>4114</v>
      </c>
    </row>
    <row r="2636" customFormat="false" ht="15" hidden="false" customHeight="false" outlineLevel="0" collapsed="false">
      <c r="A2636" s="0" t="s">
        <v>3883</v>
      </c>
      <c r="B2636" s="0" t="s">
        <v>140</v>
      </c>
      <c r="C2636" s="0" t="s">
        <v>605</v>
      </c>
      <c r="D2636" s="0" t="s">
        <v>73</v>
      </c>
      <c r="E2636" s="0" t="s">
        <v>1679</v>
      </c>
      <c r="F2636" s="0" t="n">
        <v>4</v>
      </c>
      <c r="G2636" s="0" t="n">
        <v>0</v>
      </c>
      <c r="H2636" s="0" t="s">
        <v>122</v>
      </c>
      <c r="K2636" s="0" t="s">
        <v>149</v>
      </c>
      <c r="L2636" s="0" t="s">
        <v>4115</v>
      </c>
    </row>
    <row r="2637" customFormat="false" ht="15" hidden="false" customHeight="false" outlineLevel="0" collapsed="false">
      <c r="A2637" s="0" t="s">
        <v>3883</v>
      </c>
      <c r="B2637" s="0" t="s">
        <v>140</v>
      </c>
      <c r="C2637" s="0" t="s">
        <v>605</v>
      </c>
      <c r="D2637" s="0" t="s">
        <v>76</v>
      </c>
      <c r="E2637" s="0" t="s">
        <v>1682</v>
      </c>
      <c r="F2637" s="0" t="n">
        <v>4</v>
      </c>
      <c r="G2637" s="0" t="n">
        <v>1</v>
      </c>
      <c r="H2637" s="0" t="s">
        <v>122</v>
      </c>
      <c r="I2637" s="0" t="s">
        <v>4116</v>
      </c>
      <c r="K2637" s="0" t="s">
        <v>152</v>
      </c>
      <c r="L2637" s="0" t="s">
        <v>4117</v>
      </c>
    </row>
    <row r="2638" customFormat="false" ht="15" hidden="false" customHeight="false" outlineLevel="0" collapsed="false">
      <c r="A2638" s="0" t="s">
        <v>3883</v>
      </c>
      <c r="B2638" s="0" t="s">
        <v>140</v>
      </c>
      <c r="C2638" s="0" t="s">
        <v>605</v>
      </c>
      <c r="D2638" s="0" t="s">
        <v>79</v>
      </c>
      <c r="E2638" s="0" t="s">
        <v>1684</v>
      </c>
      <c r="F2638" s="0" t="n">
        <v>4</v>
      </c>
      <c r="G2638" s="0" t="n">
        <v>0</v>
      </c>
      <c r="H2638" s="0" t="s">
        <v>122</v>
      </c>
      <c r="K2638" s="0" t="s">
        <v>156</v>
      </c>
      <c r="L2638" s="0" t="s">
        <v>4118</v>
      </c>
    </row>
    <row r="2639" customFormat="false" ht="15" hidden="false" customHeight="false" outlineLevel="0" collapsed="false">
      <c r="A2639" s="0" t="s">
        <v>3883</v>
      </c>
      <c r="B2639" s="0" t="s">
        <v>140</v>
      </c>
      <c r="C2639" s="0" t="s">
        <v>605</v>
      </c>
      <c r="D2639" s="0" t="s">
        <v>82</v>
      </c>
      <c r="E2639" s="0" t="s">
        <v>1686</v>
      </c>
      <c r="F2639" s="0" t="n">
        <v>4</v>
      </c>
      <c r="G2639" s="0" t="n">
        <v>0</v>
      </c>
      <c r="H2639" s="0" t="s">
        <v>122</v>
      </c>
      <c r="K2639" s="0" t="s">
        <v>160</v>
      </c>
      <c r="L2639" s="0" t="s">
        <v>4119</v>
      </c>
    </row>
    <row r="2640" customFormat="false" ht="15" hidden="false" customHeight="false" outlineLevel="0" collapsed="false">
      <c r="A2640" s="0" t="s">
        <v>3883</v>
      </c>
      <c r="B2640" s="0" t="s">
        <v>140</v>
      </c>
      <c r="C2640" s="0" t="s">
        <v>630</v>
      </c>
      <c r="D2640" s="0" t="s">
        <v>115</v>
      </c>
      <c r="E2640" s="0" t="s">
        <v>1688</v>
      </c>
      <c r="F2640" s="0" t="n">
        <v>4</v>
      </c>
      <c r="G2640" s="0" t="n">
        <v>0</v>
      </c>
      <c r="H2640" s="0" t="s">
        <v>122</v>
      </c>
      <c r="K2640" s="0" t="s">
        <v>118</v>
      </c>
      <c r="L2640" s="0" t="s">
        <v>4120</v>
      </c>
    </row>
    <row r="2641" customFormat="false" ht="15" hidden="false" customHeight="false" outlineLevel="0" collapsed="false">
      <c r="A2641" s="0" t="s">
        <v>3883</v>
      </c>
      <c r="B2641" s="0" t="s">
        <v>140</v>
      </c>
      <c r="C2641" s="0" t="s">
        <v>630</v>
      </c>
      <c r="D2641" s="0" t="s">
        <v>120</v>
      </c>
      <c r="E2641" s="0" t="s">
        <v>1690</v>
      </c>
      <c r="F2641" s="0" t="n">
        <v>4</v>
      </c>
      <c r="G2641" s="0" t="n">
        <v>0</v>
      </c>
      <c r="H2641" s="0" t="s">
        <v>122</v>
      </c>
      <c r="K2641" s="0" t="s">
        <v>123</v>
      </c>
      <c r="L2641" s="0" t="s">
        <v>4121</v>
      </c>
    </row>
    <row r="2642" customFormat="false" ht="15" hidden="false" customHeight="false" outlineLevel="0" collapsed="false">
      <c r="A2642" s="0" t="s">
        <v>3883</v>
      </c>
      <c r="B2642" s="0" t="s">
        <v>140</v>
      </c>
      <c r="C2642" s="0" t="s">
        <v>630</v>
      </c>
      <c r="D2642" s="0" t="s">
        <v>125</v>
      </c>
      <c r="E2642" s="0" t="s">
        <v>1692</v>
      </c>
      <c r="F2642" s="0" t="n">
        <v>4</v>
      </c>
      <c r="G2642" s="0" t="n">
        <v>0</v>
      </c>
      <c r="H2642" s="0" t="s">
        <v>122</v>
      </c>
      <c r="K2642" s="0" t="s">
        <v>127</v>
      </c>
      <c r="L2642" s="0" t="s">
        <v>4122</v>
      </c>
    </row>
    <row r="2643" customFormat="false" ht="15" hidden="false" customHeight="false" outlineLevel="0" collapsed="false">
      <c r="A2643" s="0" t="s">
        <v>3883</v>
      </c>
      <c r="B2643" s="0" t="s">
        <v>140</v>
      </c>
      <c r="C2643" s="0" t="s">
        <v>630</v>
      </c>
      <c r="D2643" s="0" t="s">
        <v>53</v>
      </c>
      <c r="E2643" s="0" t="s">
        <v>1694</v>
      </c>
      <c r="F2643" s="0" t="n">
        <v>4</v>
      </c>
      <c r="G2643" s="0" t="n">
        <v>1</v>
      </c>
      <c r="H2643" s="0" t="s">
        <v>122</v>
      </c>
      <c r="I2643" s="0" t="s">
        <v>4108</v>
      </c>
      <c r="K2643" s="0" t="s">
        <v>132</v>
      </c>
      <c r="L2643" s="0" t="s">
        <v>4123</v>
      </c>
    </row>
    <row r="2644" customFormat="false" ht="15" hidden="false" customHeight="false" outlineLevel="0" collapsed="false">
      <c r="A2644" s="0" t="s">
        <v>3883</v>
      </c>
      <c r="B2644" s="0" t="s">
        <v>140</v>
      </c>
      <c r="C2644" s="0" t="s">
        <v>630</v>
      </c>
      <c r="D2644" s="0" t="s">
        <v>56</v>
      </c>
      <c r="E2644" s="0" t="s">
        <v>1696</v>
      </c>
      <c r="F2644" s="0" t="n">
        <v>4</v>
      </c>
      <c r="G2644" s="0" t="n">
        <v>1</v>
      </c>
      <c r="H2644" s="0" t="s">
        <v>122</v>
      </c>
      <c r="I2644" s="0" t="s">
        <v>4070</v>
      </c>
      <c r="K2644" s="0" t="s">
        <v>135</v>
      </c>
      <c r="L2644" s="0" t="s">
        <v>4124</v>
      </c>
    </row>
    <row r="2645" customFormat="false" ht="15" hidden="false" customHeight="false" outlineLevel="0" collapsed="false">
      <c r="A2645" s="0" t="s">
        <v>3883</v>
      </c>
      <c r="B2645" s="0" t="s">
        <v>140</v>
      </c>
      <c r="C2645" s="0" t="s">
        <v>630</v>
      </c>
      <c r="D2645" s="0" t="s">
        <v>59</v>
      </c>
      <c r="E2645" s="0" t="s">
        <v>1698</v>
      </c>
      <c r="F2645" s="0" t="n">
        <v>4</v>
      </c>
      <c r="G2645" s="0" t="n">
        <v>0</v>
      </c>
      <c r="H2645" s="0" t="s">
        <v>122</v>
      </c>
      <c r="K2645" s="0" t="s">
        <v>138</v>
      </c>
      <c r="L2645" s="0" t="s">
        <v>4125</v>
      </c>
    </row>
    <row r="2646" customFormat="false" ht="15" hidden="false" customHeight="false" outlineLevel="0" collapsed="false">
      <c r="A2646" s="0" t="s">
        <v>3883</v>
      </c>
      <c r="B2646" s="0" t="s">
        <v>140</v>
      </c>
      <c r="C2646" s="0" t="s">
        <v>630</v>
      </c>
      <c r="D2646" s="0" t="s">
        <v>67</v>
      </c>
      <c r="E2646" s="0" t="s">
        <v>1700</v>
      </c>
      <c r="F2646" s="0" t="n">
        <v>4</v>
      </c>
      <c r="G2646" s="0" t="n">
        <v>1</v>
      </c>
      <c r="H2646" s="0" t="s">
        <v>122</v>
      </c>
      <c r="I2646" s="0" t="s">
        <v>4070</v>
      </c>
      <c r="K2646" s="0" t="s">
        <v>143</v>
      </c>
      <c r="L2646" s="0" t="s">
        <v>4126</v>
      </c>
    </row>
    <row r="2647" customFormat="false" ht="15" hidden="false" customHeight="false" outlineLevel="0" collapsed="false">
      <c r="A2647" s="0" t="s">
        <v>3883</v>
      </c>
      <c r="B2647" s="0" t="s">
        <v>140</v>
      </c>
      <c r="C2647" s="0" t="s">
        <v>630</v>
      </c>
      <c r="D2647" s="0" t="s">
        <v>70</v>
      </c>
      <c r="E2647" s="0" t="s">
        <v>1702</v>
      </c>
      <c r="F2647" s="0" t="n">
        <v>4</v>
      </c>
      <c r="G2647" s="0" t="n">
        <v>0</v>
      </c>
      <c r="H2647" s="0" t="s">
        <v>122</v>
      </c>
      <c r="K2647" s="0" t="s">
        <v>146</v>
      </c>
      <c r="L2647" s="0" t="s">
        <v>4127</v>
      </c>
    </row>
    <row r="2648" customFormat="false" ht="15" hidden="false" customHeight="false" outlineLevel="0" collapsed="false">
      <c r="A2648" s="0" t="s">
        <v>3883</v>
      </c>
      <c r="B2648" s="0" t="s">
        <v>140</v>
      </c>
      <c r="C2648" s="0" t="s">
        <v>630</v>
      </c>
      <c r="D2648" s="0" t="s">
        <v>73</v>
      </c>
      <c r="E2648" s="0" t="s">
        <v>1704</v>
      </c>
      <c r="F2648" s="0" t="n">
        <v>4</v>
      </c>
      <c r="G2648" s="0" t="n">
        <v>0</v>
      </c>
      <c r="H2648" s="0" t="s">
        <v>122</v>
      </c>
      <c r="K2648" s="0" t="s">
        <v>149</v>
      </c>
      <c r="L2648" s="0" t="s">
        <v>4128</v>
      </c>
    </row>
    <row r="2649" customFormat="false" ht="15" hidden="false" customHeight="false" outlineLevel="0" collapsed="false">
      <c r="A2649" s="0" t="s">
        <v>3883</v>
      </c>
      <c r="B2649" s="0" t="s">
        <v>140</v>
      </c>
      <c r="C2649" s="0" t="s">
        <v>630</v>
      </c>
      <c r="D2649" s="0" t="s">
        <v>76</v>
      </c>
      <c r="E2649" s="0" t="s">
        <v>1706</v>
      </c>
      <c r="F2649" s="0" t="n">
        <v>4</v>
      </c>
      <c r="G2649" s="0" t="n">
        <v>2</v>
      </c>
      <c r="H2649" s="0" t="s">
        <v>122</v>
      </c>
      <c r="I2649" s="0" t="s">
        <v>4108</v>
      </c>
      <c r="K2649" s="0" t="s">
        <v>152</v>
      </c>
      <c r="L2649" s="0" t="s">
        <v>4129</v>
      </c>
    </row>
    <row r="2650" customFormat="false" ht="15" hidden="false" customHeight="false" outlineLevel="0" collapsed="false">
      <c r="A2650" s="0" t="s">
        <v>3883</v>
      </c>
      <c r="B2650" s="0" t="s">
        <v>140</v>
      </c>
      <c r="C2650" s="0" t="s">
        <v>630</v>
      </c>
      <c r="D2650" s="0" t="s">
        <v>79</v>
      </c>
      <c r="E2650" s="0" t="s">
        <v>1708</v>
      </c>
      <c r="F2650" s="0" t="n">
        <v>4</v>
      </c>
      <c r="G2650" s="0" t="n">
        <v>2</v>
      </c>
      <c r="H2650" s="0" t="s">
        <v>122</v>
      </c>
      <c r="I2650" s="0" t="s">
        <v>4070</v>
      </c>
      <c r="K2650" s="0" t="s">
        <v>156</v>
      </c>
      <c r="L2650" s="0" t="s">
        <v>4130</v>
      </c>
    </row>
    <row r="2651" customFormat="false" ht="15" hidden="false" customHeight="false" outlineLevel="0" collapsed="false">
      <c r="A2651" s="0" t="s">
        <v>3883</v>
      </c>
      <c r="B2651" s="0" t="s">
        <v>140</v>
      </c>
      <c r="C2651" s="0" t="s">
        <v>630</v>
      </c>
      <c r="D2651" s="0" t="s">
        <v>82</v>
      </c>
      <c r="E2651" s="0" t="s">
        <v>1710</v>
      </c>
      <c r="F2651" s="0" t="n">
        <v>4</v>
      </c>
      <c r="G2651" s="0" t="n">
        <v>0</v>
      </c>
      <c r="H2651" s="0" t="s">
        <v>122</v>
      </c>
      <c r="K2651" s="0" t="s">
        <v>160</v>
      </c>
      <c r="L2651" s="0" t="s">
        <v>4131</v>
      </c>
    </row>
    <row r="2652" customFormat="false" ht="15" hidden="false" customHeight="false" outlineLevel="0" collapsed="false">
      <c r="A2652" s="0" t="s">
        <v>3883</v>
      </c>
      <c r="B2652" s="0" t="s">
        <v>140</v>
      </c>
      <c r="C2652" s="0" t="s">
        <v>655</v>
      </c>
      <c r="D2652" s="0" t="s">
        <v>115</v>
      </c>
      <c r="E2652" s="0" t="s">
        <v>1712</v>
      </c>
      <c r="F2652" s="0" t="n">
        <v>4</v>
      </c>
      <c r="G2652" s="0" t="n">
        <v>0</v>
      </c>
      <c r="H2652" s="0" t="s">
        <v>122</v>
      </c>
      <c r="K2652" s="0" t="s">
        <v>118</v>
      </c>
      <c r="L2652" s="0" t="s">
        <v>4132</v>
      </c>
    </row>
    <row r="2653" customFormat="false" ht="15" hidden="false" customHeight="false" outlineLevel="0" collapsed="false">
      <c r="A2653" s="0" t="s">
        <v>3883</v>
      </c>
      <c r="B2653" s="0" t="s">
        <v>140</v>
      </c>
      <c r="C2653" s="0" t="s">
        <v>655</v>
      </c>
      <c r="D2653" s="0" t="s">
        <v>120</v>
      </c>
      <c r="E2653" s="0" t="s">
        <v>1714</v>
      </c>
      <c r="F2653" s="0" t="n">
        <v>4</v>
      </c>
      <c r="G2653" s="0" t="n">
        <v>4</v>
      </c>
      <c r="H2653" s="0" t="s">
        <v>117</v>
      </c>
      <c r="I2653" s="0" t="s">
        <v>4070</v>
      </c>
      <c r="K2653" s="0" t="s">
        <v>123</v>
      </c>
      <c r="L2653" s="0" t="s">
        <v>4133</v>
      </c>
    </row>
    <row r="2654" customFormat="false" ht="15" hidden="false" customHeight="false" outlineLevel="0" collapsed="false">
      <c r="A2654" s="0" t="s">
        <v>3883</v>
      </c>
      <c r="B2654" s="0" t="s">
        <v>140</v>
      </c>
      <c r="C2654" s="0" t="s">
        <v>655</v>
      </c>
      <c r="D2654" s="0" t="s">
        <v>125</v>
      </c>
      <c r="E2654" s="0" t="s">
        <v>1716</v>
      </c>
      <c r="F2654" s="0" t="n">
        <v>4</v>
      </c>
      <c r="G2654" s="0" t="n">
        <v>4</v>
      </c>
      <c r="H2654" s="0" t="s">
        <v>117</v>
      </c>
      <c r="I2654" s="0" t="s">
        <v>4070</v>
      </c>
      <c r="K2654" s="0" t="s">
        <v>127</v>
      </c>
      <c r="L2654" s="0" t="s">
        <v>4134</v>
      </c>
    </row>
    <row r="2655" customFormat="false" ht="15" hidden="false" customHeight="false" outlineLevel="0" collapsed="false">
      <c r="A2655" s="0" t="s">
        <v>3883</v>
      </c>
      <c r="B2655" s="0" t="s">
        <v>140</v>
      </c>
      <c r="C2655" s="0" t="s">
        <v>655</v>
      </c>
      <c r="D2655" s="0" t="s">
        <v>53</v>
      </c>
      <c r="E2655" s="0" t="s">
        <v>1718</v>
      </c>
      <c r="F2655" s="0" t="n">
        <v>4</v>
      </c>
      <c r="G2655" s="0" t="n">
        <v>4</v>
      </c>
      <c r="H2655" s="0" t="s">
        <v>117</v>
      </c>
      <c r="I2655" s="0" t="s">
        <v>4108</v>
      </c>
      <c r="K2655" s="0" t="s">
        <v>132</v>
      </c>
      <c r="L2655" s="0" t="s">
        <v>4135</v>
      </c>
    </row>
    <row r="2656" customFormat="false" ht="15" hidden="false" customHeight="false" outlineLevel="0" collapsed="false">
      <c r="A2656" s="0" t="s">
        <v>3883</v>
      </c>
      <c r="B2656" s="0" t="s">
        <v>140</v>
      </c>
      <c r="C2656" s="0" t="s">
        <v>655</v>
      </c>
      <c r="D2656" s="0" t="s">
        <v>56</v>
      </c>
      <c r="E2656" s="0" t="s">
        <v>1720</v>
      </c>
      <c r="F2656" s="0" t="n">
        <v>4</v>
      </c>
      <c r="G2656" s="0" t="n">
        <v>2</v>
      </c>
      <c r="H2656" s="0" t="s">
        <v>122</v>
      </c>
      <c r="I2656" s="0" t="s">
        <v>4078</v>
      </c>
      <c r="K2656" s="0" t="s">
        <v>135</v>
      </c>
      <c r="L2656" s="0" t="s">
        <v>4136</v>
      </c>
    </row>
    <row r="2657" customFormat="false" ht="15" hidden="false" customHeight="false" outlineLevel="0" collapsed="false">
      <c r="A2657" s="0" t="s">
        <v>3883</v>
      </c>
      <c r="B2657" s="0" t="s">
        <v>140</v>
      </c>
      <c r="C2657" s="0" t="s">
        <v>655</v>
      </c>
      <c r="D2657" s="0" t="s">
        <v>59</v>
      </c>
      <c r="E2657" s="0" t="s">
        <v>1723</v>
      </c>
      <c r="F2657" s="0" t="n">
        <v>4</v>
      </c>
      <c r="G2657" s="0" t="n">
        <v>0</v>
      </c>
      <c r="H2657" s="0" t="s">
        <v>122</v>
      </c>
      <c r="K2657" s="0" t="s">
        <v>138</v>
      </c>
      <c r="L2657" s="0" t="s">
        <v>4137</v>
      </c>
    </row>
    <row r="2658" customFormat="false" ht="15" hidden="false" customHeight="false" outlineLevel="0" collapsed="false">
      <c r="A2658" s="0" t="s">
        <v>3883</v>
      </c>
      <c r="B2658" s="0" t="s">
        <v>140</v>
      </c>
      <c r="C2658" s="0" t="s">
        <v>655</v>
      </c>
      <c r="D2658" s="0" t="s">
        <v>67</v>
      </c>
      <c r="E2658" s="0" t="s">
        <v>1725</v>
      </c>
      <c r="F2658" s="0" t="n">
        <v>4</v>
      </c>
      <c r="G2658" s="0" t="n">
        <v>1</v>
      </c>
      <c r="H2658" s="0" t="s">
        <v>122</v>
      </c>
      <c r="K2658" s="0" t="s">
        <v>143</v>
      </c>
      <c r="L2658" s="0" t="s">
        <v>4138</v>
      </c>
    </row>
    <row r="2659" customFormat="false" ht="15" hidden="false" customHeight="false" outlineLevel="0" collapsed="false">
      <c r="A2659" s="0" t="s">
        <v>3883</v>
      </c>
      <c r="B2659" s="0" t="s">
        <v>140</v>
      </c>
      <c r="C2659" s="0" t="s">
        <v>655</v>
      </c>
      <c r="D2659" s="0" t="s">
        <v>70</v>
      </c>
      <c r="E2659" s="0" t="s">
        <v>1727</v>
      </c>
      <c r="F2659" s="0" t="n">
        <v>4</v>
      </c>
      <c r="G2659" s="0" t="n">
        <v>1</v>
      </c>
      <c r="H2659" s="0" t="s">
        <v>122</v>
      </c>
      <c r="I2659" s="0" t="s">
        <v>3900</v>
      </c>
      <c r="K2659" s="0" t="s">
        <v>146</v>
      </c>
      <c r="L2659" s="0" t="s">
        <v>4139</v>
      </c>
    </row>
    <row r="2660" customFormat="false" ht="15" hidden="false" customHeight="false" outlineLevel="0" collapsed="false">
      <c r="A2660" s="0" t="s">
        <v>3883</v>
      </c>
      <c r="B2660" s="0" t="s">
        <v>140</v>
      </c>
      <c r="C2660" s="0" t="s">
        <v>655</v>
      </c>
      <c r="D2660" s="0" t="s">
        <v>73</v>
      </c>
      <c r="E2660" s="0" t="s">
        <v>1729</v>
      </c>
      <c r="F2660" s="0" t="n">
        <v>4</v>
      </c>
      <c r="G2660" s="0" t="n">
        <v>1</v>
      </c>
      <c r="H2660" s="0" t="s">
        <v>122</v>
      </c>
      <c r="I2660" s="0" t="s">
        <v>4078</v>
      </c>
      <c r="K2660" s="0" t="s">
        <v>149</v>
      </c>
      <c r="L2660" s="0" t="s">
        <v>4140</v>
      </c>
    </row>
    <row r="2661" customFormat="false" ht="15" hidden="false" customHeight="false" outlineLevel="0" collapsed="false">
      <c r="A2661" s="0" t="s">
        <v>3883</v>
      </c>
      <c r="B2661" s="0" t="s">
        <v>140</v>
      </c>
      <c r="C2661" s="0" t="s">
        <v>655</v>
      </c>
      <c r="D2661" s="0" t="s">
        <v>76</v>
      </c>
      <c r="E2661" s="0" t="s">
        <v>1731</v>
      </c>
      <c r="F2661" s="0" t="n">
        <v>4</v>
      </c>
      <c r="G2661" s="0" t="n">
        <v>0</v>
      </c>
      <c r="H2661" s="0" t="s">
        <v>122</v>
      </c>
      <c r="K2661" s="0" t="s">
        <v>152</v>
      </c>
      <c r="L2661" s="0" t="s">
        <v>4141</v>
      </c>
    </row>
    <row r="2662" customFormat="false" ht="15" hidden="false" customHeight="false" outlineLevel="0" collapsed="false">
      <c r="A2662" s="0" t="s">
        <v>3883</v>
      </c>
      <c r="B2662" s="0" t="s">
        <v>140</v>
      </c>
      <c r="C2662" s="0" t="s">
        <v>655</v>
      </c>
      <c r="D2662" s="0" t="s">
        <v>79</v>
      </c>
      <c r="E2662" s="0" t="s">
        <v>1733</v>
      </c>
      <c r="F2662" s="0" t="n">
        <v>4</v>
      </c>
      <c r="G2662" s="0" t="n">
        <v>0</v>
      </c>
      <c r="H2662" s="0" t="s">
        <v>122</v>
      </c>
      <c r="K2662" s="0" t="s">
        <v>156</v>
      </c>
      <c r="L2662" s="0" t="s">
        <v>4142</v>
      </c>
    </row>
    <row r="2663" customFormat="false" ht="15" hidden="false" customHeight="false" outlineLevel="0" collapsed="false">
      <c r="A2663" s="0" t="s">
        <v>3883</v>
      </c>
      <c r="B2663" s="0" t="s">
        <v>140</v>
      </c>
      <c r="C2663" s="0" t="s">
        <v>655</v>
      </c>
      <c r="D2663" s="0" t="s">
        <v>82</v>
      </c>
      <c r="E2663" s="0" t="s">
        <v>1735</v>
      </c>
      <c r="F2663" s="0" t="n">
        <v>4</v>
      </c>
      <c r="G2663" s="0" t="n">
        <v>0</v>
      </c>
      <c r="H2663" s="0" t="s">
        <v>122</v>
      </c>
      <c r="K2663" s="0" t="s">
        <v>160</v>
      </c>
      <c r="L2663" s="0" t="s">
        <v>4143</v>
      </c>
    </row>
    <row r="2664" customFormat="false" ht="15" hidden="false" customHeight="false" outlineLevel="0" collapsed="false">
      <c r="A2664" s="0" t="s">
        <v>3883</v>
      </c>
      <c r="B2664" s="0" t="s">
        <v>140</v>
      </c>
      <c r="C2664" s="0" t="s">
        <v>680</v>
      </c>
      <c r="D2664" s="0" t="s">
        <v>115</v>
      </c>
      <c r="E2664" s="0" t="s">
        <v>1737</v>
      </c>
      <c r="F2664" s="0" t="n">
        <v>4</v>
      </c>
      <c r="G2664" s="0" t="n">
        <v>0</v>
      </c>
      <c r="H2664" s="0" t="s">
        <v>122</v>
      </c>
      <c r="K2664" s="0" t="s">
        <v>118</v>
      </c>
      <c r="L2664" s="0" t="s">
        <v>4144</v>
      </c>
    </row>
    <row r="2665" customFormat="false" ht="15" hidden="false" customHeight="false" outlineLevel="0" collapsed="false">
      <c r="A2665" s="0" t="s">
        <v>3883</v>
      </c>
      <c r="B2665" s="0" t="s">
        <v>140</v>
      </c>
      <c r="C2665" s="0" t="s">
        <v>680</v>
      </c>
      <c r="D2665" s="0" t="s">
        <v>120</v>
      </c>
      <c r="E2665" s="0" t="s">
        <v>1739</v>
      </c>
      <c r="F2665" s="0" t="n">
        <v>4</v>
      </c>
      <c r="G2665" s="0" t="n">
        <v>3</v>
      </c>
      <c r="H2665" s="0" t="s">
        <v>122</v>
      </c>
      <c r="I2665" s="0" t="s">
        <v>4070</v>
      </c>
      <c r="K2665" s="0" t="s">
        <v>123</v>
      </c>
      <c r="L2665" s="0" t="s">
        <v>4145</v>
      </c>
    </row>
    <row r="2666" customFormat="false" ht="15" hidden="false" customHeight="false" outlineLevel="0" collapsed="false">
      <c r="A2666" s="0" t="s">
        <v>3883</v>
      </c>
      <c r="B2666" s="0" t="s">
        <v>140</v>
      </c>
      <c r="C2666" s="0" t="s">
        <v>680</v>
      </c>
      <c r="D2666" s="0" t="s">
        <v>125</v>
      </c>
      <c r="E2666" s="0" t="s">
        <v>1741</v>
      </c>
      <c r="F2666" s="0" t="n">
        <v>4</v>
      </c>
      <c r="G2666" s="0" t="n">
        <v>3</v>
      </c>
      <c r="H2666" s="0" t="s">
        <v>122</v>
      </c>
      <c r="I2666" s="0" t="s">
        <v>4078</v>
      </c>
      <c r="K2666" s="0" t="s">
        <v>127</v>
      </c>
      <c r="L2666" s="0" t="s">
        <v>4146</v>
      </c>
    </row>
    <row r="2667" customFormat="false" ht="15" hidden="false" customHeight="false" outlineLevel="0" collapsed="false">
      <c r="A2667" s="0" t="s">
        <v>3883</v>
      </c>
      <c r="B2667" s="0" t="s">
        <v>140</v>
      </c>
      <c r="C2667" s="0" t="s">
        <v>680</v>
      </c>
      <c r="D2667" s="0" t="s">
        <v>53</v>
      </c>
      <c r="E2667" s="0" t="s">
        <v>1743</v>
      </c>
      <c r="F2667" s="0" t="n">
        <v>4</v>
      </c>
      <c r="G2667" s="0" t="n">
        <v>4</v>
      </c>
      <c r="H2667" s="0" t="s">
        <v>117</v>
      </c>
      <c r="I2667" s="0" t="s">
        <v>4108</v>
      </c>
      <c r="K2667" s="0" t="s">
        <v>132</v>
      </c>
      <c r="L2667" s="0" t="s">
        <v>4147</v>
      </c>
    </row>
    <row r="2668" customFormat="false" ht="15" hidden="false" customHeight="false" outlineLevel="0" collapsed="false">
      <c r="A2668" s="0" t="s">
        <v>3883</v>
      </c>
      <c r="B2668" s="0" t="s">
        <v>140</v>
      </c>
      <c r="C2668" s="0" t="s">
        <v>680</v>
      </c>
      <c r="D2668" s="0" t="s">
        <v>56</v>
      </c>
      <c r="E2668" s="0" t="s">
        <v>1745</v>
      </c>
      <c r="F2668" s="0" t="n">
        <v>4</v>
      </c>
      <c r="G2668" s="0" t="n">
        <v>2</v>
      </c>
      <c r="H2668" s="0" t="s">
        <v>122</v>
      </c>
      <c r="I2668" s="0" t="s">
        <v>4116</v>
      </c>
      <c r="K2668" s="0" t="s">
        <v>135</v>
      </c>
      <c r="L2668" s="0" t="s">
        <v>4148</v>
      </c>
    </row>
    <row r="2669" customFormat="false" ht="15" hidden="false" customHeight="false" outlineLevel="0" collapsed="false">
      <c r="A2669" s="0" t="s">
        <v>3883</v>
      </c>
      <c r="B2669" s="0" t="s">
        <v>140</v>
      </c>
      <c r="C2669" s="0" t="s">
        <v>680</v>
      </c>
      <c r="D2669" s="0" t="s">
        <v>59</v>
      </c>
      <c r="E2669" s="0" t="s">
        <v>1747</v>
      </c>
      <c r="F2669" s="0" t="n">
        <v>4</v>
      </c>
      <c r="G2669" s="0" t="n">
        <v>0</v>
      </c>
      <c r="H2669" s="0" t="s">
        <v>122</v>
      </c>
      <c r="K2669" s="0" t="s">
        <v>138</v>
      </c>
      <c r="L2669" s="0" t="s">
        <v>4149</v>
      </c>
    </row>
    <row r="2670" customFormat="false" ht="15" hidden="false" customHeight="false" outlineLevel="0" collapsed="false">
      <c r="A2670" s="0" t="s">
        <v>3883</v>
      </c>
      <c r="B2670" s="0" t="s">
        <v>140</v>
      </c>
      <c r="C2670" s="0" t="s">
        <v>680</v>
      </c>
      <c r="D2670" s="0" t="s">
        <v>67</v>
      </c>
      <c r="E2670" s="0" t="s">
        <v>1749</v>
      </c>
      <c r="F2670" s="0" t="n">
        <v>4</v>
      </c>
      <c r="G2670" s="0" t="n">
        <v>0</v>
      </c>
      <c r="H2670" s="0" t="s">
        <v>122</v>
      </c>
      <c r="K2670" s="0" t="s">
        <v>143</v>
      </c>
      <c r="L2670" s="0" t="s">
        <v>4150</v>
      </c>
    </row>
    <row r="2671" customFormat="false" ht="15" hidden="false" customHeight="false" outlineLevel="0" collapsed="false">
      <c r="A2671" s="0" t="s">
        <v>3883</v>
      </c>
      <c r="B2671" s="0" t="s">
        <v>140</v>
      </c>
      <c r="C2671" s="0" t="s">
        <v>680</v>
      </c>
      <c r="D2671" s="0" t="s">
        <v>70</v>
      </c>
      <c r="E2671" s="0" t="s">
        <v>1751</v>
      </c>
      <c r="F2671" s="0" t="n">
        <v>4</v>
      </c>
      <c r="G2671" s="0" t="n">
        <v>0</v>
      </c>
      <c r="H2671" s="0" t="s">
        <v>122</v>
      </c>
      <c r="K2671" s="0" t="s">
        <v>146</v>
      </c>
      <c r="L2671" s="0" t="s">
        <v>4151</v>
      </c>
    </row>
    <row r="2672" customFormat="false" ht="15" hidden="false" customHeight="false" outlineLevel="0" collapsed="false">
      <c r="A2672" s="0" t="s">
        <v>3883</v>
      </c>
      <c r="B2672" s="0" t="s">
        <v>140</v>
      </c>
      <c r="C2672" s="0" t="s">
        <v>680</v>
      </c>
      <c r="D2672" s="0" t="s">
        <v>73</v>
      </c>
      <c r="E2672" s="0" t="s">
        <v>1753</v>
      </c>
      <c r="F2672" s="0" t="n">
        <v>4</v>
      </c>
      <c r="G2672" s="0" t="n">
        <v>0</v>
      </c>
      <c r="H2672" s="0" t="s">
        <v>122</v>
      </c>
      <c r="K2672" s="0" t="s">
        <v>149</v>
      </c>
      <c r="L2672" s="0" t="s">
        <v>4152</v>
      </c>
    </row>
    <row r="2673" customFormat="false" ht="15" hidden="false" customHeight="false" outlineLevel="0" collapsed="false">
      <c r="A2673" s="0" t="s">
        <v>3883</v>
      </c>
      <c r="B2673" s="0" t="s">
        <v>140</v>
      </c>
      <c r="C2673" s="0" t="s">
        <v>680</v>
      </c>
      <c r="D2673" s="0" t="s">
        <v>76</v>
      </c>
      <c r="E2673" s="0" t="s">
        <v>1755</v>
      </c>
      <c r="F2673" s="0" t="n">
        <v>4</v>
      </c>
      <c r="G2673" s="0" t="n">
        <v>1</v>
      </c>
      <c r="H2673" s="0" t="s">
        <v>122</v>
      </c>
      <c r="I2673" s="0" t="s">
        <v>4108</v>
      </c>
      <c r="K2673" s="0" t="s">
        <v>152</v>
      </c>
      <c r="L2673" s="0" t="s">
        <v>4153</v>
      </c>
    </row>
    <row r="2674" customFormat="false" ht="15" hidden="false" customHeight="false" outlineLevel="0" collapsed="false">
      <c r="A2674" s="0" t="s">
        <v>3883</v>
      </c>
      <c r="B2674" s="0" t="s">
        <v>140</v>
      </c>
      <c r="C2674" s="0" t="s">
        <v>680</v>
      </c>
      <c r="D2674" s="0" t="s">
        <v>79</v>
      </c>
      <c r="E2674" s="0" t="s">
        <v>1757</v>
      </c>
      <c r="F2674" s="0" t="n">
        <v>4</v>
      </c>
      <c r="G2674" s="0" t="n">
        <v>0</v>
      </c>
      <c r="H2674" s="0" t="s">
        <v>122</v>
      </c>
      <c r="K2674" s="0" t="s">
        <v>156</v>
      </c>
      <c r="L2674" s="0" t="s">
        <v>4154</v>
      </c>
    </row>
    <row r="2675" customFormat="false" ht="15" hidden="false" customHeight="false" outlineLevel="0" collapsed="false">
      <c r="A2675" s="0" t="s">
        <v>3883</v>
      </c>
      <c r="B2675" s="0" t="s">
        <v>140</v>
      </c>
      <c r="C2675" s="0" t="s">
        <v>680</v>
      </c>
      <c r="D2675" s="0" t="s">
        <v>82</v>
      </c>
      <c r="E2675" s="0" t="s">
        <v>1759</v>
      </c>
      <c r="F2675" s="0" t="n">
        <v>4</v>
      </c>
      <c r="G2675" s="0" t="n">
        <v>0</v>
      </c>
      <c r="H2675" s="0" t="s">
        <v>122</v>
      </c>
      <c r="K2675" s="0" t="s">
        <v>160</v>
      </c>
      <c r="L2675" s="0" t="s">
        <v>4155</v>
      </c>
    </row>
    <row r="2676" customFormat="false" ht="15" hidden="false" customHeight="false" outlineLevel="0" collapsed="false">
      <c r="A2676" s="0" t="s">
        <v>3883</v>
      </c>
      <c r="B2676" s="0" t="s">
        <v>154</v>
      </c>
      <c r="C2676" s="0" t="s">
        <v>705</v>
      </c>
      <c r="D2676" s="0" t="s">
        <v>115</v>
      </c>
      <c r="E2676" s="0" t="s">
        <v>1761</v>
      </c>
      <c r="F2676" s="0" t="n">
        <v>4</v>
      </c>
      <c r="G2676" s="0" t="n">
        <v>0</v>
      </c>
      <c r="H2676" s="0" t="s">
        <v>122</v>
      </c>
      <c r="K2676" s="0" t="s">
        <v>118</v>
      </c>
      <c r="L2676" s="0" t="s">
        <v>4156</v>
      </c>
    </row>
    <row r="2677" customFormat="false" ht="15" hidden="false" customHeight="false" outlineLevel="0" collapsed="false">
      <c r="A2677" s="0" t="s">
        <v>3883</v>
      </c>
      <c r="B2677" s="0" t="s">
        <v>154</v>
      </c>
      <c r="C2677" s="0" t="s">
        <v>705</v>
      </c>
      <c r="D2677" s="0" t="s">
        <v>120</v>
      </c>
      <c r="E2677" s="0" t="s">
        <v>1763</v>
      </c>
      <c r="F2677" s="0" t="n">
        <v>4</v>
      </c>
      <c r="G2677" s="0" t="n">
        <v>0</v>
      </c>
      <c r="H2677" s="0" t="s">
        <v>122</v>
      </c>
      <c r="K2677" s="0" t="s">
        <v>123</v>
      </c>
      <c r="L2677" s="0" t="s">
        <v>4157</v>
      </c>
    </row>
    <row r="2678" customFormat="false" ht="15" hidden="false" customHeight="false" outlineLevel="0" collapsed="false">
      <c r="A2678" s="0" t="s">
        <v>3883</v>
      </c>
      <c r="B2678" s="0" t="s">
        <v>154</v>
      </c>
      <c r="C2678" s="0" t="s">
        <v>705</v>
      </c>
      <c r="D2678" s="0" t="s">
        <v>125</v>
      </c>
      <c r="E2678" s="0" t="s">
        <v>1765</v>
      </c>
      <c r="F2678" s="0" t="n">
        <v>4</v>
      </c>
      <c r="G2678" s="0" t="n">
        <v>0</v>
      </c>
      <c r="H2678" s="0" t="s">
        <v>122</v>
      </c>
      <c r="K2678" s="0" t="s">
        <v>127</v>
      </c>
      <c r="L2678" s="0" t="s">
        <v>4158</v>
      </c>
    </row>
    <row r="2679" customFormat="false" ht="15" hidden="false" customHeight="false" outlineLevel="0" collapsed="false">
      <c r="A2679" s="0" t="s">
        <v>3883</v>
      </c>
      <c r="B2679" s="0" t="s">
        <v>154</v>
      </c>
      <c r="C2679" s="0" t="s">
        <v>705</v>
      </c>
      <c r="D2679" s="0" t="s">
        <v>53</v>
      </c>
      <c r="E2679" s="0" t="s">
        <v>1767</v>
      </c>
      <c r="F2679" s="0" t="n">
        <v>4</v>
      </c>
      <c r="G2679" s="0" t="n">
        <v>0</v>
      </c>
      <c r="H2679" s="0" t="s">
        <v>122</v>
      </c>
      <c r="K2679" s="0" t="s">
        <v>132</v>
      </c>
      <c r="L2679" s="0" t="s">
        <v>4159</v>
      </c>
    </row>
    <row r="2680" customFormat="false" ht="15" hidden="false" customHeight="false" outlineLevel="0" collapsed="false">
      <c r="A2680" s="0" t="s">
        <v>3883</v>
      </c>
      <c r="B2680" s="0" t="s">
        <v>154</v>
      </c>
      <c r="C2680" s="0" t="s">
        <v>705</v>
      </c>
      <c r="D2680" s="0" t="s">
        <v>56</v>
      </c>
      <c r="E2680" s="0" t="s">
        <v>1769</v>
      </c>
      <c r="F2680" s="0" t="n">
        <v>4</v>
      </c>
      <c r="G2680" s="0" t="n">
        <v>0</v>
      </c>
      <c r="H2680" s="0" t="s">
        <v>122</v>
      </c>
      <c r="K2680" s="0" t="s">
        <v>135</v>
      </c>
      <c r="L2680" s="0" t="s">
        <v>4160</v>
      </c>
    </row>
    <row r="2681" customFormat="false" ht="15" hidden="false" customHeight="false" outlineLevel="0" collapsed="false">
      <c r="A2681" s="0" t="s">
        <v>3883</v>
      </c>
      <c r="B2681" s="0" t="s">
        <v>154</v>
      </c>
      <c r="C2681" s="0" t="s">
        <v>705</v>
      </c>
      <c r="D2681" s="0" t="s">
        <v>59</v>
      </c>
      <c r="E2681" s="0" t="s">
        <v>1771</v>
      </c>
      <c r="F2681" s="0" t="n">
        <v>4</v>
      </c>
      <c r="G2681" s="0" t="n">
        <v>0</v>
      </c>
      <c r="H2681" s="0" t="s">
        <v>122</v>
      </c>
      <c r="K2681" s="0" t="s">
        <v>138</v>
      </c>
      <c r="L2681" s="0" t="s">
        <v>4161</v>
      </c>
    </row>
    <row r="2682" customFormat="false" ht="15" hidden="false" customHeight="false" outlineLevel="0" collapsed="false">
      <c r="A2682" s="0" t="s">
        <v>3883</v>
      </c>
      <c r="B2682" s="0" t="s">
        <v>154</v>
      </c>
      <c r="C2682" s="0" t="s">
        <v>705</v>
      </c>
      <c r="D2682" s="0" t="s">
        <v>67</v>
      </c>
      <c r="E2682" s="0" t="s">
        <v>1773</v>
      </c>
      <c r="F2682" s="0" t="n">
        <v>4</v>
      </c>
      <c r="G2682" s="0" t="n">
        <v>0</v>
      </c>
      <c r="H2682" s="0" t="s">
        <v>122</v>
      </c>
      <c r="K2682" s="0" t="s">
        <v>143</v>
      </c>
      <c r="L2682" s="0" t="s">
        <v>4162</v>
      </c>
    </row>
    <row r="2683" customFormat="false" ht="15" hidden="false" customHeight="false" outlineLevel="0" collapsed="false">
      <c r="A2683" s="0" t="s">
        <v>3883</v>
      </c>
      <c r="B2683" s="0" t="s">
        <v>154</v>
      </c>
      <c r="C2683" s="0" t="s">
        <v>705</v>
      </c>
      <c r="D2683" s="0" t="s">
        <v>70</v>
      </c>
      <c r="E2683" s="0" t="s">
        <v>1775</v>
      </c>
      <c r="F2683" s="0" t="n">
        <v>4</v>
      </c>
      <c r="G2683" s="0" t="n">
        <v>0</v>
      </c>
      <c r="H2683" s="0" t="s">
        <v>122</v>
      </c>
      <c r="K2683" s="0" t="s">
        <v>146</v>
      </c>
      <c r="L2683" s="0" t="s">
        <v>4163</v>
      </c>
    </row>
    <row r="2684" customFormat="false" ht="15" hidden="false" customHeight="false" outlineLevel="0" collapsed="false">
      <c r="A2684" s="0" t="s">
        <v>3883</v>
      </c>
      <c r="B2684" s="0" t="s">
        <v>154</v>
      </c>
      <c r="C2684" s="0" t="s">
        <v>705</v>
      </c>
      <c r="D2684" s="0" t="s">
        <v>73</v>
      </c>
      <c r="E2684" s="0" t="s">
        <v>1777</v>
      </c>
      <c r="F2684" s="0" t="n">
        <v>4</v>
      </c>
      <c r="G2684" s="0" t="n">
        <v>0</v>
      </c>
      <c r="H2684" s="0" t="s">
        <v>122</v>
      </c>
      <c r="I2684" s="0" t="s">
        <v>4078</v>
      </c>
      <c r="K2684" s="0" t="s">
        <v>149</v>
      </c>
      <c r="L2684" s="0" t="s">
        <v>4164</v>
      </c>
    </row>
    <row r="2685" customFormat="false" ht="15" hidden="false" customHeight="false" outlineLevel="0" collapsed="false">
      <c r="A2685" s="0" t="s">
        <v>3883</v>
      </c>
      <c r="B2685" s="0" t="s">
        <v>154</v>
      </c>
      <c r="C2685" s="0" t="s">
        <v>705</v>
      </c>
      <c r="D2685" s="0" t="s">
        <v>76</v>
      </c>
      <c r="E2685" s="0" t="s">
        <v>1779</v>
      </c>
      <c r="F2685" s="0" t="n">
        <v>4</v>
      </c>
      <c r="G2685" s="0" t="n">
        <v>0</v>
      </c>
      <c r="H2685" s="0" t="s">
        <v>122</v>
      </c>
      <c r="K2685" s="0" t="s">
        <v>152</v>
      </c>
      <c r="L2685" s="0" t="s">
        <v>4165</v>
      </c>
    </row>
    <row r="2686" customFormat="false" ht="15" hidden="false" customHeight="false" outlineLevel="0" collapsed="false">
      <c r="A2686" s="0" t="s">
        <v>3883</v>
      </c>
      <c r="B2686" s="0" t="s">
        <v>154</v>
      </c>
      <c r="C2686" s="0" t="s">
        <v>705</v>
      </c>
      <c r="D2686" s="0" t="s">
        <v>79</v>
      </c>
      <c r="E2686" s="0" t="s">
        <v>1781</v>
      </c>
      <c r="F2686" s="0" t="n">
        <v>4</v>
      </c>
      <c r="G2686" s="0" t="n">
        <v>1</v>
      </c>
      <c r="H2686" s="0" t="s">
        <v>122</v>
      </c>
      <c r="K2686" s="0" t="s">
        <v>156</v>
      </c>
      <c r="L2686" s="0" t="s">
        <v>4166</v>
      </c>
    </row>
    <row r="2687" customFormat="false" ht="15" hidden="false" customHeight="false" outlineLevel="0" collapsed="false">
      <c r="A2687" s="0" t="s">
        <v>3883</v>
      </c>
      <c r="B2687" s="0" t="s">
        <v>154</v>
      </c>
      <c r="C2687" s="0" t="s">
        <v>705</v>
      </c>
      <c r="D2687" s="0" t="s">
        <v>82</v>
      </c>
      <c r="E2687" s="0" t="s">
        <v>1783</v>
      </c>
      <c r="F2687" s="0" t="n">
        <v>4</v>
      </c>
      <c r="G2687" s="0" t="n">
        <v>2</v>
      </c>
      <c r="H2687" s="0" t="s">
        <v>122</v>
      </c>
      <c r="I2687" s="0" t="s">
        <v>4078</v>
      </c>
      <c r="K2687" s="0" t="s">
        <v>160</v>
      </c>
      <c r="L2687" s="0" t="s">
        <v>4167</v>
      </c>
    </row>
    <row r="2688" customFormat="false" ht="15" hidden="false" customHeight="false" outlineLevel="0" collapsed="false">
      <c r="A2688" s="0" t="s">
        <v>3883</v>
      </c>
      <c r="B2688" s="0" t="s">
        <v>154</v>
      </c>
      <c r="C2688" s="0" t="s">
        <v>730</v>
      </c>
      <c r="D2688" s="0" t="s">
        <v>115</v>
      </c>
      <c r="E2688" s="0" t="s">
        <v>1785</v>
      </c>
      <c r="F2688" s="0" t="n">
        <v>4</v>
      </c>
      <c r="G2688" s="0" t="n">
        <v>0</v>
      </c>
      <c r="H2688" s="0" t="s">
        <v>122</v>
      </c>
      <c r="K2688" s="0" t="s">
        <v>118</v>
      </c>
      <c r="L2688" s="0" t="s">
        <v>4168</v>
      </c>
    </row>
    <row r="2689" customFormat="false" ht="15" hidden="false" customHeight="false" outlineLevel="0" collapsed="false">
      <c r="A2689" s="0" t="s">
        <v>3883</v>
      </c>
      <c r="B2689" s="0" t="s">
        <v>154</v>
      </c>
      <c r="C2689" s="0" t="s">
        <v>730</v>
      </c>
      <c r="D2689" s="0" t="s">
        <v>120</v>
      </c>
      <c r="E2689" s="0" t="s">
        <v>1787</v>
      </c>
      <c r="F2689" s="0" t="n">
        <v>4</v>
      </c>
      <c r="G2689" s="0" t="n">
        <v>0</v>
      </c>
      <c r="H2689" s="0" t="s">
        <v>122</v>
      </c>
      <c r="K2689" s="0" t="s">
        <v>123</v>
      </c>
      <c r="L2689" s="0" t="s">
        <v>4169</v>
      </c>
    </row>
    <row r="2690" customFormat="false" ht="15" hidden="false" customHeight="false" outlineLevel="0" collapsed="false">
      <c r="A2690" s="0" t="s">
        <v>3883</v>
      </c>
      <c r="B2690" s="0" t="s">
        <v>154</v>
      </c>
      <c r="C2690" s="0" t="s">
        <v>730</v>
      </c>
      <c r="D2690" s="0" t="s">
        <v>125</v>
      </c>
      <c r="E2690" s="0" t="s">
        <v>1789</v>
      </c>
      <c r="F2690" s="0" t="n">
        <v>4</v>
      </c>
      <c r="G2690" s="0" t="n">
        <v>0</v>
      </c>
      <c r="H2690" s="0" t="s">
        <v>122</v>
      </c>
      <c r="K2690" s="0" t="s">
        <v>127</v>
      </c>
      <c r="L2690" s="0" t="s">
        <v>4170</v>
      </c>
    </row>
    <row r="2691" customFormat="false" ht="15" hidden="false" customHeight="false" outlineLevel="0" collapsed="false">
      <c r="A2691" s="0" t="s">
        <v>3883</v>
      </c>
      <c r="B2691" s="0" t="s">
        <v>154</v>
      </c>
      <c r="C2691" s="0" t="s">
        <v>730</v>
      </c>
      <c r="D2691" s="0" t="s">
        <v>53</v>
      </c>
      <c r="E2691" s="0" t="s">
        <v>1791</v>
      </c>
      <c r="F2691" s="0" t="n">
        <v>4</v>
      </c>
      <c r="G2691" s="0" t="n">
        <v>0</v>
      </c>
      <c r="H2691" s="0" t="s">
        <v>122</v>
      </c>
      <c r="K2691" s="0" t="s">
        <v>132</v>
      </c>
      <c r="L2691" s="0" t="s">
        <v>4171</v>
      </c>
    </row>
    <row r="2692" customFormat="false" ht="15" hidden="false" customHeight="false" outlineLevel="0" collapsed="false">
      <c r="A2692" s="0" t="s">
        <v>3883</v>
      </c>
      <c r="B2692" s="0" t="s">
        <v>154</v>
      </c>
      <c r="C2692" s="0" t="s">
        <v>730</v>
      </c>
      <c r="D2692" s="0" t="s">
        <v>56</v>
      </c>
      <c r="E2692" s="0" t="s">
        <v>1793</v>
      </c>
      <c r="F2692" s="0" t="n">
        <v>4</v>
      </c>
      <c r="G2692" s="0" t="n">
        <v>0</v>
      </c>
      <c r="H2692" s="0" t="s">
        <v>122</v>
      </c>
      <c r="K2692" s="0" t="s">
        <v>135</v>
      </c>
      <c r="L2692" s="0" t="s">
        <v>4172</v>
      </c>
    </row>
    <row r="2693" customFormat="false" ht="15" hidden="false" customHeight="false" outlineLevel="0" collapsed="false">
      <c r="A2693" s="0" t="s">
        <v>3883</v>
      </c>
      <c r="B2693" s="0" t="s">
        <v>154</v>
      </c>
      <c r="C2693" s="0" t="s">
        <v>730</v>
      </c>
      <c r="D2693" s="0" t="s">
        <v>59</v>
      </c>
      <c r="E2693" s="0" t="s">
        <v>1795</v>
      </c>
      <c r="F2693" s="0" t="n">
        <v>4</v>
      </c>
      <c r="G2693" s="0" t="n">
        <v>0</v>
      </c>
      <c r="H2693" s="0" t="s">
        <v>122</v>
      </c>
      <c r="K2693" s="0" t="s">
        <v>138</v>
      </c>
      <c r="L2693" s="0" t="s">
        <v>4173</v>
      </c>
    </row>
    <row r="2694" customFormat="false" ht="15" hidden="false" customHeight="false" outlineLevel="0" collapsed="false">
      <c r="A2694" s="0" t="s">
        <v>3883</v>
      </c>
      <c r="B2694" s="0" t="s">
        <v>154</v>
      </c>
      <c r="C2694" s="0" t="s">
        <v>730</v>
      </c>
      <c r="D2694" s="0" t="s">
        <v>67</v>
      </c>
      <c r="E2694" s="0" t="s">
        <v>1797</v>
      </c>
      <c r="F2694" s="0" t="n">
        <v>4</v>
      </c>
      <c r="G2694" s="0" t="n">
        <v>0</v>
      </c>
      <c r="H2694" s="0" t="s">
        <v>122</v>
      </c>
      <c r="K2694" s="0" t="s">
        <v>143</v>
      </c>
      <c r="L2694" s="0" t="s">
        <v>4174</v>
      </c>
    </row>
    <row r="2695" customFormat="false" ht="15" hidden="false" customHeight="false" outlineLevel="0" collapsed="false">
      <c r="A2695" s="0" t="s">
        <v>3883</v>
      </c>
      <c r="B2695" s="0" t="s">
        <v>154</v>
      </c>
      <c r="C2695" s="0" t="s">
        <v>730</v>
      </c>
      <c r="D2695" s="0" t="s">
        <v>70</v>
      </c>
      <c r="E2695" s="0" t="s">
        <v>1799</v>
      </c>
      <c r="F2695" s="0" t="n">
        <v>4</v>
      </c>
      <c r="G2695" s="0" t="n">
        <v>1</v>
      </c>
      <c r="H2695" s="0" t="s">
        <v>122</v>
      </c>
      <c r="I2695" s="0" t="s">
        <v>4070</v>
      </c>
      <c r="K2695" s="0" t="s">
        <v>146</v>
      </c>
      <c r="L2695" s="0" t="s">
        <v>4175</v>
      </c>
    </row>
    <row r="2696" customFormat="false" ht="15" hidden="false" customHeight="false" outlineLevel="0" collapsed="false">
      <c r="A2696" s="0" t="s">
        <v>3883</v>
      </c>
      <c r="B2696" s="0" t="s">
        <v>154</v>
      </c>
      <c r="C2696" s="0" t="s">
        <v>730</v>
      </c>
      <c r="D2696" s="0" t="s">
        <v>73</v>
      </c>
      <c r="E2696" s="0" t="s">
        <v>1801</v>
      </c>
      <c r="F2696" s="0" t="n">
        <v>4</v>
      </c>
      <c r="G2696" s="0" t="n">
        <v>0</v>
      </c>
      <c r="H2696" s="0" t="s">
        <v>122</v>
      </c>
      <c r="K2696" s="0" t="s">
        <v>149</v>
      </c>
      <c r="L2696" s="0" t="s">
        <v>4176</v>
      </c>
    </row>
    <row r="2697" customFormat="false" ht="15" hidden="false" customHeight="false" outlineLevel="0" collapsed="false">
      <c r="A2697" s="0" t="s">
        <v>3883</v>
      </c>
      <c r="B2697" s="0" t="s">
        <v>154</v>
      </c>
      <c r="C2697" s="0" t="s">
        <v>730</v>
      </c>
      <c r="D2697" s="0" t="s">
        <v>76</v>
      </c>
      <c r="E2697" s="0" t="s">
        <v>1803</v>
      </c>
      <c r="F2697" s="0" t="n">
        <v>4</v>
      </c>
      <c r="G2697" s="0" t="n">
        <v>0</v>
      </c>
      <c r="H2697" s="0" t="s">
        <v>122</v>
      </c>
      <c r="K2697" s="0" t="s">
        <v>152</v>
      </c>
      <c r="L2697" s="0" t="s">
        <v>4177</v>
      </c>
    </row>
    <row r="2698" customFormat="false" ht="15" hidden="false" customHeight="false" outlineLevel="0" collapsed="false">
      <c r="A2698" s="0" t="s">
        <v>3883</v>
      </c>
      <c r="B2698" s="0" t="s">
        <v>154</v>
      </c>
      <c r="C2698" s="0" t="s">
        <v>730</v>
      </c>
      <c r="D2698" s="0" t="s">
        <v>79</v>
      </c>
      <c r="E2698" s="0" t="s">
        <v>1805</v>
      </c>
      <c r="F2698" s="0" t="n">
        <v>4</v>
      </c>
      <c r="G2698" s="0" t="n">
        <v>1</v>
      </c>
      <c r="H2698" s="0" t="s">
        <v>122</v>
      </c>
      <c r="I2698" s="0" t="s">
        <v>4070</v>
      </c>
      <c r="K2698" s="0" t="s">
        <v>156</v>
      </c>
      <c r="L2698" s="0" t="s">
        <v>4178</v>
      </c>
    </row>
    <row r="2699" customFormat="false" ht="15" hidden="false" customHeight="false" outlineLevel="0" collapsed="false">
      <c r="A2699" s="0" t="s">
        <v>3883</v>
      </c>
      <c r="B2699" s="0" t="s">
        <v>154</v>
      </c>
      <c r="C2699" s="0" t="s">
        <v>730</v>
      </c>
      <c r="D2699" s="0" t="s">
        <v>82</v>
      </c>
      <c r="E2699" s="0" t="s">
        <v>1807</v>
      </c>
      <c r="F2699" s="0" t="n">
        <v>4</v>
      </c>
      <c r="G2699" s="0" t="n">
        <v>0</v>
      </c>
      <c r="H2699" s="0" t="s">
        <v>122</v>
      </c>
      <c r="K2699" s="0" t="s">
        <v>160</v>
      </c>
      <c r="L2699" s="0" t="s">
        <v>4179</v>
      </c>
    </row>
    <row r="2700" customFormat="false" ht="15" hidden="false" customHeight="false" outlineLevel="0" collapsed="false">
      <c r="A2700" s="0" t="s">
        <v>3883</v>
      </c>
      <c r="B2700" s="0" t="s">
        <v>154</v>
      </c>
      <c r="C2700" s="0" t="s">
        <v>755</v>
      </c>
      <c r="D2700" s="0" t="s">
        <v>115</v>
      </c>
      <c r="E2700" s="0" t="s">
        <v>1809</v>
      </c>
      <c r="F2700" s="0" t="n">
        <v>4</v>
      </c>
      <c r="G2700" s="0" t="n">
        <v>0</v>
      </c>
      <c r="H2700" s="0" t="s">
        <v>122</v>
      </c>
      <c r="K2700" s="0" t="s">
        <v>118</v>
      </c>
      <c r="L2700" s="0" t="s">
        <v>4180</v>
      </c>
    </row>
    <row r="2701" customFormat="false" ht="15" hidden="false" customHeight="false" outlineLevel="0" collapsed="false">
      <c r="A2701" s="0" t="s">
        <v>3883</v>
      </c>
      <c r="B2701" s="0" t="s">
        <v>154</v>
      </c>
      <c r="C2701" s="0" t="s">
        <v>755</v>
      </c>
      <c r="D2701" s="0" t="s">
        <v>120</v>
      </c>
      <c r="E2701" s="0" t="s">
        <v>1811</v>
      </c>
      <c r="F2701" s="0" t="n">
        <v>4</v>
      </c>
      <c r="G2701" s="0" t="n">
        <v>0</v>
      </c>
      <c r="H2701" s="0" t="s">
        <v>122</v>
      </c>
      <c r="K2701" s="0" t="s">
        <v>123</v>
      </c>
      <c r="L2701" s="0" t="s">
        <v>4181</v>
      </c>
    </row>
    <row r="2702" customFormat="false" ht="15" hidden="false" customHeight="false" outlineLevel="0" collapsed="false">
      <c r="A2702" s="0" t="s">
        <v>3883</v>
      </c>
      <c r="B2702" s="0" t="s">
        <v>154</v>
      </c>
      <c r="C2702" s="0" t="s">
        <v>755</v>
      </c>
      <c r="D2702" s="0" t="s">
        <v>125</v>
      </c>
      <c r="E2702" s="0" t="s">
        <v>1813</v>
      </c>
      <c r="F2702" s="0" t="n">
        <v>4</v>
      </c>
      <c r="G2702" s="0" t="n">
        <v>0</v>
      </c>
      <c r="H2702" s="0" t="s">
        <v>122</v>
      </c>
      <c r="K2702" s="0" t="s">
        <v>127</v>
      </c>
      <c r="L2702" s="0" t="s">
        <v>4182</v>
      </c>
    </row>
    <row r="2703" customFormat="false" ht="15" hidden="false" customHeight="false" outlineLevel="0" collapsed="false">
      <c r="A2703" s="0" t="s">
        <v>3883</v>
      </c>
      <c r="B2703" s="0" t="s">
        <v>154</v>
      </c>
      <c r="C2703" s="0" t="s">
        <v>755</v>
      </c>
      <c r="D2703" s="0" t="s">
        <v>53</v>
      </c>
      <c r="E2703" s="0" t="s">
        <v>1815</v>
      </c>
      <c r="F2703" s="0" t="n">
        <v>4</v>
      </c>
      <c r="G2703" s="0" t="n">
        <v>0</v>
      </c>
      <c r="H2703" s="0" t="s">
        <v>122</v>
      </c>
      <c r="K2703" s="0" t="s">
        <v>132</v>
      </c>
      <c r="L2703" s="0" t="s">
        <v>4183</v>
      </c>
    </row>
    <row r="2704" customFormat="false" ht="15" hidden="false" customHeight="false" outlineLevel="0" collapsed="false">
      <c r="A2704" s="0" t="s">
        <v>3883</v>
      </c>
      <c r="B2704" s="0" t="s">
        <v>154</v>
      </c>
      <c r="C2704" s="0" t="s">
        <v>755</v>
      </c>
      <c r="D2704" s="0" t="s">
        <v>56</v>
      </c>
      <c r="E2704" s="0" t="s">
        <v>1817</v>
      </c>
      <c r="F2704" s="0" t="n">
        <v>4</v>
      </c>
      <c r="G2704" s="0" t="n">
        <v>1</v>
      </c>
      <c r="H2704" s="0" t="s">
        <v>122</v>
      </c>
      <c r="I2704" s="0" t="s">
        <v>4078</v>
      </c>
      <c r="K2704" s="0" t="s">
        <v>135</v>
      </c>
      <c r="L2704" s="0" t="s">
        <v>4184</v>
      </c>
    </row>
    <row r="2705" customFormat="false" ht="15" hidden="false" customHeight="false" outlineLevel="0" collapsed="false">
      <c r="A2705" s="0" t="s">
        <v>3883</v>
      </c>
      <c r="B2705" s="0" t="s">
        <v>154</v>
      </c>
      <c r="C2705" s="0" t="s">
        <v>755</v>
      </c>
      <c r="D2705" s="0" t="s">
        <v>59</v>
      </c>
      <c r="E2705" s="0" t="s">
        <v>1819</v>
      </c>
      <c r="F2705" s="0" t="n">
        <v>4</v>
      </c>
      <c r="G2705" s="0" t="n">
        <v>0</v>
      </c>
      <c r="H2705" s="0" t="s">
        <v>122</v>
      </c>
      <c r="K2705" s="0" t="s">
        <v>138</v>
      </c>
      <c r="L2705" s="0" t="s">
        <v>4185</v>
      </c>
    </row>
    <row r="2706" customFormat="false" ht="15" hidden="false" customHeight="false" outlineLevel="0" collapsed="false">
      <c r="A2706" s="0" t="s">
        <v>3883</v>
      </c>
      <c r="B2706" s="0" t="s">
        <v>154</v>
      </c>
      <c r="C2706" s="0" t="s">
        <v>755</v>
      </c>
      <c r="D2706" s="0" t="s">
        <v>67</v>
      </c>
      <c r="E2706" s="0" t="s">
        <v>1821</v>
      </c>
      <c r="F2706" s="0" t="n">
        <v>4</v>
      </c>
      <c r="G2706" s="0" t="n">
        <v>1</v>
      </c>
      <c r="H2706" s="0" t="s">
        <v>122</v>
      </c>
      <c r="I2706" s="0" t="s">
        <v>3913</v>
      </c>
      <c r="K2706" s="0" t="s">
        <v>143</v>
      </c>
      <c r="L2706" s="0" t="s">
        <v>4186</v>
      </c>
    </row>
    <row r="2707" customFormat="false" ht="15" hidden="false" customHeight="false" outlineLevel="0" collapsed="false">
      <c r="A2707" s="0" t="s">
        <v>3883</v>
      </c>
      <c r="B2707" s="0" t="s">
        <v>154</v>
      </c>
      <c r="C2707" s="0" t="s">
        <v>755</v>
      </c>
      <c r="D2707" s="0" t="s">
        <v>70</v>
      </c>
      <c r="E2707" s="0" t="s">
        <v>1823</v>
      </c>
      <c r="F2707" s="0" t="n">
        <v>4</v>
      </c>
      <c r="G2707" s="0" t="n">
        <v>0</v>
      </c>
      <c r="H2707" s="0" t="s">
        <v>122</v>
      </c>
      <c r="K2707" s="0" t="s">
        <v>146</v>
      </c>
      <c r="L2707" s="0" t="s">
        <v>4187</v>
      </c>
    </row>
    <row r="2708" customFormat="false" ht="15" hidden="false" customHeight="false" outlineLevel="0" collapsed="false">
      <c r="A2708" s="0" t="s">
        <v>3883</v>
      </c>
      <c r="B2708" s="0" t="s">
        <v>154</v>
      </c>
      <c r="C2708" s="0" t="s">
        <v>755</v>
      </c>
      <c r="D2708" s="0" t="s">
        <v>73</v>
      </c>
      <c r="E2708" s="0" t="s">
        <v>1825</v>
      </c>
      <c r="F2708" s="0" t="n">
        <v>4</v>
      </c>
      <c r="G2708" s="0" t="n">
        <v>0</v>
      </c>
      <c r="H2708" s="0" t="s">
        <v>122</v>
      </c>
      <c r="K2708" s="0" t="s">
        <v>149</v>
      </c>
      <c r="L2708" s="0" t="s">
        <v>4188</v>
      </c>
    </row>
    <row r="2709" customFormat="false" ht="15" hidden="false" customHeight="false" outlineLevel="0" collapsed="false">
      <c r="A2709" s="0" t="s">
        <v>3883</v>
      </c>
      <c r="B2709" s="0" t="s">
        <v>154</v>
      </c>
      <c r="C2709" s="0" t="s">
        <v>755</v>
      </c>
      <c r="D2709" s="0" t="s">
        <v>76</v>
      </c>
      <c r="E2709" s="0" t="s">
        <v>1827</v>
      </c>
      <c r="F2709" s="0" t="n">
        <v>4</v>
      </c>
      <c r="G2709" s="0" t="n">
        <v>1</v>
      </c>
      <c r="H2709" s="0" t="s">
        <v>122</v>
      </c>
      <c r="I2709" s="0" t="s">
        <v>4116</v>
      </c>
      <c r="K2709" s="0" t="s">
        <v>152</v>
      </c>
      <c r="L2709" s="0" t="s">
        <v>4189</v>
      </c>
    </row>
    <row r="2710" customFormat="false" ht="15" hidden="false" customHeight="false" outlineLevel="0" collapsed="false">
      <c r="A2710" s="0" t="s">
        <v>3883</v>
      </c>
      <c r="B2710" s="0" t="s">
        <v>154</v>
      </c>
      <c r="C2710" s="0" t="s">
        <v>755</v>
      </c>
      <c r="D2710" s="0" t="s">
        <v>79</v>
      </c>
      <c r="E2710" s="0" t="s">
        <v>1829</v>
      </c>
      <c r="F2710" s="0" t="n">
        <v>4</v>
      </c>
      <c r="G2710" s="0" t="n">
        <v>0</v>
      </c>
      <c r="H2710" s="0" t="s">
        <v>122</v>
      </c>
      <c r="K2710" s="0" t="s">
        <v>156</v>
      </c>
      <c r="L2710" s="0" t="s">
        <v>4190</v>
      </c>
    </row>
    <row r="2711" customFormat="false" ht="15" hidden="false" customHeight="false" outlineLevel="0" collapsed="false">
      <c r="A2711" s="0" t="s">
        <v>3883</v>
      </c>
      <c r="B2711" s="0" t="s">
        <v>154</v>
      </c>
      <c r="C2711" s="0" t="s">
        <v>755</v>
      </c>
      <c r="D2711" s="0" t="s">
        <v>82</v>
      </c>
      <c r="E2711" s="0" t="s">
        <v>1831</v>
      </c>
      <c r="F2711" s="0" t="n">
        <v>4</v>
      </c>
      <c r="G2711" s="0" t="n">
        <v>0</v>
      </c>
      <c r="H2711" s="0" t="s">
        <v>122</v>
      </c>
      <c r="K2711" s="0" t="s">
        <v>160</v>
      </c>
      <c r="L2711" s="0" t="s">
        <v>4191</v>
      </c>
    </row>
    <row r="2712" customFormat="false" ht="15" hidden="false" customHeight="false" outlineLevel="0" collapsed="false">
      <c r="A2712" s="0" t="s">
        <v>3883</v>
      </c>
      <c r="B2712" s="0" t="s">
        <v>154</v>
      </c>
      <c r="C2712" s="0" t="s">
        <v>780</v>
      </c>
      <c r="D2712" s="0" t="s">
        <v>115</v>
      </c>
      <c r="E2712" s="0" t="s">
        <v>1833</v>
      </c>
      <c r="F2712" s="0" t="n">
        <v>4</v>
      </c>
      <c r="G2712" s="0" t="n">
        <v>0</v>
      </c>
      <c r="H2712" s="0" t="s">
        <v>122</v>
      </c>
      <c r="K2712" s="0" t="s">
        <v>118</v>
      </c>
      <c r="L2712" s="0" t="s">
        <v>4192</v>
      </c>
    </row>
    <row r="2713" customFormat="false" ht="15" hidden="false" customHeight="false" outlineLevel="0" collapsed="false">
      <c r="A2713" s="0" t="s">
        <v>3883</v>
      </c>
      <c r="B2713" s="0" t="s">
        <v>154</v>
      </c>
      <c r="C2713" s="0" t="s">
        <v>780</v>
      </c>
      <c r="D2713" s="0" t="s">
        <v>120</v>
      </c>
      <c r="E2713" s="0" t="s">
        <v>1835</v>
      </c>
      <c r="F2713" s="0" t="n">
        <v>4</v>
      </c>
      <c r="G2713" s="0" t="n">
        <v>0</v>
      </c>
      <c r="H2713" s="0" t="s">
        <v>122</v>
      </c>
      <c r="K2713" s="0" t="s">
        <v>123</v>
      </c>
      <c r="L2713" s="0" t="s">
        <v>4193</v>
      </c>
    </row>
    <row r="2714" customFormat="false" ht="15" hidden="false" customHeight="false" outlineLevel="0" collapsed="false">
      <c r="A2714" s="0" t="s">
        <v>3883</v>
      </c>
      <c r="B2714" s="0" t="s">
        <v>154</v>
      </c>
      <c r="C2714" s="0" t="s">
        <v>780</v>
      </c>
      <c r="D2714" s="0" t="s">
        <v>125</v>
      </c>
      <c r="E2714" s="0" t="s">
        <v>1837</v>
      </c>
      <c r="F2714" s="0" t="n">
        <v>4</v>
      </c>
      <c r="G2714" s="0" t="n">
        <v>0</v>
      </c>
      <c r="H2714" s="0" t="s">
        <v>122</v>
      </c>
      <c r="K2714" s="0" t="s">
        <v>127</v>
      </c>
      <c r="L2714" s="0" t="s">
        <v>4194</v>
      </c>
    </row>
    <row r="2715" customFormat="false" ht="15" hidden="false" customHeight="false" outlineLevel="0" collapsed="false">
      <c r="A2715" s="0" t="s">
        <v>3883</v>
      </c>
      <c r="B2715" s="0" t="s">
        <v>154</v>
      </c>
      <c r="C2715" s="0" t="s">
        <v>780</v>
      </c>
      <c r="D2715" s="0" t="s">
        <v>53</v>
      </c>
      <c r="E2715" s="0" t="s">
        <v>1839</v>
      </c>
      <c r="F2715" s="0" t="n">
        <v>4</v>
      </c>
      <c r="G2715" s="0" t="n">
        <v>0</v>
      </c>
      <c r="H2715" s="0" t="s">
        <v>122</v>
      </c>
      <c r="K2715" s="0" t="s">
        <v>132</v>
      </c>
      <c r="L2715" s="0" t="s">
        <v>4195</v>
      </c>
    </row>
    <row r="2716" customFormat="false" ht="15" hidden="false" customHeight="false" outlineLevel="0" collapsed="false">
      <c r="A2716" s="0" t="s">
        <v>3883</v>
      </c>
      <c r="B2716" s="0" t="s">
        <v>154</v>
      </c>
      <c r="C2716" s="0" t="s">
        <v>780</v>
      </c>
      <c r="D2716" s="0" t="s">
        <v>56</v>
      </c>
      <c r="E2716" s="0" t="s">
        <v>1841</v>
      </c>
      <c r="F2716" s="0" t="n">
        <v>4</v>
      </c>
      <c r="G2716" s="0" t="n">
        <v>0</v>
      </c>
      <c r="H2716" s="0" t="s">
        <v>122</v>
      </c>
      <c r="K2716" s="0" t="s">
        <v>135</v>
      </c>
      <c r="L2716" s="0" t="s">
        <v>4196</v>
      </c>
    </row>
    <row r="2717" customFormat="false" ht="15" hidden="false" customHeight="false" outlineLevel="0" collapsed="false">
      <c r="A2717" s="0" t="s">
        <v>3883</v>
      </c>
      <c r="B2717" s="0" t="s">
        <v>154</v>
      </c>
      <c r="C2717" s="0" t="s">
        <v>780</v>
      </c>
      <c r="D2717" s="0" t="s">
        <v>59</v>
      </c>
      <c r="E2717" s="0" t="s">
        <v>1843</v>
      </c>
      <c r="F2717" s="0" t="n">
        <v>4</v>
      </c>
      <c r="G2717" s="0" t="n">
        <v>0</v>
      </c>
      <c r="H2717" s="0" t="s">
        <v>122</v>
      </c>
      <c r="K2717" s="0" t="s">
        <v>138</v>
      </c>
      <c r="L2717" s="0" t="s">
        <v>4197</v>
      </c>
    </row>
    <row r="2718" customFormat="false" ht="15" hidden="false" customHeight="false" outlineLevel="0" collapsed="false">
      <c r="A2718" s="0" t="s">
        <v>3883</v>
      </c>
      <c r="B2718" s="0" t="s">
        <v>154</v>
      </c>
      <c r="C2718" s="0" t="s">
        <v>780</v>
      </c>
      <c r="D2718" s="0" t="s">
        <v>67</v>
      </c>
      <c r="E2718" s="0" t="s">
        <v>1845</v>
      </c>
      <c r="F2718" s="0" t="n">
        <v>4</v>
      </c>
      <c r="G2718" s="0" t="n">
        <v>0</v>
      </c>
      <c r="H2718" s="0" t="s">
        <v>122</v>
      </c>
      <c r="K2718" s="0" t="s">
        <v>143</v>
      </c>
      <c r="L2718" s="0" t="s">
        <v>4198</v>
      </c>
    </row>
    <row r="2719" customFormat="false" ht="15" hidden="false" customHeight="false" outlineLevel="0" collapsed="false">
      <c r="A2719" s="0" t="s">
        <v>3883</v>
      </c>
      <c r="B2719" s="0" t="s">
        <v>154</v>
      </c>
      <c r="C2719" s="0" t="s">
        <v>780</v>
      </c>
      <c r="D2719" s="0" t="s">
        <v>70</v>
      </c>
      <c r="E2719" s="0" t="s">
        <v>1847</v>
      </c>
      <c r="F2719" s="0" t="n">
        <v>4</v>
      </c>
      <c r="G2719" s="0" t="n">
        <v>1</v>
      </c>
      <c r="H2719" s="0" t="s">
        <v>122</v>
      </c>
      <c r="I2719" s="0" t="s">
        <v>4116</v>
      </c>
      <c r="K2719" s="0" t="s">
        <v>146</v>
      </c>
      <c r="L2719" s="0" t="s">
        <v>4199</v>
      </c>
    </row>
    <row r="2720" customFormat="false" ht="15" hidden="false" customHeight="false" outlineLevel="0" collapsed="false">
      <c r="A2720" s="0" t="s">
        <v>3883</v>
      </c>
      <c r="B2720" s="0" t="s">
        <v>154</v>
      </c>
      <c r="C2720" s="0" t="s">
        <v>780</v>
      </c>
      <c r="D2720" s="0" t="s">
        <v>73</v>
      </c>
      <c r="E2720" s="0" t="s">
        <v>1849</v>
      </c>
      <c r="F2720" s="0" t="n">
        <v>4</v>
      </c>
      <c r="G2720" s="0" t="n">
        <v>0</v>
      </c>
      <c r="H2720" s="0" t="s">
        <v>122</v>
      </c>
      <c r="K2720" s="0" t="s">
        <v>149</v>
      </c>
      <c r="L2720" s="0" t="s">
        <v>4200</v>
      </c>
    </row>
    <row r="2721" customFormat="false" ht="15" hidden="false" customHeight="false" outlineLevel="0" collapsed="false">
      <c r="A2721" s="0" t="s">
        <v>3883</v>
      </c>
      <c r="B2721" s="0" t="s">
        <v>154</v>
      </c>
      <c r="C2721" s="0" t="s">
        <v>780</v>
      </c>
      <c r="D2721" s="0" t="s">
        <v>76</v>
      </c>
      <c r="E2721" s="0" t="s">
        <v>1851</v>
      </c>
      <c r="F2721" s="0" t="n">
        <v>4</v>
      </c>
      <c r="G2721" s="0" t="n">
        <v>4</v>
      </c>
      <c r="H2721" s="0" t="s">
        <v>117</v>
      </c>
      <c r="I2721" s="0" t="s">
        <v>4108</v>
      </c>
      <c r="K2721" s="0" t="s">
        <v>152</v>
      </c>
      <c r="L2721" s="0" t="s">
        <v>4201</v>
      </c>
    </row>
    <row r="2722" customFormat="false" ht="15" hidden="false" customHeight="false" outlineLevel="0" collapsed="false">
      <c r="A2722" s="0" t="s">
        <v>3883</v>
      </c>
      <c r="B2722" s="0" t="s">
        <v>154</v>
      </c>
      <c r="C2722" s="0" t="s">
        <v>780</v>
      </c>
      <c r="D2722" s="0" t="s">
        <v>79</v>
      </c>
      <c r="E2722" s="0" t="s">
        <v>1853</v>
      </c>
      <c r="F2722" s="0" t="n">
        <v>4</v>
      </c>
      <c r="G2722" s="0" t="n">
        <v>1</v>
      </c>
      <c r="H2722" s="0" t="s">
        <v>122</v>
      </c>
      <c r="I2722" s="0" t="s">
        <v>4116</v>
      </c>
      <c r="K2722" s="0" t="s">
        <v>156</v>
      </c>
      <c r="L2722" s="0" t="s">
        <v>4202</v>
      </c>
    </row>
    <row r="2723" customFormat="false" ht="15" hidden="false" customHeight="false" outlineLevel="0" collapsed="false">
      <c r="A2723" s="0" t="s">
        <v>3883</v>
      </c>
      <c r="B2723" s="0" t="s">
        <v>154</v>
      </c>
      <c r="C2723" s="0" t="s">
        <v>780</v>
      </c>
      <c r="D2723" s="0" t="s">
        <v>82</v>
      </c>
      <c r="E2723" s="0" t="s">
        <v>1855</v>
      </c>
      <c r="F2723" s="0" t="n">
        <v>4</v>
      </c>
      <c r="G2723" s="0" t="n">
        <v>0</v>
      </c>
      <c r="H2723" s="0" t="s">
        <v>122</v>
      </c>
      <c r="K2723" s="0" t="s">
        <v>160</v>
      </c>
      <c r="L2723" s="0" t="s">
        <v>4203</v>
      </c>
    </row>
    <row r="2724" customFormat="false" ht="15" hidden="false" customHeight="false" outlineLevel="0" collapsed="false">
      <c r="A2724" s="0" t="s">
        <v>3883</v>
      </c>
      <c r="B2724" s="0" t="s">
        <v>154</v>
      </c>
      <c r="C2724" s="0" t="s">
        <v>805</v>
      </c>
      <c r="D2724" s="0" t="s">
        <v>115</v>
      </c>
      <c r="E2724" s="0" t="s">
        <v>1857</v>
      </c>
      <c r="F2724" s="0" t="n">
        <v>4</v>
      </c>
      <c r="G2724" s="0" t="n">
        <v>0</v>
      </c>
      <c r="H2724" s="0" t="s">
        <v>122</v>
      </c>
      <c r="K2724" s="0" t="s">
        <v>118</v>
      </c>
      <c r="L2724" s="0" t="s">
        <v>4204</v>
      </c>
    </row>
    <row r="2725" customFormat="false" ht="15" hidden="false" customHeight="false" outlineLevel="0" collapsed="false">
      <c r="A2725" s="0" t="s">
        <v>3883</v>
      </c>
      <c r="B2725" s="0" t="s">
        <v>154</v>
      </c>
      <c r="C2725" s="0" t="s">
        <v>805</v>
      </c>
      <c r="D2725" s="0" t="s">
        <v>120</v>
      </c>
      <c r="E2725" s="0" t="s">
        <v>1859</v>
      </c>
      <c r="F2725" s="0" t="n">
        <v>4</v>
      </c>
      <c r="G2725" s="0" t="n">
        <v>0</v>
      </c>
      <c r="H2725" s="0" t="s">
        <v>122</v>
      </c>
      <c r="K2725" s="0" t="s">
        <v>123</v>
      </c>
      <c r="L2725" s="0" t="s">
        <v>4205</v>
      </c>
    </row>
    <row r="2726" customFormat="false" ht="15" hidden="false" customHeight="false" outlineLevel="0" collapsed="false">
      <c r="A2726" s="0" t="s">
        <v>3883</v>
      </c>
      <c r="B2726" s="0" t="s">
        <v>154</v>
      </c>
      <c r="C2726" s="0" t="s">
        <v>805</v>
      </c>
      <c r="D2726" s="0" t="s">
        <v>125</v>
      </c>
      <c r="E2726" s="0" t="s">
        <v>1861</v>
      </c>
      <c r="F2726" s="0" t="n">
        <v>4</v>
      </c>
      <c r="G2726" s="0" t="n">
        <v>0</v>
      </c>
      <c r="H2726" s="0" t="s">
        <v>122</v>
      </c>
      <c r="K2726" s="0" t="s">
        <v>127</v>
      </c>
      <c r="L2726" s="0" t="s">
        <v>4206</v>
      </c>
    </row>
    <row r="2727" customFormat="false" ht="15" hidden="false" customHeight="false" outlineLevel="0" collapsed="false">
      <c r="A2727" s="0" t="s">
        <v>3883</v>
      </c>
      <c r="B2727" s="0" t="s">
        <v>154</v>
      </c>
      <c r="C2727" s="0" t="s">
        <v>805</v>
      </c>
      <c r="D2727" s="0" t="s">
        <v>53</v>
      </c>
      <c r="E2727" s="0" t="s">
        <v>1863</v>
      </c>
      <c r="F2727" s="0" t="n">
        <v>4</v>
      </c>
      <c r="G2727" s="0" t="n">
        <v>0</v>
      </c>
      <c r="H2727" s="0" t="s">
        <v>122</v>
      </c>
      <c r="K2727" s="0" t="s">
        <v>132</v>
      </c>
      <c r="L2727" s="0" t="s">
        <v>4207</v>
      </c>
    </row>
    <row r="2728" customFormat="false" ht="15" hidden="false" customHeight="false" outlineLevel="0" collapsed="false">
      <c r="A2728" s="0" t="s">
        <v>3883</v>
      </c>
      <c r="B2728" s="0" t="s">
        <v>154</v>
      </c>
      <c r="C2728" s="0" t="s">
        <v>805</v>
      </c>
      <c r="D2728" s="0" t="s">
        <v>56</v>
      </c>
      <c r="E2728" s="0" t="s">
        <v>1865</v>
      </c>
      <c r="F2728" s="0" t="n">
        <v>4</v>
      </c>
      <c r="G2728" s="0" t="n">
        <v>0</v>
      </c>
      <c r="H2728" s="0" t="s">
        <v>122</v>
      </c>
      <c r="K2728" s="0" t="s">
        <v>135</v>
      </c>
      <c r="L2728" s="0" t="s">
        <v>4208</v>
      </c>
    </row>
    <row r="2729" customFormat="false" ht="15" hidden="false" customHeight="false" outlineLevel="0" collapsed="false">
      <c r="A2729" s="0" t="s">
        <v>3883</v>
      </c>
      <c r="B2729" s="0" t="s">
        <v>154</v>
      </c>
      <c r="C2729" s="0" t="s">
        <v>805</v>
      </c>
      <c r="D2729" s="0" t="s">
        <v>59</v>
      </c>
      <c r="E2729" s="0" t="s">
        <v>1867</v>
      </c>
      <c r="F2729" s="0" t="n">
        <v>4</v>
      </c>
      <c r="G2729" s="0" t="n">
        <v>0</v>
      </c>
      <c r="H2729" s="0" t="s">
        <v>122</v>
      </c>
      <c r="K2729" s="0" t="s">
        <v>138</v>
      </c>
      <c r="L2729" s="0" t="s">
        <v>4209</v>
      </c>
    </row>
    <row r="2730" customFormat="false" ht="15" hidden="false" customHeight="false" outlineLevel="0" collapsed="false">
      <c r="A2730" s="0" t="s">
        <v>3883</v>
      </c>
      <c r="B2730" s="0" t="s">
        <v>154</v>
      </c>
      <c r="C2730" s="0" t="s">
        <v>805</v>
      </c>
      <c r="D2730" s="0" t="s">
        <v>67</v>
      </c>
      <c r="E2730" s="0" t="s">
        <v>1869</v>
      </c>
      <c r="F2730" s="0" t="n">
        <v>4</v>
      </c>
      <c r="G2730" s="0" t="n">
        <v>2</v>
      </c>
      <c r="H2730" s="0" t="s">
        <v>122</v>
      </c>
      <c r="I2730" s="0" t="s">
        <v>4108</v>
      </c>
      <c r="K2730" s="0" t="s">
        <v>143</v>
      </c>
      <c r="L2730" s="0" t="s">
        <v>4210</v>
      </c>
    </row>
    <row r="2731" customFormat="false" ht="15" hidden="false" customHeight="false" outlineLevel="0" collapsed="false">
      <c r="A2731" s="0" t="s">
        <v>3883</v>
      </c>
      <c r="B2731" s="0" t="s">
        <v>154</v>
      </c>
      <c r="C2731" s="0" t="s">
        <v>805</v>
      </c>
      <c r="D2731" s="0" t="s">
        <v>70</v>
      </c>
      <c r="E2731" s="0" t="s">
        <v>1871</v>
      </c>
      <c r="F2731" s="0" t="n">
        <v>4</v>
      </c>
      <c r="G2731" s="0" t="n">
        <v>2</v>
      </c>
      <c r="H2731" s="0" t="s">
        <v>122</v>
      </c>
      <c r="I2731" s="0" t="s">
        <v>4108</v>
      </c>
      <c r="K2731" s="0" t="s">
        <v>146</v>
      </c>
      <c r="L2731" s="0" t="s">
        <v>4211</v>
      </c>
    </row>
    <row r="2732" customFormat="false" ht="15" hidden="false" customHeight="false" outlineLevel="0" collapsed="false">
      <c r="A2732" s="0" t="s">
        <v>3883</v>
      </c>
      <c r="B2732" s="0" t="s">
        <v>154</v>
      </c>
      <c r="C2732" s="0" t="s">
        <v>805</v>
      </c>
      <c r="D2732" s="0" t="s">
        <v>73</v>
      </c>
      <c r="E2732" s="0" t="s">
        <v>1873</v>
      </c>
      <c r="F2732" s="0" t="n">
        <v>4</v>
      </c>
      <c r="G2732" s="0" t="n">
        <v>3</v>
      </c>
      <c r="H2732" s="0" t="s">
        <v>122</v>
      </c>
      <c r="I2732" s="0" t="s">
        <v>4070</v>
      </c>
      <c r="K2732" s="0" t="s">
        <v>149</v>
      </c>
      <c r="L2732" s="0" t="s">
        <v>4212</v>
      </c>
    </row>
    <row r="2733" customFormat="false" ht="15" hidden="false" customHeight="false" outlineLevel="0" collapsed="false">
      <c r="A2733" s="0" t="s">
        <v>3883</v>
      </c>
      <c r="B2733" s="0" t="s">
        <v>154</v>
      </c>
      <c r="C2733" s="0" t="s">
        <v>805</v>
      </c>
      <c r="D2733" s="0" t="s">
        <v>76</v>
      </c>
      <c r="E2733" s="0" t="s">
        <v>1875</v>
      </c>
      <c r="F2733" s="0" t="n">
        <v>4</v>
      </c>
      <c r="G2733" s="0" t="n">
        <v>4</v>
      </c>
      <c r="H2733" s="0" t="s">
        <v>117</v>
      </c>
      <c r="I2733" s="0" t="s">
        <v>4070</v>
      </c>
      <c r="K2733" s="0" t="s">
        <v>152</v>
      </c>
      <c r="L2733" s="0" t="s">
        <v>4213</v>
      </c>
    </row>
    <row r="2734" customFormat="false" ht="15" hidden="false" customHeight="false" outlineLevel="0" collapsed="false">
      <c r="A2734" s="0" t="s">
        <v>3883</v>
      </c>
      <c r="B2734" s="0" t="s">
        <v>154</v>
      </c>
      <c r="C2734" s="0" t="s">
        <v>805</v>
      </c>
      <c r="D2734" s="0" t="s">
        <v>79</v>
      </c>
      <c r="E2734" s="0" t="s">
        <v>1877</v>
      </c>
      <c r="F2734" s="0" t="n">
        <v>4</v>
      </c>
      <c r="G2734" s="0" t="n">
        <v>4</v>
      </c>
      <c r="H2734" s="0" t="s">
        <v>117</v>
      </c>
      <c r="I2734" s="0" t="s">
        <v>4108</v>
      </c>
      <c r="K2734" s="0" t="s">
        <v>156</v>
      </c>
      <c r="L2734" s="0" t="s">
        <v>4214</v>
      </c>
    </row>
    <row r="2735" customFormat="false" ht="15" hidden="false" customHeight="false" outlineLevel="0" collapsed="false">
      <c r="A2735" s="0" t="s">
        <v>3883</v>
      </c>
      <c r="B2735" s="0" t="s">
        <v>154</v>
      </c>
      <c r="C2735" s="0" t="s">
        <v>805</v>
      </c>
      <c r="D2735" s="0" t="s">
        <v>82</v>
      </c>
      <c r="E2735" s="0" t="s">
        <v>1879</v>
      </c>
      <c r="F2735" s="0" t="n">
        <v>4</v>
      </c>
      <c r="G2735" s="0" t="n">
        <v>3</v>
      </c>
      <c r="H2735" s="0" t="s">
        <v>122</v>
      </c>
      <c r="I2735" s="0" t="s">
        <v>4116</v>
      </c>
      <c r="K2735" s="0" t="s">
        <v>160</v>
      </c>
      <c r="L2735" s="0" t="s">
        <v>4215</v>
      </c>
    </row>
    <row r="2736" customFormat="false" ht="15" hidden="false" customHeight="false" outlineLevel="0" collapsed="false">
      <c r="A2736" s="0" t="s">
        <v>3883</v>
      </c>
      <c r="B2736" s="0" t="s">
        <v>154</v>
      </c>
      <c r="C2736" s="0" t="s">
        <v>830</v>
      </c>
      <c r="D2736" s="0" t="s">
        <v>115</v>
      </c>
      <c r="E2736" s="0" t="s">
        <v>1881</v>
      </c>
      <c r="F2736" s="0" t="n">
        <v>4</v>
      </c>
      <c r="G2736" s="0" t="n">
        <v>0</v>
      </c>
      <c r="H2736" s="0" t="s">
        <v>122</v>
      </c>
      <c r="K2736" s="0" t="s">
        <v>118</v>
      </c>
      <c r="L2736" s="0" t="s">
        <v>4216</v>
      </c>
    </row>
    <row r="2737" customFormat="false" ht="15" hidden="false" customHeight="false" outlineLevel="0" collapsed="false">
      <c r="A2737" s="0" t="s">
        <v>3883</v>
      </c>
      <c r="B2737" s="0" t="s">
        <v>154</v>
      </c>
      <c r="C2737" s="0" t="s">
        <v>830</v>
      </c>
      <c r="D2737" s="0" t="s">
        <v>120</v>
      </c>
      <c r="E2737" s="0" t="s">
        <v>1883</v>
      </c>
      <c r="F2737" s="0" t="n">
        <v>4</v>
      </c>
      <c r="G2737" s="0" t="n">
        <v>4</v>
      </c>
      <c r="H2737" s="0" t="s">
        <v>117</v>
      </c>
      <c r="I2737" s="0" t="s">
        <v>4078</v>
      </c>
      <c r="K2737" s="0" t="s">
        <v>123</v>
      </c>
      <c r="L2737" s="0" t="s">
        <v>4217</v>
      </c>
    </row>
    <row r="2738" customFormat="false" ht="15" hidden="false" customHeight="false" outlineLevel="0" collapsed="false">
      <c r="A2738" s="0" t="s">
        <v>3883</v>
      </c>
      <c r="B2738" s="0" t="s">
        <v>154</v>
      </c>
      <c r="C2738" s="0" t="s">
        <v>830</v>
      </c>
      <c r="D2738" s="0" t="s">
        <v>125</v>
      </c>
      <c r="E2738" s="0" t="s">
        <v>1885</v>
      </c>
      <c r="F2738" s="0" t="n">
        <v>4</v>
      </c>
      <c r="G2738" s="0" t="n">
        <v>1</v>
      </c>
      <c r="H2738" s="0" t="s">
        <v>122</v>
      </c>
      <c r="I2738" s="0" t="s">
        <v>4108</v>
      </c>
      <c r="K2738" s="0" t="s">
        <v>127</v>
      </c>
      <c r="L2738" s="0" t="s">
        <v>4218</v>
      </c>
    </row>
    <row r="2739" customFormat="false" ht="15" hidden="false" customHeight="false" outlineLevel="0" collapsed="false">
      <c r="A2739" s="0" t="s">
        <v>3883</v>
      </c>
      <c r="B2739" s="0" t="s">
        <v>154</v>
      </c>
      <c r="C2739" s="0" t="s">
        <v>830</v>
      </c>
      <c r="D2739" s="0" t="s">
        <v>53</v>
      </c>
      <c r="E2739" s="0" t="s">
        <v>1887</v>
      </c>
      <c r="F2739" s="0" t="n">
        <v>4</v>
      </c>
      <c r="G2739" s="0" t="n">
        <v>0</v>
      </c>
      <c r="H2739" s="0" t="s">
        <v>122</v>
      </c>
      <c r="K2739" s="0" t="s">
        <v>132</v>
      </c>
      <c r="L2739" s="0" t="s">
        <v>4219</v>
      </c>
    </row>
    <row r="2740" customFormat="false" ht="15" hidden="false" customHeight="false" outlineLevel="0" collapsed="false">
      <c r="A2740" s="0" t="s">
        <v>3883</v>
      </c>
      <c r="B2740" s="0" t="s">
        <v>154</v>
      </c>
      <c r="C2740" s="0" t="s">
        <v>830</v>
      </c>
      <c r="D2740" s="0" t="s">
        <v>56</v>
      </c>
      <c r="E2740" s="0" t="s">
        <v>1889</v>
      </c>
      <c r="F2740" s="0" t="n">
        <v>4</v>
      </c>
      <c r="G2740" s="0" t="n">
        <v>3</v>
      </c>
      <c r="H2740" s="0" t="s">
        <v>122</v>
      </c>
      <c r="I2740" s="0" t="s">
        <v>4116</v>
      </c>
      <c r="K2740" s="0" t="s">
        <v>135</v>
      </c>
      <c r="L2740" s="0" t="s">
        <v>4220</v>
      </c>
    </row>
    <row r="2741" customFormat="false" ht="15" hidden="false" customHeight="false" outlineLevel="0" collapsed="false">
      <c r="A2741" s="0" t="s">
        <v>3883</v>
      </c>
      <c r="B2741" s="0" t="s">
        <v>154</v>
      </c>
      <c r="C2741" s="0" t="s">
        <v>830</v>
      </c>
      <c r="D2741" s="0" t="s">
        <v>59</v>
      </c>
      <c r="E2741" s="0" t="s">
        <v>1891</v>
      </c>
      <c r="F2741" s="0" t="n">
        <v>4</v>
      </c>
      <c r="G2741" s="0" t="n">
        <v>0</v>
      </c>
      <c r="H2741" s="0" t="s">
        <v>122</v>
      </c>
      <c r="K2741" s="0" t="s">
        <v>138</v>
      </c>
      <c r="L2741" s="0" t="s">
        <v>4221</v>
      </c>
    </row>
    <row r="2742" customFormat="false" ht="15" hidden="false" customHeight="false" outlineLevel="0" collapsed="false">
      <c r="A2742" s="0" t="s">
        <v>3883</v>
      </c>
      <c r="B2742" s="0" t="s">
        <v>154</v>
      </c>
      <c r="C2742" s="0" t="s">
        <v>830</v>
      </c>
      <c r="D2742" s="0" t="s">
        <v>67</v>
      </c>
      <c r="E2742" s="0" t="s">
        <v>1893</v>
      </c>
      <c r="F2742" s="0" t="n">
        <v>4</v>
      </c>
      <c r="G2742" s="0" t="n">
        <v>3</v>
      </c>
      <c r="H2742" s="0" t="s">
        <v>122</v>
      </c>
      <c r="I2742" s="0" t="s">
        <v>4078</v>
      </c>
      <c r="K2742" s="0" t="s">
        <v>143</v>
      </c>
      <c r="L2742" s="0" t="s">
        <v>4222</v>
      </c>
    </row>
    <row r="2743" customFormat="false" ht="15" hidden="false" customHeight="false" outlineLevel="0" collapsed="false">
      <c r="A2743" s="0" t="s">
        <v>3883</v>
      </c>
      <c r="B2743" s="0" t="s">
        <v>154</v>
      </c>
      <c r="C2743" s="0" t="s">
        <v>830</v>
      </c>
      <c r="D2743" s="0" t="s">
        <v>70</v>
      </c>
      <c r="E2743" s="0" t="s">
        <v>1895</v>
      </c>
      <c r="F2743" s="0" t="n">
        <v>4</v>
      </c>
      <c r="G2743" s="0" t="n">
        <v>4</v>
      </c>
      <c r="H2743" s="0" t="s">
        <v>117</v>
      </c>
      <c r="I2743" s="0" t="s">
        <v>4070</v>
      </c>
      <c r="K2743" s="0" t="s">
        <v>146</v>
      </c>
      <c r="L2743" s="0" t="s">
        <v>4223</v>
      </c>
    </row>
    <row r="2744" customFormat="false" ht="15" hidden="false" customHeight="false" outlineLevel="0" collapsed="false">
      <c r="A2744" s="0" t="s">
        <v>3883</v>
      </c>
      <c r="B2744" s="0" t="s">
        <v>154</v>
      </c>
      <c r="C2744" s="0" t="s">
        <v>830</v>
      </c>
      <c r="D2744" s="0" t="s">
        <v>73</v>
      </c>
      <c r="E2744" s="0" t="s">
        <v>1897</v>
      </c>
      <c r="F2744" s="0" t="n">
        <v>4</v>
      </c>
      <c r="G2744" s="0" t="n">
        <v>4</v>
      </c>
      <c r="H2744" s="0" t="s">
        <v>117</v>
      </c>
      <c r="I2744" s="0" t="s">
        <v>4108</v>
      </c>
      <c r="K2744" s="0" t="s">
        <v>149</v>
      </c>
      <c r="L2744" s="0" t="s">
        <v>4224</v>
      </c>
    </row>
    <row r="2745" customFormat="false" ht="15" hidden="false" customHeight="false" outlineLevel="0" collapsed="false">
      <c r="A2745" s="0" t="s">
        <v>3883</v>
      </c>
      <c r="B2745" s="0" t="s">
        <v>154</v>
      </c>
      <c r="C2745" s="0" t="s">
        <v>830</v>
      </c>
      <c r="D2745" s="0" t="s">
        <v>76</v>
      </c>
      <c r="E2745" s="0" t="s">
        <v>1899</v>
      </c>
      <c r="F2745" s="0" t="n">
        <v>4</v>
      </c>
      <c r="G2745" s="0" t="n">
        <v>0</v>
      </c>
      <c r="H2745" s="0" t="s">
        <v>122</v>
      </c>
      <c r="K2745" s="0" t="s">
        <v>152</v>
      </c>
      <c r="L2745" s="0" t="s">
        <v>4225</v>
      </c>
    </row>
    <row r="2746" customFormat="false" ht="15" hidden="false" customHeight="false" outlineLevel="0" collapsed="false">
      <c r="A2746" s="0" t="s">
        <v>3883</v>
      </c>
      <c r="B2746" s="0" t="s">
        <v>154</v>
      </c>
      <c r="C2746" s="0" t="s">
        <v>830</v>
      </c>
      <c r="D2746" s="0" t="s">
        <v>79</v>
      </c>
      <c r="E2746" s="0" t="s">
        <v>1901</v>
      </c>
      <c r="F2746" s="0" t="n">
        <v>4</v>
      </c>
      <c r="G2746" s="0" t="n">
        <v>2</v>
      </c>
      <c r="H2746" s="0" t="s">
        <v>122</v>
      </c>
      <c r="I2746" s="0" t="s">
        <v>4108</v>
      </c>
      <c r="K2746" s="0" t="s">
        <v>156</v>
      </c>
      <c r="L2746" s="0" t="s">
        <v>4226</v>
      </c>
    </row>
    <row r="2747" customFormat="false" ht="15" hidden="false" customHeight="false" outlineLevel="0" collapsed="false">
      <c r="A2747" s="0" t="s">
        <v>3883</v>
      </c>
      <c r="B2747" s="0" t="s">
        <v>154</v>
      </c>
      <c r="C2747" s="0" t="s">
        <v>830</v>
      </c>
      <c r="D2747" s="0" t="s">
        <v>82</v>
      </c>
      <c r="E2747" s="0" t="s">
        <v>1903</v>
      </c>
      <c r="F2747" s="0" t="n">
        <v>4</v>
      </c>
      <c r="G2747" s="0" t="n">
        <v>1</v>
      </c>
      <c r="H2747" s="0" t="s">
        <v>122</v>
      </c>
      <c r="I2747" s="0" t="s">
        <v>4108</v>
      </c>
      <c r="K2747" s="0" t="s">
        <v>160</v>
      </c>
      <c r="L2747" s="0" t="s">
        <v>4227</v>
      </c>
    </row>
    <row r="2748" customFormat="false" ht="15" hidden="false" customHeight="false" outlineLevel="0" collapsed="false">
      <c r="A2748" s="0" t="s">
        <v>3883</v>
      </c>
      <c r="B2748" s="0" t="s">
        <v>154</v>
      </c>
      <c r="C2748" s="0" t="s">
        <v>855</v>
      </c>
      <c r="D2748" s="0" t="s">
        <v>115</v>
      </c>
      <c r="E2748" s="0" t="s">
        <v>1905</v>
      </c>
      <c r="F2748" s="0" t="n">
        <v>4</v>
      </c>
      <c r="G2748" s="0" t="n">
        <v>0</v>
      </c>
      <c r="H2748" s="0" t="s">
        <v>122</v>
      </c>
      <c r="K2748" s="0" t="s">
        <v>118</v>
      </c>
      <c r="L2748" s="0" t="s">
        <v>4228</v>
      </c>
    </row>
    <row r="2749" customFormat="false" ht="15" hidden="false" customHeight="false" outlineLevel="0" collapsed="false">
      <c r="A2749" s="0" t="s">
        <v>3883</v>
      </c>
      <c r="B2749" s="0" t="s">
        <v>154</v>
      </c>
      <c r="C2749" s="0" t="s">
        <v>855</v>
      </c>
      <c r="D2749" s="0" t="s">
        <v>120</v>
      </c>
      <c r="E2749" s="0" t="s">
        <v>1907</v>
      </c>
      <c r="F2749" s="0" t="n">
        <v>4</v>
      </c>
      <c r="G2749" s="0" t="n">
        <v>2</v>
      </c>
      <c r="H2749" s="0" t="s">
        <v>122</v>
      </c>
      <c r="I2749" s="0" t="s">
        <v>4078</v>
      </c>
      <c r="K2749" s="0" t="s">
        <v>123</v>
      </c>
      <c r="L2749" s="0" t="s">
        <v>4229</v>
      </c>
    </row>
    <row r="2750" customFormat="false" ht="15" hidden="false" customHeight="false" outlineLevel="0" collapsed="false">
      <c r="A2750" s="0" t="s">
        <v>3883</v>
      </c>
      <c r="B2750" s="0" t="s">
        <v>154</v>
      </c>
      <c r="C2750" s="0" t="s">
        <v>855</v>
      </c>
      <c r="D2750" s="0" t="s">
        <v>125</v>
      </c>
      <c r="E2750" s="0" t="s">
        <v>1909</v>
      </c>
      <c r="F2750" s="0" t="n">
        <v>4</v>
      </c>
      <c r="G2750" s="0" t="n">
        <v>0</v>
      </c>
      <c r="H2750" s="0" t="s">
        <v>122</v>
      </c>
      <c r="K2750" s="0" t="s">
        <v>127</v>
      </c>
      <c r="L2750" s="0" t="s">
        <v>4230</v>
      </c>
    </row>
    <row r="2751" customFormat="false" ht="15" hidden="false" customHeight="false" outlineLevel="0" collapsed="false">
      <c r="A2751" s="0" t="s">
        <v>3883</v>
      </c>
      <c r="B2751" s="0" t="s">
        <v>154</v>
      </c>
      <c r="C2751" s="0" t="s">
        <v>855</v>
      </c>
      <c r="D2751" s="0" t="s">
        <v>53</v>
      </c>
      <c r="E2751" s="0" t="s">
        <v>1911</v>
      </c>
      <c r="F2751" s="0" t="n">
        <v>4</v>
      </c>
      <c r="G2751" s="0" t="n">
        <v>2</v>
      </c>
      <c r="H2751" s="0" t="s">
        <v>122</v>
      </c>
      <c r="I2751" s="0" t="s">
        <v>4070</v>
      </c>
      <c r="K2751" s="0" t="s">
        <v>132</v>
      </c>
      <c r="L2751" s="0" t="s">
        <v>4231</v>
      </c>
    </row>
    <row r="2752" customFormat="false" ht="15" hidden="false" customHeight="false" outlineLevel="0" collapsed="false">
      <c r="A2752" s="0" t="s">
        <v>3883</v>
      </c>
      <c r="B2752" s="0" t="s">
        <v>154</v>
      </c>
      <c r="C2752" s="0" t="s">
        <v>855</v>
      </c>
      <c r="D2752" s="0" t="s">
        <v>56</v>
      </c>
      <c r="E2752" s="0" t="s">
        <v>1913</v>
      </c>
      <c r="F2752" s="0" t="n">
        <v>4</v>
      </c>
      <c r="G2752" s="0" t="n">
        <v>0</v>
      </c>
      <c r="H2752" s="0" t="s">
        <v>122</v>
      </c>
      <c r="K2752" s="0" t="s">
        <v>135</v>
      </c>
      <c r="L2752" s="0" t="s">
        <v>4232</v>
      </c>
    </row>
    <row r="2753" customFormat="false" ht="15" hidden="false" customHeight="false" outlineLevel="0" collapsed="false">
      <c r="A2753" s="0" t="s">
        <v>3883</v>
      </c>
      <c r="B2753" s="0" t="s">
        <v>154</v>
      </c>
      <c r="C2753" s="0" t="s">
        <v>855</v>
      </c>
      <c r="D2753" s="0" t="s">
        <v>59</v>
      </c>
      <c r="E2753" s="0" t="s">
        <v>1915</v>
      </c>
      <c r="F2753" s="0" t="n">
        <v>4</v>
      </c>
      <c r="G2753" s="0" t="n">
        <v>0</v>
      </c>
      <c r="H2753" s="0" t="s">
        <v>122</v>
      </c>
      <c r="K2753" s="0" t="s">
        <v>138</v>
      </c>
      <c r="L2753" s="0" t="s">
        <v>4233</v>
      </c>
    </row>
    <row r="2754" customFormat="false" ht="15" hidden="false" customHeight="false" outlineLevel="0" collapsed="false">
      <c r="A2754" s="0" t="s">
        <v>3883</v>
      </c>
      <c r="B2754" s="0" t="s">
        <v>154</v>
      </c>
      <c r="C2754" s="0" t="s">
        <v>855</v>
      </c>
      <c r="D2754" s="0" t="s">
        <v>67</v>
      </c>
      <c r="E2754" s="0" t="s">
        <v>1917</v>
      </c>
      <c r="F2754" s="0" t="n">
        <v>4</v>
      </c>
      <c r="G2754" s="0" t="n">
        <v>0</v>
      </c>
      <c r="H2754" s="0" t="s">
        <v>122</v>
      </c>
      <c r="K2754" s="0" t="s">
        <v>143</v>
      </c>
      <c r="L2754" s="0" t="s">
        <v>4234</v>
      </c>
    </row>
    <row r="2755" customFormat="false" ht="15" hidden="false" customHeight="false" outlineLevel="0" collapsed="false">
      <c r="A2755" s="0" t="s">
        <v>3883</v>
      </c>
      <c r="B2755" s="0" t="s">
        <v>154</v>
      </c>
      <c r="C2755" s="0" t="s">
        <v>855</v>
      </c>
      <c r="D2755" s="0" t="s">
        <v>70</v>
      </c>
      <c r="E2755" s="0" t="s">
        <v>1919</v>
      </c>
      <c r="F2755" s="0" t="n">
        <v>4</v>
      </c>
      <c r="G2755" s="0" t="n">
        <v>1</v>
      </c>
      <c r="H2755" s="0" t="s">
        <v>122</v>
      </c>
      <c r="I2755" s="0" t="s">
        <v>4116</v>
      </c>
      <c r="K2755" s="0" t="s">
        <v>146</v>
      </c>
      <c r="L2755" s="0" t="s">
        <v>4235</v>
      </c>
    </row>
    <row r="2756" customFormat="false" ht="15" hidden="false" customHeight="false" outlineLevel="0" collapsed="false">
      <c r="A2756" s="0" t="s">
        <v>3883</v>
      </c>
      <c r="B2756" s="0" t="s">
        <v>154</v>
      </c>
      <c r="C2756" s="0" t="s">
        <v>855</v>
      </c>
      <c r="D2756" s="0" t="s">
        <v>73</v>
      </c>
      <c r="E2756" s="0" t="s">
        <v>1921</v>
      </c>
      <c r="F2756" s="0" t="n">
        <v>4</v>
      </c>
      <c r="G2756" s="0" t="n">
        <v>0</v>
      </c>
      <c r="H2756" s="0" t="s">
        <v>122</v>
      </c>
      <c r="K2756" s="0" t="s">
        <v>149</v>
      </c>
      <c r="L2756" s="0" t="s">
        <v>4236</v>
      </c>
    </row>
    <row r="2757" customFormat="false" ht="15" hidden="false" customHeight="false" outlineLevel="0" collapsed="false">
      <c r="A2757" s="0" t="s">
        <v>3883</v>
      </c>
      <c r="B2757" s="0" t="s">
        <v>154</v>
      </c>
      <c r="C2757" s="0" t="s">
        <v>855</v>
      </c>
      <c r="D2757" s="0" t="s">
        <v>76</v>
      </c>
      <c r="E2757" s="0" t="s">
        <v>1923</v>
      </c>
      <c r="F2757" s="0" t="n">
        <v>4</v>
      </c>
      <c r="G2757" s="0" t="n">
        <v>0</v>
      </c>
      <c r="H2757" s="0" t="s">
        <v>122</v>
      </c>
      <c r="K2757" s="0" t="s">
        <v>152</v>
      </c>
      <c r="L2757" s="0" t="s">
        <v>4237</v>
      </c>
    </row>
    <row r="2758" customFormat="false" ht="15" hidden="false" customHeight="false" outlineLevel="0" collapsed="false">
      <c r="A2758" s="0" t="s">
        <v>3883</v>
      </c>
      <c r="B2758" s="0" t="s">
        <v>154</v>
      </c>
      <c r="C2758" s="0" t="s">
        <v>855</v>
      </c>
      <c r="D2758" s="0" t="s">
        <v>79</v>
      </c>
      <c r="E2758" s="0" t="s">
        <v>1925</v>
      </c>
      <c r="F2758" s="0" t="n">
        <v>4</v>
      </c>
      <c r="G2758" s="0" t="n">
        <v>1</v>
      </c>
      <c r="H2758" s="0" t="s">
        <v>122</v>
      </c>
      <c r="I2758" s="0" t="s">
        <v>4108</v>
      </c>
      <c r="K2758" s="0" t="s">
        <v>156</v>
      </c>
      <c r="L2758" s="0" t="s">
        <v>4238</v>
      </c>
    </row>
    <row r="2759" customFormat="false" ht="15" hidden="false" customHeight="false" outlineLevel="0" collapsed="false">
      <c r="A2759" s="0" t="s">
        <v>3883</v>
      </c>
      <c r="B2759" s="0" t="s">
        <v>154</v>
      </c>
      <c r="C2759" s="0" t="s">
        <v>855</v>
      </c>
      <c r="D2759" s="0" t="s">
        <v>82</v>
      </c>
      <c r="E2759" s="0" t="s">
        <v>1927</v>
      </c>
      <c r="F2759" s="0" t="n">
        <v>4</v>
      </c>
      <c r="G2759" s="0" t="n">
        <v>0</v>
      </c>
      <c r="H2759" s="0" t="s">
        <v>122</v>
      </c>
      <c r="K2759" s="0" t="s">
        <v>160</v>
      </c>
      <c r="L2759" s="0" t="s">
        <v>4239</v>
      </c>
    </row>
    <row r="2760" customFormat="false" ht="15" hidden="false" customHeight="false" outlineLevel="0" collapsed="false">
      <c r="A2760" s="0" t="s">
        <v>3883</v>
      </c>
      <c r="C2760" s="0" t="s">
        <v>881</v>
      </c>
      <c r="D2760" s="0" t="s">
        <v>528</v>
      </c>
      <c r="E2760" s="0" t="s">
        <v>882</v>
      </c>
      <c r="F2760" s="0" t="n">
        <v>4</v>
      </c>
      <c r="G2760" s="0" t="n">
        <v>0</v>
      </c>
      <c r="H2760" s="0" t="s">
        <v>122</v>
      </c>
      <c r="K2760" s="0" t="s">
        <v>118</v>
      </c>
      <c r="L2760" s="0" t="s">
        <v>4240</v>
      </c>
    </row>
    <row r="2761" customFormat="false" ht="15" hidden="false" customHeight="false" outlineLevel="0" collapsed="false">
      <c r="A2761" s="0" t="s">
        <v>3883</v>
      </c>
      <c r="C2761" s="0" t="s">
        <v>881</v>
      </c>
      <c r="D2761" s="0" t="s">
        <v>531</v>
      </c>
      <c r="E2761" s="0" t="s">
        <v>884</v>
      </c>
      <c r="F2761" s="0" t="n">
        <v>4</v>
      </c>
      <c r="G2761" s="0" t="n">
        <v>0</v>
      </c>
      <c r="H2761" s="0" t="s">
        <v>122</v>
      </c>
      <c r="K2761" s="0" t="s">
        <v>123</v>
      </c>
      <c r="L2761" s="0" t="s">
        <v>4241</v>
      </c>
    </row>
    <row r="2762" customFormat="false" ht="15" hidden="false" customHeight="false" outlineLevel="0" collapsed="false">
      <c r="A2762" s="0" t="s">
        <v>3883</v>
      </c>
      <c r="C2762" s="0" t="s">
        <v>881</v>
      </c>
      <c r="D2762" s="0" t="s">
        <v>534</v>
      </c>
      <c r="E2762" s="0" t="s">
        <v>886</v>
      </c>
      <c r="F2762" s="0" t="n">
        <v>4</v>
      </c>
      <c r="G2762" s="0" t="n">
        <v>0</v>
      </c>
      <c r="H2762" s="0" t="s">
        <v>122</v>
      </c>
      <c r="K2762" s="0" t="s">
        <v>127</v>
      </c>
      <c r="L2762" s="0" t="s">
        <v>4242</v>
      </c>
    </row>
    <row r="2763" customFormat="false" ht="15" hidden="false" customHeight="false" outlineLevel="0" collapsed="false">
      <c r="A2763" s="0" t="s">
        <v>3883</v>
      </c>
      <c r="C2763" s="0" t="s">
        <v>881</v>
      </c>
      <c r="D2763" s="0" t="s">
        <v>52</v>
      </c>
      <c r="E2763" s="0" t="s">
        <v>888</v>
      </c>
      <c r="F2763" s="0" t="n">
        <v>4</v>
      </c>
      <c r="G2763" s="0" t="n">
        <v>0</v>
      </c>
      <c r="H2763" s="0" t="s">
        <v>122</v>
      </c>
      <c r="K2763" s="0" t="s">
        <v>132</v>
      </c>
      <c r="L2763" s="0" t="s">
        <v>4243</v>
      </c>
    </row>
    <row r="2764" customFormat="false" ht="15" hidden="false" customHeight="false" outlineLevel="0" collapsed="false">
      <c r="A2764" s="0" t="s">
        <v>3883</v>
      </c>
      <c r="C2764" s="0" t="s">
        <v>881</v>
      </c>
      <c r="D2764" s="0" t="s">
        <v>55</v>
      </c>
      <c r="E2764" s="0" t="s">
        <v>890</v>
      </c>
      <c r="F2764" s="0" t="n">
        <v>4</v>
      </c>
      <c r="G2764" s="0" t="n">
        <v>0</v>
      </c>
      <c r="H2764" s="0" t="s">
        <v>122</v>
      </c>
      <c r="K2764" s="0" t="s">
        <v>135</v>
      </c>
      <c r="L2764" s="0" t="s">
        <v>4244</v>
      </c>
    </row>
    <row r="2765" customFormat="false" ht="15" hidden="false" customHeight="false" outlineLevel="0" collapsed="false">
      <c r="A2765" s="0" t="s">
        <v>3883</v>
      </c>
      <c r="C2765" s="0" t="s">
        <v>881</v>
      </c>
      <c r="D2765" s="0" t="s">
        <v>58</v>
      </c>
      <c r="E2765" s="0" t="s">
        <v>892</v>
      </c>
      <c r="F2765" s="0" t="n">
        <v>4</v>
      </c>
      <c r="G2765" s="0" t="n">
        <v>0</v>
      </c>
      <c r="H2765" s="0" t="s">
        <v>122</v>
      </c>
      <c r="K2765" s="0" t="s">
        <v>138</v>
      </c>
      <c r="L2765" s="0" t="s">
        <v>4245</v>
      </c>
    </row>
    <row r="2766" customFormat="false" ht="15" hidden="false" customHeight="false" outlineLevel="0" collapsed="false">
      <c r="A2766" s="0" t="s">
        <v>3883</v>
      </c>
      <c r="C2766" s="0" t="s">
        <v>881</v>
      </c>
      <c r="D2766" s="0" t="s">
        <v>65</v>
      </c>
      <c r="E2766" s="0" t="s">
        <v>894</v>
      </c>
      <c r="F2766" s="0" t="n">
        <v>4</v>
      </c>
      <c r="G2766" s="0" t="n">
        <v>0</v>
      </c>
      <c r="H2766" s="0" t="s">
        <v>122</v>
      </c>
      <c r="K2766" s="0" t="s">
        <v>143</v>
      </c>
      <c r="L2766" s="0" t="s">
        <v>4246</v>
      </c>
    </row>
    <row r="2767" customFormat="false" ht="15" hidden="false" customHeight="false" outlineLevel="0" collapsed="false">
      <c r="A2767" s="0" t="s">
        <v>3883</v>
      </c>
      <c r="C2767" s="0" t="s">
        <v>881</v>
      </c>
      <c r="D2767" s="0" t="s">
        <v>69</v>
      </c>
      <c r="E2767" s="0" t="s">
        <v>1936</v>
      </c>
      <c r="F2767" s="0" t="n">
        <v>4</v>
      </c>
      <c r="G2767" s="0" t="n">
        <v>0</v>
      </c>
      <c r="H2767" s="0" t="s">
        <v>122</v>
      </c>
      <c r="K2767" s="0" t="s">
        <v>146</v>
      </c>
      <c r="L2767" s="0" t="s">
        <v>4247</v>
      </c>
    </row>
    <row r="2768" customFormat="false" ht="15" hidden="false" customHeight="false" outlineLevel="0" collapsed="false">
      <c r="A2768" s="0" t="s">
        <v>3883</v>
      </c>
      <c r="C2768" s="0" t="s">
        <v>881</v>
      </c>
      <c r="D2768" s="0" t="s">
        <v>72</v>
      </c>
      <c r="E2768" s="0" t="s">
        <v>1938</v>
      </c>
      <c r="F2768" s="0" t="n">
        <v>4</v>
      </c>
      <c r="G2768" s="0" t="n">
        <v>0</v>
      </c>
      <c r="H2768" s="0" t="s">
        <v>122</v>
      </c>
      <c r="K2768" s="0" t="s">
        <v>149</v>
      </c>
      <c r="L2768" s="0" t="s">
        <v>4248</v>
      </c>
    </row>
    <row r="2769" customFormat="false" ht="15" hidden="false" customHeight="false" outlineLevel="0" collapsed="false">
      <c r="A2769" s="0" t="s">
        <v>3883</v>
      </c>
      <c r="C2769" s="0" t="s">
        <v>881</v>
      </c>
      <c r="D2769" s="0" t="s">
        <v>75</v>
      </c>
      <c r="E2769" s="0" t="s">
        <v>2580</v>
      </c>
      <c r="F2769" s="0" t="n">
        <v>4</v>
      </c>
      <c r="G2769" s="0" t="n">
        <v>0</v>
      </c>
      <c r="H2769" s="0" t="s">
        <v>122</v>
      </c>
      <c r="K2769" s="0" t="s">
        <v>152</v>
      </c>
      <c r="L2769" s="0" t="s">
        <v>4249</v>
      </c>
    </row>
    <row r="2770" customFormat="false" ht="15" hidden="false" customHeight="false" outlineLevel="0" collapsed="false">
      <c r="A2770" s="0" t="s">
        <v>3883</v>
      </c>
      <c r="C2770" s="0" t="s">
        <v>881</v>
      </c>
      <c r="D2770" s="0" t="s">
        <v>78</v>
      </c>
      <c r="E2770" s="0" t="s">
        <v>3705</v>
      </c>
      <c r="F2770" s="0" t="n">
        <v>4</v>
      </c>
      <c r="G2770" s="0" t="n">
        <v>0</v>
      </c>
      <c r="H2770" s="0" t="s">
        <v>122</v>
      </c>
      <c r="K2770" s="0" t="s">
        <v>156</v>
      </c>
      <c r="L2770" s="0" t="s">
        <v>4250</v>
      </c>
    </row>
    <row r="2771" customFormat="false" ht="15" hidden="false" customHeight="false" outlineLevel="0" collapsed="false">
      <c r="A2771" s="0" t="s">
        <v>3883</v>
      </c>
      <c r="C2771" s="0" t="s">
        <v>881</v>
      </c>
      <c r="D2771" s="0" t="s">
        <v>81</v>
      </c>
      <c r="E2771" s="0" t="s">
        <v>1943</v>
      </c>
      <c r="F2771" s="0" t="n">
        <v>4</v>
      </c>
      <c r="G2771" s="0" t="n">
        <v>0</v>
      </c>
      <c r="H2771" s="0" t="s">
        <v>122</v>
      </c>
      <c r="K2771" s="0" t="s">
        <v>160</v>
      </c>
      <c r="L2771" s="0" t="s">
        <v>4251</v>
      </c>
    </row>
    <row r="2772" customFormat="false" ht="15" hidden="false" customHeight="false" outlineLevel="0" collapsed="false">
      <c r="A2772" s="0" t="s">
        <v>3883</v>
      </c>
      <c r="C2772" s="0" t="s">
        <v>906</v>
      </c>
      <c r="D2772" s="0" t="s">
        <v>528</v>
      </c>
      <c r="E2772" s="0" t="s">
        <v>907</v>
      </c>
      <c r="F2772" s="0" t="n">
        <v>4</v>
      </c>
      <c r="G2772" s="0" t="n">
        <v>0</v>
      </c>
      <c r="H2772" s="0" t="s">
        <v>122</v>
      </c>
      <c r="K2772" s="0" t="s">
        <v>118</v>
      </c>
      <c r="L2772" s="0" t="s">
        <v>4252</v>
      </c>
    </row>
    <row r="2773" customFormat="false" ht="15" hidden="false" customHeight="false" outlineLevel="0" collapsed="false">
      <c r="A2773" s="0" t="s">
        <v>3883</v>
      </c>
      <c r="C2773" s="0" t="s">
        <v>906</v>
      </c>
      <c r="D2773" s="0" t="s">
        <v>531</v>
      </c>
      <c r="E2773" s="0" t="s">
        <v>909</v>
      </c>
      <c r="F2773" s="0" t="n">
        <v>4</v>
      </c>
      <c r="G2773" s="0" t="n">
        <v>0</v>
      </c>
      <c r="H2773" s="0" t="s">
        <v>122</v>
      </c>
      <c r="K2773" s="0" t="s">
        <v>123</v>
      </c>
      <c r="L2773" s="0" t="s">
        <v>4253</v>
      </c>
    </row>
    <row r="2774" customFormat="false" ht="15" hidden="false" customHeight="false" outlineLevel="0" collapsed="false">
      <c r="A2774" s="0" t="s">
        <v>3883</v>
      </c>
      <c r="C2774" s="0" t="s">
        <v>906</v>
      </c>
      <c r="D2774" s="0" t="s">
        <v>534</v>
      </c>
      <c r="E2774" s="0" t="s">
        <v>911</v>
      </c>
      <c r="F2774" s="0" t="n">
        <v>4</v>
      </c>
      <c r="G2774" s="0" t="n">
        <v>0</v>
      </c>
      <c r="H2774" s="0" t="s">
        <v>122</v>
      </c>
      <c r="K2774" s="0" t="s">
        <v>127</v>
      </c>
      <c r="L2774" s="0" t="s">
        <v>4254</v>
      </c>
    </row>
    <row r="2775" customFormat="false" ht="15" hidden="false" customHeight="false" outlineLevel="0" collapsed="false">
      <c r="A2775" s="0" t="s">
        <v>3883</v>
      </c>
      <c r="C2775" s="0" t="s">
        <v>906</v>
      </c>
      <c r="D2775" s="0" t="s">
        <v>52</v>
      </c>
      <c r="E2775" s="0" t="s">
        <v>913</v>
      </c>
      <c r="F2775" s="0" t="n">
        <v>4</v>
      </c>
      <c r="G2775" s="0" t="n">
        <v>0</v>
      </c>
      <c r="H2775" s="0" t="s">
        <v>122</v>
      </c>
      <c r="K2775" s="0" t="s">
        <v>132</v>
      </c>
      <c r="L2775" s="0" t="s">
        <v>4255</v>
      </c>
    </row>
    <row r="2776" customFormat="false" ht="15" hidden="false" customHeight="false" outlineLevel="0" collapsed="false">
      <c r="A2776" s="0" t="s">
        <v>3883</v>
      </c>
      <c r="C2776" s="0" t="s">
        <v>906</v>
      </c>
      <c r="D2776" s="0" t="s">
        <v>55</v>
      </c>
      <c r="E2776" s="0" t="s">
        <v>915</v>
      </c>
      <c r="F2776" s="0" t="n">
        <v>4</v>
      </c>
      <c r="G2776" s="0" t="n">
        <v>0</v>
      </c>
      <c r="H2776" s="0" t="s">
        <v>122</v>
      </c>
      <c r="K2776" s="0" t="s">
        <v>135</v>
      </c>
      <c r="L2776" s="0" t="s">
        <v>4256</v>
      </c>
    </row>
    <row r="2777" customFormat="false" ht="15" hidden="false" customHeight="false" outlineLevel="0" collapsed="false">
      <c r="A2777" s="0" t="s">
        <v>3883</v>
      </c>
      <c r="C2777" s="0" t="s">
        <v>906</v>
      </c>
      <c r="D2777" s="0" t="s">
        <v>58</v>
      </c>
      <c r="E2777" s="0" t="s">
        <v>917</v>
      </c>
      <c r="F2777" s="0" t="n">
        <v>4</v>
      </c>
      <c r="G2777" s="0" t="n">
        <v>0</v>
      </c>
      <c r="H2777" s="0" t="s">
        <v>122</v>
      </c>
      <c r="K2777" s="0" t="s">
        <v>138</v>
      </c>
      <c r="L2777" s="0" t="s">
        <v>4257</v>
      </c>
    </row>
    <row r="2778" customFormat="false" ht="15" hidden="false" customHeight="false" outlineLevel="0" collapsed="false">
      <c r="A2778" s="0" t="s">
        <v>3883</v>
      </c>
      <c r="C2778" s="0" t="s">
        <v>906</v>
      </c>
      <c r="D2778" s="0" t="s">
        <v>65</v>
      </c>
      <c r="E2778" s="0" t="s">
        <v>919</v>
      </c>
      <c r="F2778" s="0" t="n">
        <v>4</v>
      </c>
      <c r="G2778" s="0" t="n">
        <v>0</v>
      </c>
      <c r="H2778" s="0" t="s">
        <v>122</v>
      </c>
      <c r="K2778" s="0" t="s">
        <v>143</v>
      </c>
      <c r="L2778" s="0" t="s">
        <v>4258</v>
      </c>
    </row>
    <row r="2779" customFormat="false" ht="15" hidden="false" customHeight="false" outlineLevel="0" collapsed="false">
      <c r="A2779" s="0" t="s">
        <v>3883</v>
      </c>
      <c r="C2779" s="0" t="s">
        <v>906</v>
      </c>
      <c r="D2779" s="0" t="s">
        <v>69</v>
      </c>
      <c r="E2779" s="0" t="s">
        <v>1952</v>
      </c>
      <c r="F2779" s="0" t="n">
        <v>4</v>
      </c>
      <c r="G2779" s="0" t="n">
        <v>0</v>
      </c>
      <c r="H2779" s="0" t="s">
        <v>122</v>
      </c>
      <c r="K2779" s="0" t="s">
        <v>146</v>
      </c>
      <c r="L2779" s="0" t="s">
        <v>4259</v>
      </c>
    </row>
    <row r="2780" customFormat="false" ht="15" hidden="false" customHeight="false" outlineLevel="0" collapsed="false">
      <c r="A2780" s="0" t="s">
        <v>3883</v>
      </c>
      <c r="C2780" s="0" t="s">
        <v>906</v>
      </c>
      <c r="D2780" s="0" t="s">
        <v>72</v>
      </c>
      <c r="E2780" s="0" t="s">
        <v>923</v>
      </c>
      <c r="F2780" s="0" t="n">
        <v>4</v>
      </c>
      <c r="G2780" s="0" t="n">
        <v>0</v>
      </c>
      <c r="H2780" s="0" t="s">
        <v>122</v>
      </c>
      <c r="K2780" s="0" t="s">
        <v>149</v>
      </c>
      <c r="L2780" s="0" t="s">
        <v>4260</v>
      </c>
    </row>
    <row r="2781" customFormat="false" ht="15" hidden="false" customHeight="false" outlineLevel="0" collapsed="false">
      <c r="A2781" s="0" t="s">
        <v>3883</v>
      </c>
      <c r="C2781" s="0" t="s">
        <v>906</v>
      </c>
      <c r="D2781" s="0" t="s">
        <v>75</v>
      </c>
      <c r="E2781" s="0" t="s">
        <v>1956</v>
      </c>
      <c r="F2781" s="0" t="n">
        <v>4</v>
      </c>
      <c r="G2781" s="0" t="n">
        <v>0</v>
      </c>
      <c r="H2781" s="0" t="s">
        <v>122</v>
      </c>
      <c r="K2781" s="0" t="s">
        <v>152</v>
      </c>
      <c r="L2781" s="0" t="s">
        <v>4261</v>
      </c>
    </row>
    <row r="2782" customFormat="false" ht="15" hidden="false" customHeight="false" outlineLevel="0" collapsed="false">
      <c r="A2782" s="0" t="s">
        <v>3883</v>
      </c>
      <c r="C2782" s="0" t="s">
        <v>906</v>
      </c>
      <c r="D2782" s="0" t="s">
        <v>78</v>
      </c>
      <c r="E2782" s="0" t="s">
        <v>3718</v>
      </c>
      <c r="F2782" s="0" t="n">
        <v>4</v>
      </c>
      <c r="G2782" s="0" t="n">
        <v>0</v>
      </c>
      <c r="H2782" s="0" t="s">
        <v>122</v>
      </c>
      <c r="K2782" s="0" t="s">
        <v>156</v>
      </c>
      <c r="L2782" s="0" t="s">
        <v>4262</v>
      </c>
    </row>
    <row r="2783" customFormat="false" ht="15" hidden="false" customHeight="false" outlineLevel="0" collapsed="false">
      <c r="A2783" s="0" t="s">
        <v>3883</v>
      </c>
      <c r="C2783" s="0" t="s">
        <v>906</v>
      </c>
      <c r="D2783" s="0" t="s">
        <v>81</v>
      </c>
      <c r="E2783" s="0" t="s">
        <v>3720</v>
      </c>
      <c r="F2783" s="0" t="n">
        <v>4</v>
      </c>
      <c r="G2783" s="0" t="n">
        <v>0</v>
      </c>
      <c r="H2783" s="0" t="s">
        <v>122</v>
      </c>
      <c r="K2783" s="0" t="s">
        <v>160</v>
      </c>
      <c r="L2783" s="0" t="s">
        <v>4263</v>
      </c>
    </row>
    <row r="2784" customFormat="false" ht="15" hidden="false" customHeight="false" outlineLevel="0" collapsed="false">
      <c r="A2784" s="0" t="s">
        <v>3883</v>
      </c>
      <c r="C2784" s="0" t="s">
        <v>931</v>
      </c>
      <c r="D2784" s="0" t="s">
        <v>528</v>
      </c>
      <c r="E2784" s="0" t="s">
        <v>932</v>
      </c>
      <c r="F2784" s="0" t="n">
        <v>4</v>
      </c>
      <c r="G2784" s="0" t="n">
        <v>0</v>
      </c>
      <c r="H2784" s="0" t="s">
        <v>122</v>
      </c>
      <c r="K2784" s="0" t="s">
        <v>118</v>
      </c>
      <c r="L2784" s="0" t="s">
        <v>4264</v>
      </c>
    </row>
    <row r="2785" customFormat="false" ht="15" hidden="false" customHeight="false" outlineLevel="0" collapsed="false">
      <c r="A2785" s="0" t="s">
        <v>3883</v>
      </c>
      <c r="C2785" s="0" t="s">
        <v>931</v>
      </c>
      <c r="D2785" s="0" t="s">
        <v>531</v>
      </c>
      <c r="E2785" s="0" t="s">
        <v>934</v>
      </c>
      <c r="F2785" s="0" t="n">
        <v>4</v>
      </c>
      <c r="G2785" s="0" t="n">
        <v>0</v>
      </c>
      <c r="H2785" s="0" t="s">
        <v>122</v>
      </c>
      <c r="K2785" s="0" t="s">
        <v>123</v>
      </c>
      <c r="L2785" s="0" t="s">
        <v>4265</v>
      </c>
    </row>
    <row r="2786" customFormat="false" ht="15" hidden="false" customHeight="false" outlineLevel="0" collapsed="false">
      <c r="A2786" s="0" t="s">
        <v>3883</v>
      </c>
      <c r="C2786" s="0" t="s">
        <v>931</v>
      </c>
      <c r="D2786" s="0" t="s">
        <v>534</v>
      </c>
      <c r="E2786" s="0" t="s">
        <v>936</v>
      </c>
      <c r="F2786" s="0" t="n">
        <v>4</v>
      </c>
      <c r="G2786" s="0" t="n">
        <v>0</v>
      </c>
      <c r="H2786" s="0" t="s">
        <v>122</v>
      </c>
      <c r="K2786" s="0" t="s">
        <v>127</v>
      </c>
      <c r="L2786" s="0" t="s">
        <v>4266</v>
      </c>
    </row>
    <row r="2787" customFormat="false" ht="15" hidden="false" customHeight="false" outlineLevel="0" collapsed="false">
      <c r="A2787" s="0" t="s">
        <v>3883</v>
      </c>
      <c r="C2787" s="0" t="s">
        <v>931</v>
      </c>
      <c r="D2787" s="0" t="s">
        <v>52</v>
      </c>
      <c r="E2787" s="0" t="s">
        <v>938</v>
      </c>
      <c r="F2787" s="0" t="n">
        <v>4</v>
      </c>
      <c r="G2787" s="0" t="n">
        <v>0</v>
      </c>
      <c r="H2787" s="0" t="s">
        <v>122</v>
      </c>
      <c r="K2787" s="0" t="s">
        <v>132</v>
      </c>
      <c r="L2787" s="0" t="s">
        <v>4267</v>
      </c>
    </row>
    <row r="2788" customFormat="false" ht="15" hidden="false" customHeight="false" outlineLevel="0" collapsed="false">
      <c r="A2788" s="0" t="s">
        <v>3883</v>
      </c>
      <c r="C2788" s="0" t="s">
        <v>931</v>
      </c>
      <c r="D2788" s="0" t="s">
        <v>55</v>
      </c>
      <c r="E2788" s="0" t="s">
        <v>940</v>
      </c>
      <c r="F2788" s="0" t="n">
        <v>4</v>
      </c>
      <c r="G2788" s="0" t="n">
        <v>0</v>
      </c>
      <c r="H2788" s="0" t="s">
        <v>122</v>
      </c>
      <c r="K2788" s="0" t="s">
        <v>135</v>
      </c>
      <c r="L2788" s="0" t="s">
        <v>4268</v>
      </c>
    </row>
    <row r="2789" customFormat="false" ht="15" hidden="false" customHeight="false" outlineLevel="0" collapsed="false">
      <c r="A2789" s="0" t="s">
        <v>3883</v>
      </c>
      <c r="C2789" s="0" t="s">
        <v>931</v>
      </c>
      <c r="D2789" s="0" t="s">
        <v>58</v>
      </c>
      <c r="E2789" s="0" t="s">
        <v>942</v>
      </c>
      <c r="F2789" s="0" t="n">
        <v>4</v>
      </c>
      <c r="G2789" s="0" t="n">
        <v>0</v>
      </c>
      <c r="H2789" s="0" t="s">
        <v>122</v>
      </c>
      <c r="K2789" s="0" t="s">
        <v>138</v>
      </c>
      <c r="L2789" s="0" t="s">
        <v>4269</v>
      </c>
    </row>
    <row r="2790" customFormat="false" ht="15" hidden="false" customHeight="false" outlineLevel="0" collapsed="false">
      <c r="A2790" s="0" t="s">
        <v>3883</v>
      </c>
      <c r="C2790" s="0" t="s">
        <v>931</v>
      </c>
      <c r="D2790" s="0" t="s">
        <v>65</v>
      </c>
      <c r="E2790" s="0" t="s">
        <v>1966</v>
      </c>
      <c r="F2790" s="0" t="n">
        <v>4</v>
      </c>
      <c r="G2790" s="0" t="n">
        <v>0</v>
      </c>
      <c r="H2790" s="0" t="s">
        <v>122</v>
      </c>
      <c r="K2790" s="0" t="s">
        <v>143</v>
      </c>
      <c r="L2790" s="0" t="s">
        <v>4270</v>
      </c>
    </row>
    <row r="2791" customFormat="false" ht="15" hidden="false" customHeight="false" outlineLevel="0" collapsed="false">
      <c r="A2791" s="0" t="s">
        <v>3883</v>
      </c>
      <c r="C2791" s="0" t="s">
        <v>931</v>
      </c>
      <c r="D2791" s="0" t="s">
        <v>69</v>
      </c>
      <c r="E2791" s="0" t="s">
        <v>946</v>
      </c>
      <c r="F2791" s="0" t="n">
        <v>4</v>
      </c>
      <c r="G2791" s="0" t="n">
        <v>0</v>
      </c>
      <c r="H2791" s="0" t="s">
        <v>122</v>
      </c>
      <c r="K2791" s="0" t="s">
        <v>146</v>
      </c>
      <c r="L2791" s="0" t="s">
        <v>4271</v>
      </c>
    </row>
    <row r="2792" customFormat="false" ht="15" hidden="false" customHeight="false" outlineLevel="0" collapsed="false">
      <c r="A2792" s="0" t="s">
        <v>3883</v>
      </c>
      <c r="C2792" s="0" t="s">
        <v>931</v>
      </c>
      <c r="D2792" s="0" t="s">
        <v>72</v>
      </c>
      <c r="E2792" s="0" t="s">
        <v>948</v>
      </c>
      <c r="F2792" s="0" t="n">
        <v>4</v>
      </c>
      <c r="G2792" s="0" t="n">
        <v>0</v>
      </c>
      <c r="H2792" s="0" t="s">
        <v>122</v>
      </c>
      <c r="K2792" s="0" t="s">
        <v>149</v>
      </c>
      <c r="L2792" s="0" t="s">
        <v>4272</v>
      </c>
    </row>
    <row r="2793" customFormat="false" ht="15" hidden="false" customHeight="false" outlineLevel="0" collapsed="false">
      <c r="A2793" s="0" t="s">
        <v>3883</v>
      </c>
      <c r="C2793" s="0" t="s">
        <v>931</v>
      </c>
      <c r="D2793" s="0" t="s">
        <v>75</v>
      </c>
      <c r="E2793" s="0" t="s">
        <v>3731</v>
      </c>
      <c r="F2793" s="0" t="n">
        <v>4</v>
      </c>
      <c r="G2793" s="0" t="n">
        <v>0</v>
      </c>
      <c r="H2793" s="0" t="s">
        <v>122</v>
      </c>
      <c r="K2793" s="0" t="s">
        <v>152</v>
      </c>
      <c r="L2793" s="0" t="s">
        <v>4273</v>
      </c>
    </row>
    <row r="2794" customFormat="false" ht="15" hidden="false" customHeight="false" outlineLevel="0" collapsed="false">
      <c r="A2794" s="0" t="s">
        <v>3883</v>
      </c>
      <c r="C2794" s="0" t="s">
        <v>931</v>
      </c>
      <c r="D2794" s="0" t="s">
        <v>78</v>
      </c>
      <c r="E2794" s="0" t="s">
        <v>1972</v>
      </c>
      <c r="F2794" s="0" t="n">
        <v>4</v>
      </c>
      <c r="G2794" s="0" t="n">
        <v>0</v>
      </c>
      <c r="H2794" s="0" t="s">
        <v>122</v>
      </c>
      <c r="K2794" s="0" t="s">
        <v>156</v>
      </c>
      <c r="L2794" s="0" t="s">
        <v>4274</v>
      </c>
    </row>
    <row r="2795" customFormat="false" ht="15" hidden="false" customHeight="false" outlineLevel="0" collapsed="false">
      <c r="A2795" s="0" t="s">
        <v>3883</v>
      </c>
      <c r="C2795" s="0" t="s">
        <v>931</v>
      </c>
      <c r="D2795" s="0" t="s">
        <v>81</v>
      </c>
      <c r="E2795" s="0" t="s">
        <v>2615</v>
      </c>
      <c r="F2795" s="0" t="n">
        <v>4</v>
      </c>
      <c r="G2795" s="0" t="n">
        <v>0</v>
      </c>
      <c r="H2795" s="0" t="s">
        <v>122</v>
      </c>
      <c r="K2795" s="0" t="s">
        <v>160</v>
      </c>
      <c r="L2795" s="0" t="s">
        <v>4275</v>
      </c>
    </row>
    <row r="2796" customFormat="false" ht="15" hidden="false" customHeight="false" outlineLevel="0" collapsed="false">
      <c r="A2796" s="0" t="s">
        <v>3883</v>
      </c>
      <c r="C2796" s="0" t="s">
        <v>956</v>
      </c>
      <c r="D2796" s="0" t="s">
        <v>528</v>
      </c>
      <c r="E2796" s="0" t="s">
        <v>957</v>
      </c>
      <c r="F2796" s="0" t="n">
        <v>4</v>
      </c>
      <c r="G2796" s="0" t="n">
        <v>0</v>
      </c>
      <c r="H2796" s="0" t="s">
        <v>122</v>
      </c>
      <c r="K2796" s="0" t="s">
        <v>118</v>
      </c>
      <c r="L2796" s="0" t="s">
        <v>4276</v>
      </c>
    </row>
    <row r="2797" customFormat="false" ht="15" hidden="false" customHeight="false" outlineLevel="0" collapsed="false">
      <c r="A2797" s="0" t="s">
        <v>3883</v>
      </c>
      <c r="C2797" s="0" t="s">
        <v>956</v>
      </c>
      <c r="D2797" s="0" t="s">
        <v>531</v>
      </c>
      <c r="E2797" s="0" t="s">
        <v>959</v>
      </c>
      <c r="F2797" s="0" t="n">
        <v>4</v>
      </c>
      <c r="G2797" s="0" t="n">
        <v>0</v>
      </c>
      <c r="H2797" s="0" t="s">
        <v>122</v>
      </c>
      <c r="K2797" s="0" t="s">
        <v>123</v>
      </c>
      <c r="L2797" s="0" t="s">
        <v>4277</v>
      </c>
    </row>
    <row r="2798" customFormat="false" ht="15" hidden="false" customHeight="false" outlineLevel="0" collapsed="false">
      <c r="A2798" s="0" t="s">
        <v>3883</v>
      </c>
      <c r="C2798" s="0" t="s">
        <v>956</v>
      </c>
      <c r="D2798" s="0" t="s">
        <v>534</v>
      </c>
      <c r="E2798" s="0" t="s">
        <v>961</v>
      </c>
      <c r="F2798" s="0" t="n">
        <v>4</v>
      </c>
      <c r="G2798" s="0" t="n">
        <v>0</v>
      </c>
      <c r="H2798" s="0" t="s">
        <v>122</v>
      </c>
      <c r="K2798" s="0" t="s">
        <v>127</v>
      </c>
      <c r="L2798" s="0" t="s">
        <v>4278</v>
      </c>
    </row>
    <row r="2799" customFormat="false" ht="15" hidden="false" customHeight="false" outlineLevel="0" collapsed="false">
      <c r="A2799" s="0" t="s">
        <v>3883</v>
      </c>
      <c r="C2799" s="0" t="s">
        <v>956</v>
      </c>
      <c r="D2799" s="0" t="s">
        <v>52</v>
      </c>
      <c r="E2799" s="0" t="s">
        <v>963</v>
      </c>
      <c r="F2799" s="0" t="n">
        <v>4</v>
      </c>
      <c r="G2799" s="0" t="n">
        <v>0</v>
      </c>
      <c r="H2799" s="0" t="s">
        <v>122</v>
      </c>
      <c r="K2799" s="0" t="s">
        <v>132</v>
      </c>
      <c r="L2799" s="0" t="s">
        <v>4279</v>
      </c>
    </row>
    <row r="2800" customFormat="false" ht="15" hidden="false" customHeight="false" outlineLevel="0" collapsed="false">
      <c r="A2800" s="0" t="s">
        <v>3883</v>
      </c>
      <c r="C2800" s="0" t="s">
        <v>956</v>
      </c>
      <c r="D2800" s="0" t="s">
        <v>55</v>
      </c>
      <c r="E2800" s="0" t="s">
        <v>965</v>
      </c>
      <c r="F2800" s="0" t="n">
        <v>4</v>
      </c>
      <c r="G2800" s="0" t="n">
        <v>0</v>
      </c>
      <c r="H2800" s="0" t="s">
        <v>122</v>
      </c>
      <c r="K2800" s="0" t="s">
        <v>135</v>
      </c>
      <c r="L2800" s="0" t="s">
        <v>4280</v>
      </c>
    </row>
    <row r="2801" customFormat="false" ht="15" hidden="false" customHeight="false" outlineLevel="0" collapsed="false">
      <c r="A2801" s="0" t="s">
        <v>3883</v>
      </c>
      <c r="C2801" s="0" t="s">
        <v>956</v>
      </c>
      <c r="D2801" s="0" t="s">
        <v>58</v>
      </c>
      <c r="E2801" s="0" t="s">
        <v>967</v>
      </c>
      <c r="F2801" s="0" t="n">
        <v>4</v>
      </c>
      <c r="G2801" s="0" t="n">
        <v>0</v>
      </c>
      <c r="H2801" s="0" t="s">
        <v>122</v>
      </c>
      <c r="K2801" s="0" t="s">
        <v>138</v>
      </c>
      <c r="L2801" s="0" t="s">
        <v>4281</v>
      </c>
    </row>
    <row r="2802" customFormat="false" ht="15" hidden="false" customHeight="false" outlineLevel="0" collapsed="false">
      <c r="A2802" s="0" t="s">
        <v>3883</v>
      </c>
      <c r="C2802" s="0" t="s">
        <v>956</v>
      </c>
      <c r="D2802" s="0" t="s">
        <v>65</v>
      </c>
      <c r="E2802" s="0" t="s">
        <v>2624</v>
      </c>
      <c r="F2802" s="0" t="n">
        <v>4</v>
      </c>
      <c r="G2802" s="0" t="n">
        <v>0</v>
      </c>
      <c r="H2802" s="0" t="s">
        <v>122</v>
      </c>
      <c r="K2802" s="0" t="s">
        <v>143</v>
      </c>
      <c r="L2802" s="0" t="s">
        <v>4282</v>
      </c>
    </row>
    <row r="2803" customFormat="false" ht="15" hidden="false" customHeight="false" outlineLevel="0" collapsed="false">
      <c r="A2803" s="0" t="s">
        <v>3883</v>
      </c>
      <c r="C2803" s="0" t="s">
        <v>956</v>
      </c>
      <c r="D2803" s="0" t="s">
        <v>69</v>
      </c>
      <c r="E2803" s="0" t="s">
        <v>1982</v>
      </c>
      <c r="F2803" s="0" t="n">
        <v>4</v>
      </c>
      <c r="G2803" s="0" t="n">
        <v>0</v>
      </c>
      <c r="H2803" s="0" t="s">
        <v>122</v>
      </c>
      <c r="K2803" s="0" t="s">
        <v>146</v>
      </c>
      <c r="L2803" s="0" t="s">
        <v>4283</v>
      </c>
    </row>
    <row r="2804" customFormat="false" ht="15" hidden="false" customHeight="false" outlineLevel="0" collapsed="false">
      <c r="A2804" s="0" t="s">
        <v>3883</v>
      </c>
      <c r="C2804" s="0" t="s">
        <v>956</v>
      </c>
      <c r="D2804" s="0" t="s">
        <v>72</v>
      </c>
      <c r="E2804" s="0" t="s">
        <v>973</v>
      </c>
      <c r="F2804" s="0" t="n">
        <v>4</v>
      </c>
      <c r="G2804" s="0" t="n">
        <v>0</v>
      </c>
      <c r="H2804" s="0" t="s">
        <v>122</v>
      </c>
      <c r="K2804" s="0" t="s">
        <v>149</v>
      </c>
      <c r="L2804" s="0" t="s">
        <v>4284</v>
      </c>
    </row>
    <row r="2805" customFormat="false" ht="15" hidden="false" customHeight="false" outlineLevel="0" collapsed="false">
      <c r="A2805" s="0" t="s">
        <v>3883</v>
      </c>
      <c r="C2805" s="0" t="s">
        <v>956</v>
      </c>
      <c r="D2805" s="0" t="s">
        <v>75</v>
      </c>
      <c r="E2805" s="0" t="s">
        <v>1985</v>
      </c>
      <c r="F2805" s="0" t="n">
        <v>4</v>
      </c>
      <c r="G2805" s="0" t="n">
        <v>0</v>
      </c>
      <c r="H2805" s="0" t="s">
        <v>122</v>
      </c>
      <c r="K2805" s="0" t="s">
        <v>152</v>
      </c>
      <c r="L2805" s="0" t="s">
        <v>4285</v>
      </c>
    </row>
    <row r="2806" customFormat="false" ht="15" hidden="false" customHeight="false" outlineLevel="0" collapsed="false">
      <c r="A2806" s="0" t="s">
        <v>3883</v>
      </c>
      <c r="C2806" s="0" t="s">
        <v>956</v>
      </c>
      <c r="D2806" s="0" t="s">
        <v>78</v>
      </c>
      <c r="E2806" s="0" t="s">
        <v>1987</v>
      </c>
      <c r="F2806" s="0" t="n">
        <v>4</v>
      </c>
      <c r="G2806" s="0" t="n">
        <v>0</v>
      </c>
      <c r="H2806" s="0" t="s">
        <v>122</v>
      </c>
      <c r="K2806" s="0" t="s">
        <v>156</v>
      </c>
      <c r="L2806" s="0" t="s">
        <v>4286</v>
      </c>
    </row>
    <row r="2807" customFormat="false" ht="15" hidden="false" customHeight="false" outlineLevel="0" collapsed="false">
      <c r="A2807" s="0" t="s">
        <v>3883</v>
      </c>
      <c r="C2807" s="0" t="s">
        <v>956</v>
      </c>
      <c r="D2807" s="0" t="s">
        <v>81</v>
      </c>
      <c r="E2807" s="0" t="s">
        <v>1989</v>
      </c>
      <c r="F2807" s="0" t="n">
        <v>4</v>
      </c>
      <c r="G2807" s="0" t="n">
        <v>0</v>
      </c>
      <c r="H2807" s="0" t="s">
        <v>122</v>
      </c>
      <c r="K2807" s="0" t="s">
        <v>160</v>
      </c>
      <c r="L2807" s="0" t="s">
        <v>4287</v>
      </c>
    </row>
    <row r="2808" customFormat="false" ht="15" hidden="false" customHeight="false" outlineLevel="0" collapsed="false">
      <c r="A2808" s="0" t="s">
        <v>3883</v>
      </c>
      <c r="C2808" s="0" t="s">
        <v>981</v>
      </c>
      <c r="D2808" s="0" t="s">
        <v>528</v>
      </c>
      <c r="E2808" s="0" t="s">
        <v>982</v>
      </c>
      <c r="F2808" s="0" t="n">
        <v>4</v>
      </c>
      <c r="G2808" s="0" t="n">
        <v>0</v>
      </c>
      <c r="H2808" s="0" t="s">
        <v>122</v>
      </c>
      <c r="K2808" s="0" t="s">
        <v>118</v>
      </c>
      <c r="L2808" s="0" t="s">
        <v>4288</v>
      </c>
    </row>
    <row r="2809" customFormat="false" ht="15" hidden="false" customHeight="false" outlineLevel="0" collapsed="false">
      <c r="A2809" s="0" t="s">
        <v>3883</v>
      </c>
      <c r="C2809" s="0" t="s">
        <v>981</v>
      </c>
      <c r="D2809" s="0" t="s">
        <v>531</v>
      </c>
      <c r="E2809" s="0" t="s">
        <v>984</v>
      </c>
      <c r="F2809" s="0" t="n">
        <v>4</v>
      </c>
      <c r="G2809" s="0" t="n">
        <v>0</v>
      </c>
      <c r="H2809" s="0" t="s">
        <v>122</v>
      </c>
      <c r="K2809" s="0" t="s">
        <v>123</v>
      </c>
      <c r="L2809" s="0" t="s">
        <v>4289</v>
      </c>
    </row>
    <row r="2810" customFormat="false" ht="15" hidden="false" customHeight="false" outlineLevel="0" collapsed="false">
      <c r="A2810" s="0" t="s">
        <v>3883</v>
      </c>
      <c r="C2810" s="0" t="s">
        <v>981</v>
      </c>
      <c r="D2810" s="0" t="s">
        <v>534</v>
      </c>
      <c r="E2810" s="0" t="s">
        <v>986</v>
      </c>
      <c r="F2810" s="0" t="n">
        <v>4</v>
      </c>
      <c r="G2810" s="0" t="n">
        <v>0</v>
      </c>
      <c r="H2810" s="0" t="s">
        <v>122</v>
      </c>
      <c r="K2810" s="0" t="s">
        <v>127</v>
      </c>
      <c r="L2810" s="0" t="s">
        <v>4290</v>
      </c>
    </row>
    <row r="2811" customFormat="false" ht="15" hidden="false" customHeight="false" outlineLevel="0" collapsed="false">
      <c r="A2811" s="0" t="s">
        <v>3883</v>
      </c>
      <c r="C2811" s="0" t="s">
        <v>981</v>
      </c>
      <c r="D2811" s="0" t="s">
        <v>52</v>
      </c>
      <c r="E2811" s="0" t="s">
        <v>988</v>
      </c>
      <c r="F2811" s="0" t="n">
        <v>4</v>
      </c>
      <c r="G2811" s="0" t="n">
        <v>0</v>
      </c>
      <c r="H2811" s="0" t="s">
        <v>122</v>
      </c>
      <c r="K2811" s="0" t="s">
        <v>132</v>
      </c>
      <c r="L2811" s="0" t="s">
        <v>4291</v>
      </c>
    </row>
    <row r="2812" customFormat="false" ht="15" hidden="false" customHeight="false" outlineLevel="0" collapsed="false">
      <c r="A2812" s="0" t="s">
        <v>3883</v>
      </c>
      <c r="C2812" s="0" t="s">
        <v>981</v>
      </c>
      <c r="D2812" s="0" t="s">
        <v>55</v>
      </c>
      <c r="E2812" s="0" t="s">
        <v>1995</v>
      </c>
      <c r="F2812" s="0" t="n">
        <v>4</v>
      </c>
      <c r="G2812" s="0" t="n">
        <v>0</v>
      </c>
      <c r="H2812" s="0" t="s">
        <v>122</v>
      </c>
      <c r="K2812" s="0" t="s">
        <v>135</v>
      </c>
      <c r="L2812" s="0" t="s">
        <v>4292</v>
      </c>
    </row>
    <row r="2813" customFormat="false" ht="15" hidden="false" customHeight="false" outlineLevel="0" collapsed="false">
      <c r="A2813" s="0" t="s">
        <v>3883</v>
      </c>
      <c r="C2813" s="0" t="s">
        <v>981</v>
      </c>
      <c r="D2813" s="0" t="s">
        <v>58</v>
      </c>
      <c r="E2813" s="0" t="s">
        <v>992</v>
      </c>
      <c r="F2813" s="0" t="n">
        <v>4</v>
      </c>
      <c r="G2813" s="0" t="n">
        <v>0</v>
      </c>
      <c r="H2813" s="0" t="s">
        <v>122</v>
      </c>
      <c r="K2813" s="0" t="s">
        <v>138</v>
      </c>
      <c r="L2813" s="0" t="s">
        <v>4293</v>
      </c>
    </row>
    <row r="2814" customFormat="false" ht="15" hidden="false" customHeight="false" outlineLevel="0" collapsed="false">
      <c r="A2814" s="0" t="s">
        <v>3883</v>
      </c>
      <c r="C2814" s="0" t="s">
        <v>981</v>
      </c>
      <c r="D2814" s="0" t="s">
        <v>65</v>
      </c>
      <c r="E2814" s="0" t="s">
        <v>2641</v>
      </c>
      <c r="F2814" s="0" t="n">
        <v>4</v>
      </c>
      <c r="G2814" s="0" t="n">
        <v>0</v>
      </c>
      <c r="H2814" s="0" t="s">
        <v>122</v>
      </c>
      <c r="K2814" s="0" t="s">
        <v>143</v>
      </c>
      <c r="L2814" s="0" t="s">
        <v>4294</v>
      </c>
    </row>
    <row r="2815" customFormat="false" ht="15" hidden="false" customHeight="false" outlineLevel="0" collapsed="false">
      <c r="A2815" s="0" t="s">
        <v>3883</v>
      </c>
      <c r="C2815" s="0" t="s">
        <v>981</v>
      </c>
      <c r="D2815" s="0" t="s">
        <v>69</v>
      </c>
      <c r="E2815" s="0" t="s">
        <v>3754</v>
      </c>
      <c r="F2815" s="0" t="n">
        <v>4</v>
      </c>
      <c r="G2815" s="0" t="n">
        <v>0</v>
      </c>
      <c r="H2815" s="0" t="s">
        <v>122</v>
      </c>
      <c r="K2815" s="0" t="s">
        <v>146</v>
      </c>
      <c r="L2815" s="0" t="s">
        <v>4295</v>
      </c>
    </row>
    <row r="2816" customFormat="false" ht="15" hidden="false" customHeight="false" outlineLevel="0" collapsed="false">
      <c r="A2816" s="0" t="s">
        <v>3883</v>
      </c>
      <c r="C2816" s="0" t="s">
        <v>981</v>
      </c>
      <c r="D2816" s="0" t="s">
        <v>72</v>
      </c>
      <c r="E2816" s="0" t="s">
        <v>3756</v>
      </c>
      <c r="F2816" s="0" t="n">
        <v>4</v>
      </c>
      <c r="G2816" s="0" t="n">
        <v>0</v>
      </c>
      <c r="H2816" s="0" t="s">
        <v>122</v>
      </c>
      <c r="K2816" s="0" t="s">
        <v>149</v>
      </c>
      <c r="L2816" s="0" t="s">
        <v>4296</v>
      </c>
    </row>
    <row r="2817" customFormat="false" ht="15" hidden="false" customHeight="false" outlineLevel="0" collapsed="false">
      <c r="A2817" s="0" t="s">
        <v>3883</v>
      </c>
      <c r="C2817" s="0" t="s">
        <v>981</v>
      </c>
      <c r="D2817" s="0" t="s">
        <v>75</v>
      </c>
      <c r="E2817" s="0" t="s">
        <v>3758</v>
      </c>
      <c r="F2817" s="0" t="n">
        <v>4</v>
      </c>
      <c r="G2817" s="0" t="n">
        <v>0</v>
      </c>
      <c r="H2817" s="0" t="s">
        <v>122</v>
      </c>
      <c r="K2817" s="0" t="s">
        <v>152</v>
      </c>
      <c r="L2817" s="0" t="s">
        <v>4297</v>
      </c>
    </row>
    <row r="2818" customFormat="false" ht="15" hidden="false" customHeight="false" outlineLevel="0" collapsed="false">
      <c r="A2818" s="0" t="s">
        <v>3883</v>
      </c>
      <c r="C2818" s="0" t="s">
        <v>981</v>
      </c>
      <c r="D2818" s="0" t="s">
        <v>78</v>
      </c>
      <c r="E2818" s="0" t="s">
        <v>3760</v>
      </c>
      <c r="F2818" s="0" t="n">
        <v>4</v>
      </c>
      <c r="G2818" s="0" t="n">
        <v>0</v>
      </c>
      <c r="H2818" s="0" t="s">
        <v>122</v>
      </c>
      <c r="K2818" s="0" t="s">
        <v>156</v>
      </c>
      <c r="L2818" s="0" t="s">
        <v>4298</v>
      </c>
    </row>
    <row r="2819" customFormat="false" ht="15" hidden="false" customHeight="false" outlineLevel="0" collapsed="false">
      <c r="A2819" s="0" t="s">
        <v>3883</v>
      </c>
      <c r="C2819" s="0" t="s">
        <v>981</v>
      </c>
      <c r="D2819" s="0" t="s">
        <v>81</v>
      </c>
      <c r="E2819" s="0" t="s">
        <v>3762</v>
      </c>
      <c r="F2819" s="0" t="n">
        <v>4</v>
      </c>
      <c r="G2819" s="0" t="n">
        <v>0</v>
      </c>
      <c r="H2819" s="0" t="s">
        <v>122</v>
      </c>
      <c r="K2819" s="0" t="s">
        <v>160</v>
      </c>
      <c r="L2819" s="0" t="s">
        <v>4299</v>
      </c>
    </row>
    <row r="2820" customFormat="false" ht="15" hidden="false" customHeight="false" outlineLevel="0" collapsed="false">
      <c r="A2820" s="0" t="s">
        <v>3883</v>
      </c>
      <c r="C2820" s="0" t="s">
        <v>1006</v>
      </c>
      <c r="D2820" s="0" t="s">
        <v>528</v>
      </c>
      <c r="E2820" s="0" t="s">
        <v>1007</v>
      </c>
      <c r="F2820" s="0" t="n">
        <v>4</v>
      </c>
      <c r="G2820" s="0" t="n">
        <v>0</v>
      </c>
      <c r="H2820" s="0" t="s">
        <v>122</v>
      </c>
      <c r="K2820" s="0" t="s">
        <v>118</v>
      </c>
      <c r="L2820" s="0" t="s">
        <v>4300</v>
      </c>
    </row>
    <row r="2821" customFormat="false" ht="15" hidden="false" customHeight="false" outlineLevel="0" collapsed="false">
      <c r="A2821" s="0" t="s">
        <v>3883</v>
      </c>
      <c r="C2821" s="0" t="s">
        <v>1006</v>
      </c>
      <c r="D2821" s="0" t="s">
        <v>531</v>
      </c>
      <c r="E2821" s="0" t="s">
        <v>3765</v>
      </c>
      <c r="F2821" s="0" t="n">
        <v>4</v>
      </c>
      <c r="G2821" s="0" t="n">
        <v>0</v>
      </c>
      <c r="H2821" s="0" t="s">
        <v>122</v>
      </c>
      <c r="K2821" s="0" t="s">
        <v>123</v>
      </c>
      <c r="L2821" s="0" t="s">
        <v>4301</v>
      </c>
    </row>
    <row r="2822" customFormat="false" ht="15" hidden="false" customHeight="false" outlineLevel="0" collapsed="false">
      <c r="A2822" s="0" t="s">
        <v>3883</v>
      </c>
      <c r="C2822" s="0" t="s">
        <v>1006</v>
      </c>
      <c r="D2822" s="0" t="s">
        <v>534</v>
      </c>
      <c r="E2822" s="0" t="s">
        <v>3767</v>
      </c>
      <c r="F2822" s="0" t="n">
        <v>4</v>
      </c>
      <c r="G2822" s="0" t="n">
        <v>0</v>
      </c>
      <c r="H2822" s="0" t="s">
        <v>122</v>
      </c>
      <c r="K2822" s="0" t="s">
        <v>127</v>
      </c>
      <c r="L2822" s="0" t="s">
        <v>4302</v>
      </c>
    </row>
    <row r="2823" customFormat="false" ht="15" hidden="false" customHeight="false" outlineLevel="0" collapsed="false">
      <c r="A2823" s="0" t="s">
        <v>3883</v>
      </c>
      <c r="C2823" s="0" t="s">
        <v>1006</v>
      </c>
      <c r="D2823" s="0" t="s">
        <v>52</v>
      </c>
      <c r="E2823" s="0" t="s">
        <v>3769</v>
      </c>
      <c r="F2823" s="0" t="n">
        <v>4</v>
      </c>
      <c r="G2823" s="0" t="n">
        <v>0</v>
      </c>
      <c r="H2823" s="0" t="s">
        <v>122</v>
      </c>
      <c r="K2823" s="0" t="s">
        <v>132</v>
      </c>
      <c r="L2823" s="0" t="s">
        <v>4303</v>
      </c>
    </row>
    <row r="2824" customFormat="false" ht="15" hidden="false" customHeight="false" outlineLevel="0" collapsed="false">
      <c r="A2824" s="0" t="s">
        <v>3883</v>
      </c>
      <c r="C2824" s="0" t="s">
        <v>1006</v>
      </c>
      <c r="D2824" s="0" t="s">
        <v>55</v>
      </c>
      <c r="E2824" s="0" t="s">
        <v>3771</v>
      </c>
      <c r="F2824" s="0" t="n">
        <v>4</v>
      </c>
      <c r="G2824" s="0" t="n">
        <v>0</v>
      </c>
      <c r="H2824" s="0" t="s">
        <v>122</v>
      </c>
      <c r="K2824" s="0" t="s">
        <v>135</v>
      </c>
      <c r="L2824" s="0" t="s">
        <v>4304</v>
      </c>
    </row>
    <row r="2825" customFormat="false" ht="15" hidden="false" customHeight="false" outlineLevel="0" collapsed="false">
      <c r="A2825" s="0" t="s">
        <v>3883</v>
      </c>
      <c r="C2825" s="0" t="s">
        <v>1006</v>
      </c>
      <c r="D2825" s="0" t="s">
        <v>58</v>
      </c>
      <c r="E2825" s="0" t="s">
        <v>3773</v>
      </c>
      <c r="F2825" s="0" t="n">
        <v>4</v>
      </c>
      <c r="G2825" s="0" t="n">
        <v>0</v>
      </c>
      <c r="H2825" s="0" t="s">
        <v>122</v>
      </c>
      <c r="K2825" s="0" t="s">
        <v>138</v>
      </c>
      <c r="L2825" s="0" t="s">
        <v>4305</v>
      </c>
    </row>
    <row r="2826" customFormat="false" ht="15" hidden="false" customHeight="false" outlineLevel="0" collapsed="false">
      <c r="A2826" s="0" t="s">
        <v>3883</v>
      </c>
      <c r="C2826" s="0" t="s">
        <v>1006</v>
      </c>
      <c r="D2826" s="0" t="s">
        <v>65</v>
      </c>
      <c r="E2826" s="0" t="s">
        <v>2664</v>
      </c>
      <c r="F2826" s="0" t="n">
        <v>4</v>
      </c>
      <c r="G2826" s="0" t="n">
        <v>0</v>
      </c>
      <c r="H2826" s="0" t="s">
        <v>122</v>
      </c>
      <c r="K2826" s="0" t="s">
        <v>143</v>
      </c>
      <c r="L2826" s="0" t="s">
        <v>4306</v>
      </c>
    </row>
    <row r="2827" customFormat="false" ht="15" hidden="false" customHeight="false" outlineLevel="0" collapsed="false">
      <c r="A2827" s="0" t="s">
        <v>3883</v>
      </c>
      <c r="C2827" s="0" t="s">
        <v>1006</v>
      </c>
      <c r="D2827" s="0" t="s">
        <v>69</v>
      </c>
      <c r="E2827" s="0" t="s">
        <v>3776</v>
      </c>
      <c r="F2827" s="0" t="n">
        <v>4</v>
      </c>
      <c r="G2827" s="0" t="n">
        <v>0</v>
      </c>
      <c r="H2827" s="0" t="s">
        <v>122</v>
      </c>
      <c r="K2827" s="0" t="s">
        <v>146</v>
      </c>
      <c r="L2827" s="0" t="s">
        <v>4307</v>
      </c>
    </row>
    <row r="2828" customFormat="false" ht="15" hidden="false" customHeight="false" outlineLevel="0" collapsed="false">
      <c r="A2828" s="0" t="s">
        <v>3883</v>
      </c>
      <c r="C2828" s="0" t="s">
        <v>1006</v>
      </c>
      <c r="D2828" s="0" t="s">
        <v>72</v>
      </c>
      <c r="E2828" s="0" t="s">
        <v>2668</v>
      </c>
      <c r="F2828" s="0" t="n">
        <v>4</v>
      </c>
      <c r="G2828" s="0" t="n">
        <v>0</v>
      </c>
      <c r="H2828" s="0" t="s">
        <v>122</v>
      </c>
      <c r="K2828" s="0" t="s">
        <v>149</v>
      </c>
      <c r="L2828" s="0" t="s">
        <v>4308</v>
      </c>
    </row>
    <row r="2829" customFormat="false" ht="15" hidden="false" customHeight="false" outlineLevel="0" collapsed="false">
      <c r="A2829" s="0" t="s">
        <v>3883</v>
      </c>
      <c r="C2829" s="0" t="s">
        <v>1006</v>
      </c>
      <c r="D2829" s="0" t="s">
        <v>75</v>
      </c>
      <c r="E2829" s="0" t="s">
        <v>3779</v>
      </c>
      <c r="F2829" s="0" t="n">
        <v>4</v>
      </c>
      <c r="G2829" s="0" t="n">
        <v>0</v>
      </c>
      <c r="H2829" s="0" t="s">
        <v>122</v>
      </c>
      <c r="K2829" s="0" t="s">
        <v>152</v>
      </c>
      <c r="L2829" s="0" t="s">
        <v>4309</v>
      </c>
    </row>
    <row r="2830" customFormat="false" ht="15" hidden="false" customHeight="false" outlineLevel="0" collapsed="false">
      <c r="A2830" s="0" t="s">
        <v>3883</v>
      </c>
      <c r="C2830" s="0" t="s">
        <v>1006</v>
      </c>
      <c r="D2830" s="0" t="s">
        <v>78</v>
      </c>
      <c r="E2830" s="0" t="s">
        <v>2672</v>
      </c>
      <c r="F2830" s="0" t="n">
        <v>4</v>
      </c>
      <c r="G2830" s="0" t="n">
        <v>0</v>
      </c>
      <c r="H2830" s="0" t="s">
        <v>122</v>
      </c>
      <c r="K2830" s="0" t="s">
        <v>156</v>
      </c>
      <c r="L2830" s="0" t="s">
        <v>4310</v>
      </c>
    </row>
    <row r="2831" customFormat="false" ht="15" hidden="false" customHeight="false" outlineLevel="0" collapsed="false">
      <c r="A2831" s="0" t="s">
        <v>3883</v>
      </c>
      <c r="C2831" s="0" t="s">
        <v>1006</v>
      </c>
      <c r="D2831" s="0" t="s">
        <v>81</v>
      </c>
      <c r="E2831" s="0" t="s">
        <v>3782</v>
      </c>
      <c r="F2831" s="0" t="n">
        <v>4</v>
      </c>
      <c r="G2831" s="0" t="n">
        <v>0</v>
      </c>
      <c r="H2831" s="0" t="s">
        <v>122</v>
      </c>
      <c r="K2831" s="0" t="s">
        <v>160</v>
      </c>
      <c r="L2831" s="0" t="s">
        <v>4311</v>
      </c>
    </row>
    <row r="2832" customFormat="false" ht="15" hidden="false" customHeight="false" outlineLevel="0" collapsed="false">
      <c r="A2832" s="0" t="s">
        <v>3883</v>
      </c>
      <c r="C2832" s="0" t="s">
        <v>1031</v>
      </c>
      <c r="D2832" s="0" t="s">
        <v>528</v>
      </c>
      <c r="E2832" s="0" t="s">
        <v>1032</v>
      </c>
      <c r="F2832" s="0" t="n">
        <v>4</v>
      </c>
      <c r="G2832" s="0" t="n">
        <v>0</v>
      </c>
      <c r="H2832" s="0" t="s">
        <v>122</v>
      </c>
      <c r="K2832" s="0" t="s">
        <v>118</v>
      </c>
      <c r="L2832" s="0" t="s">
        <v>4312</v>
      </c>
    </row>
    <row r="2833" customFormat="false" ht="15" hidden="false" customHeight="false" outlineLevel="0" collapsed="false">
      <c r="A2833" s="0" t="s">
        <v>3883</v>
      </c>
      <c r="C2833" s="0" t="s">
        <v>1031</v>
      </c>
      <c r="D2833" s="0" t="s">
        <v>531</v>
      </c>
      <c r="E2833" s="0" t="s">
        <v>2677</v>
      </c>
      <c r="F2833" s="0" t="n">
        <v>4</v>
      </c>
      <c r="G2833" s="0" t="n">
        <v>0</v>
      </c>
      <c r="H2833" s="0" t="s">
        <v>122</v>
      </c>
      <c r="K2833" s="0" t="s">
        <v>123</v>
      </c>
      <c r="L2833" s="0" t="s">
        <v>4313</v>
      </c>
    </row>
    <row r="2834" customFormat="false" ht="15" hidden="false" customHeight="false" outlineLevel="0" collapsed="false">
      <c r="A2834" s="0" t="s">
        <v>3883</v>
      </c>
      <c r="C2834" s="0" t="s">
        <v>1031</v>
      </c>
      <c r="D2834" s="0" t="s">
        <v>534</v>
      </c>
      <c r="E2834" s="0" t="s">
        <v>3786</v>
      </c>
      <c r="F2834" s="0" t="n">
        <v>4</v>
      </c>
      <c r="G2834" s="0" t="n">
        <v>0</v>
      </c>
      <c r="H2834" s="0" t="s">
        <v>122</v>
      </c>
      <c r="K2834" s="0" t="s">
        <v>127</v>
      </c>
      <c r="L2834" s="0" t="s">
        <v>4314</v>
      </c>
    </row>
    <row r="2835" customFormat="false" ht="15" hidden="false" customHeight="false" outlineLevel="0" collapsed="false">
      <c r="A2835" s="0" t="s">
        <v>3883</v>
      </c>
      <c r="C2835" s="0" t="s">
        <v>1031</v>
      </c>
      <c r="D2835" s="0" t="s">
        <v>52</v>
      </c>
      <c r="E2835" s="0" t="s">
        <v>3788</v>
      </c>
      <c r="F2835" s="0" t="n">
        <v>4</v>
      </c>
      <c r="G2835" s="0" t="n">
        <v>0</v>
      </c>
      <c r="H2835" s="0" t="s">
        <v>122</v>
      </c>
      <c r="K2835" s="0" t="s">
        <v>132</v>
      </c>
      <c r="L2835" s="0" t="s">
        <v>4315</v>
      </c>
    </row>
    <row r="2836" customFormat="false" ht="15" hidden="false" customHeight="false" outlineLevel="0" collapsed="false">
      <c r="A2836" s="0" t="s">
        <v>3883</v>
      </c>
      <c r="C2836" s="0" t="s">
        <v>1031</v>
      </c>
      <c r="D2836" s="0" t="s">
        <v>55</v>
      </c>
      <c r="E2836" s="0" t="s">
        <v>2683</v>
      </c>
      <c r="F2836" s="0" t="n">
        <v>4</v>
      </c>
      <c r="G2836" s="0" t="n">
        <v>0</v>
      </c>
      <c r="H2836" s="0" t="s">
        <v>122</v>
      </c>
      <c r="K2836" s="0" t="s">
        <v>135</v>
      </c>
      <c r="L2836" s="0" t="s">
        <v>4316</v>
      </c>
    </row>
    <row r="2837" customFormat="false" ht="15" hidden="false" customHeight="false" outlineLevel="0" collapsed="false">
      <c r="A2837" s="0" t="s">
        <v>3883</v>
      </c>
      <c r="C2837" s="0" t="s">
        <v>1031</v>
      </c>
      <c r="D2837" s="0" t="s">
        <v>58</v>
      </c>
      <c r="E2837" s="0" t="s">
        <v>1042</v>
      </c>
      <c r="F2837" s="0" t="n">
        <v>4</v>
      </c>
      <c r="G2837" s="0" t="n">
        <v>0</v>
      </c>
      <c r="H2837" s="0" t="s">
        <v>122</v>
      </c>
      <c r="K2837" s="0" t="s">
        <v>138</v>
      </c>
      <c r="L2837" s="0" t="s">
        <v>4317</v>
      </c>
    </row>
    <row r="2838" customFormat="false" ht="15" hidden="false" customHeight="false" outlineLevel="0" collapsed="false">
      <c r="A2838" s="0" t="s">
        <v>3883</v>
      </c>
      <c r="C2838" s="0" t="s">
        <v>1031</v>
      </c>
      <c r="D2838" s="0" t="s">
        <v>65</v>
      </c>
      <c r="E2838" s="0" t="s">
        <v>2686</v>
      </c>
      <c r="F2838" s="0" t="n">
        <v>4</v>
      </c>
      <c r="G2838" s="0" t="n">
        <v>0</v>
      </c>
      <c r="H2838" s="0" t="s">
        <v>122</v>
      </c>
      <c r="K2838" s="0" t="s">
        <v>143</v>
      </c>
      <c r="L2838" s="0" t="s">
        <v>4318</v>
      </c>
    </row>
    <row r="2839" customFormat="false" ht="15" hidden="false" customHeight="false" outlineLevel="0" collapsed="false">
      <c r="A2839" s="0" t="s">
        <v>3883</v>
      </c>
      <c r="C2839" s="0" t="s">
        <v>1031</v>
      </c>
      <c r="D2839" s="0" t="s">
        <v>69</v>
      </c>
      <c r="E2839" s="0" t="s">
        <v>2688</v>
      </c>
      <c r="F2839" s="0" t="n">
        <v>4</v>
      </c>
      <c r="G2839" s="0" t="n">
        <v>0</v>
      </c>
      <c r="H2839" s="0" t="s">
        <v>122</v>
      </c>
      <c r="K2839" s="0" t="s">
        <v>146</v>
      </c>
      <c r="L2839" s="0" t="s">
        <v>4319</v>
      </c>
    </row>
    <row r="2840" customFormat="false" ht="15" hidden="false" customHeight="false" outlineLevel="0" collapsed="false">
      <c r="A2840" s="0" t="s">
        <v>3883</v>
      </c>
      <c r="C2840" s="0" t="s">
        <v>1031</v>
      </c>
      <c r="D2840" s="0" t="s">
        <v>72</v>
      </c>
      <c r="E2840" s="0" t="s">
        <v>2690</v>
      </c>
      <c r="F2840" s="0" t="n">
        <v>4</v>
      </c>
      <c r="G2840" s="0" t="n">
        <v>0</v>
      </c>
      <c r="H2840" s="0" t="s">
        <v>122</v>
      </c>
      <c r="K2840" s="0" t="s">
        <v>149</v>
      </c>
      <c r="L2840" s="0" t="s">
        <v>4320</v>
      </c>
    </row>
    <row r="2841" customFormat="false" ht="15" hidden="false" customHeight="false" outlineLevel="0" collapsed="false">
      <c r="A2841" s="0" t="s">
        <v>3883</v>
      </c>
      <c r="C2841" s="0" t="s">
        <v>1031</v>
      </c>
      <c r="D2841" s="0" t="s">
        <v>75</v>
      </c>
      <c r="E2841" s="0" t="s">
        <v>2692</v>
      </c>
      <c r="F2841" s="0" t="n">
        <v>4</v>
      </c>
      <c r="G2841" s="0" t="n">
        <v>0</v>
      </c>
      <c r="H2841" s="0" t="s">
        <v>122</v>
      </c>
      <c r="K2841" s="0" t="s">
        <v>152</v>
      </c>
      <c r="L2841" s="0" t="s">
        <v>4321</v>
      </c>
    </row>
    <row r="2842" customFormat="false" ht="15" hidden="false" customHeight="false" outlineLevel="0" collapsed="false">
      <c r="A2842" s="0" t="s">
        <v>3883</v>
      </c>
      <c r="C2842" s="0" t="s">
        <v>1031</v>
      </c>
      <c r="D2842" s="0" t="s">
        <v>78</v>
      </c>
      <c r="E2842" s="0" t="s">
        <v>3796</v>
      </c>
      <c r="F2842" s="0" t="n">
        <v>4</v>
      </c>
      <c r="G2842" s="0" t="n">
        <v>0</v>
      </c>
      <c r="H2842" s="0" t="s">
        <v>122</v>
      </c>
      <c r="K2842" s="0" t="s">
        <v>156</v>
      </c>
      <c r="L2842" s="0" t="s">
        <v>4322</v>
      </c>
    </row>
    <row r="2843" customFormat="false" ht="15" hidden="false" customHeight="false" outlineLevel="0" collapsed="false">
      <c r="A2843" s="0" t="s">
        <v>3883</v>
      </c>
      <c r="C2843" s="0" t="s">
        <v>1031</v>
      </c>
      <c r="D2843" s="0" t="s">
        <v>81</v>
      </c>
      <c r="E2843" s="0" t="s">
        <v>1054</v>
      </c>
      <c r="F2843" s="0" t="n">
        <v>4</v>
      </c>
      <c r="G2843" s="0" t="n">
        <v>0</v>
      </c>
      <c r="H2843" s="0" t="s">
        <v>122</v>
      </c>
      <c r="K2843" s="0" t="s">
        <v>160</v>
      </c>
      <c r="L2843" s="0" t="s">
        <v>4323</v>
      </c>
    </row>
    <row r="2844" customFormat="false" ht="15" hidden="false" customHeight="false" outlineLevel="0" collapsed="false">
      <c r="A2844" s="0" t="s">
        <v>3883</v>
      </c>
      <c r="C2844" s="0" t="s">
        <v>1056</v>
      </c>
      <c r="D2844" s="0" t="s">
        <v>528</v>
      </c>
      <c r="E2844" s="0" t="s">
        <v>1057</v>
      </c>
      <c r="F2844" s="0" t="n">
        <v>0</v>
      </c>
      <c r="G2844" s="0" t="n">
        <v>0</v>
      </c>
      <c r="H2844" s="0" t="s">
        <v>117</v>
      </c>
      <c r="K2844" s="0" t="s">
        <v>118</v>
      </c>
      <c r="L2844" s="0" t="s">
        <v>4324</v>
      </c>
    </row>
    <row r="2845" customFormat="false" ht="15" hidden="false" customHeight="false" outlineLevel="0" collapsed="false">
      <c r="A2845" s="0" t="s">
        <v>3883</v>
      </c>
      <c r="C2845" s="0" t="s">
        <v>1056</v>
      </c>
      <c r="D2845" s="0" t="s">
        <v>531</v>
      </c>
      <c r="E2845" s="0" t="s">
        <v>1059</v>
      </c>
      <c r="F2845" s="0" t="n">
        <v>0</v>
      </c>
      <c r="G2845" s="0" t="n">
        <v>0</v>
      </c>
      <c r="H2845" s="0" t="s">
        <v>117</v>
      </c>
      <c r="K2845" s="0" t="s">
        <v>123</v>
      </c>
      <c r="L2845" s="0" t="s">
        <v>4325</v>
      </c>
    </row>
    <row r="2846" customFormat="false" ht="15" hidden="false" customHeight="false" outlineLevel="0" collapsed="false">
      <c r="A2846" s="0" t="s">
        <v>3883</v>
      </c>
      <c r="C2846" s="0" t="s">
        <v>1056</v>
      </c>
      <c r="D2846" s="0" t="s">
        <v>534</v>
      </c>
      <c r="E2846" s="0" t="s">
        <v>1061</v>
      </c>
      <c r="F2846" s="0" t="n">
        <v>0</v>
      </c>
      <c r="G2846" s="0" t="n">
        <v>0</v>
      </c>
      <c r="H2846" s="0" t="s">
        <v>117</v>
      </c>
      <c r="K2846" s="0" t="s">
        <v>127</v>
      </c>
      <c r="L2846" s="0" t="s">
        <v>4326</v>
      </c>
    </row>
    <row r="2847" customFormat="false" ht="15" hidden="false" customHeight="false" outlineLevel="0" collapsed="false">
      <c r="A2847" s="0" t="s">
        <v>3883</v>
      </c>
      <c r="C2847" s="0" t="s">
        <v>1056</v>
      </c>
      <c r="D2847" s="0" t="s">
        <v>52</v>
      </c>
      <c r="E2847" s="0" t="s">
        <v>1063</v>
      </c>
      <c r="F2847" s="0" t="n">
        <v>0</v>
      </c>
      <c r="G2847" s="0" t="n">
        <v>0</v>
      </c>
      <c r="H2847" s="0" t="s">
        <v>117</v>
      </c>
      <c r="K2847" s="0" t="s">
        <v>132</v>
      </c>
      <c r="L2847" s="0" t="s">
        <v>4327</v>
      </c>
    </row>
    <row r="2848" customFormat="false" ht="15" hidden="false" customHeight="false" outlineLevel="0" collapsed="false">
      <c r="A2848" s="0" t="s">
        <v>3883</v>
      </c>
      <c r="C2848" s="0" t="s">
        <v>1056</v>
      </c>
      <c r="D2848" s="0" t="s">
        <v>55</v>
      </c>
      <c r="E2848" s="0" t="s">
        <v>1065</v>
      </c>
      <c r="F2848" s="0" t="n">
        <v>0</v>
      </c>
      <c r="G2848" s="0" t="n">
        <v>0</v>
      </c>
      <c r="H2848" s="0" t="s">
        <v>117</v>
      </c>
      <c r="K2848" s="0" t="s">
        <v>135</v>
      </c>
      <c r="L2848" s="0" t="s">
        <v>4328</v>
      </c>
    </row>
    <row r="2849" customFormat="false" ht="15" hidden="false" customHeight="false" outlineLevel="0" collapsed="false">
      <c r="A2849" s="0" t="s">
        <v>3883</v>
      </c>
      <c r="C2849" s="0" t="s">
        <v>1056</v>
      </c>
      <c r="D2849" s="0" t="s">
        <v>58</v>
      </c>
      <c r="E2849" s="0" t="s">
        <v>1067</v>
      </c>
      <c r="F2849" s="0" t="n">
        <v>0</v>
      </c>
      <c r="G2849" s="0" t="n">
        <v>0</v>
      </c>
      <c r="H2849" s="0" t="s">
        <v>117</v>
      </c>
      <c r="K2849" s="0" t="s">
        <v>138</v>
      </c>
      <c r="L2849" s="0" t="s">
        <v>4329</v>
      </c>
    </row>
    <row r="2850" customFormat="false" ht="15" hidden="false" customHeight="false" outlineLevel="0" collapsed="false">
      <c r="A2850" s="0" t="s">
        <v>3883</v>
      </c>
      <c r="C2850" s="0" t="s">
        <v>1056</v>
      </c>
      <c r="D2850" s="0" t="s">
        <v>65</v>
      </c>
      <c r="E2850" s="0" t="s">
        <v>1069</v>
      </c>
      <c r="F2850" s="0" t="n">
        <v>0</v>
      </c>
      <c r="G2850" s="0" t="n">
        <v>0</v>
      </c>
      <c r="H2850" s="0" t="s">
        <v>117</v>
      </c>
      <c r="K2850" s="0" t="s">
        <v>143</v>
      </c>
      <c r="L2850" s="0" t="s">
        <v>4330</v>
      </c>
    </row>
    <row r="2851" customFormat="false" ht="15" hidden="false" customHeight="false" outlineLevel="0" collapsed="false">
      <c r="A2851" s="0" t="s">
        <v>3883</v>
      </c>
      <c r="C2851" s="0" t="s">
        <v>1056</v>
      </c>
      <c r="D2851" s="0" t="s">
        <v>69</v>
      </c>
      <c r="E2851" s="0" t="s">
        <v>1071</v>
      </c>
      <c r="F2851" s="0" t="n">
        <v>0</v>
      </c>
      <c r="G2851" s="0" t="n">
        <v>0</v>
      </c>
      <c r="H2851" s="0" t="s">
        <v>117</v>
      </c>
      <c r="K2851" s="0" t="s">
        <v>146</v>
      </c>
      <c r="L2851" s="0" t="s">
        <v>4331</v>
      </c>
    </row>
    <row r="2852" customFormat="false" ht="15" hidden="false" customHeight="false" outlineLevel="0" collapsed="false">
      <c r="A2852" s="0" t="s">
        <v>3883</v>
      </c>
      <c r="C2852" s="0" t="s">
        <v>1056</v>
      </c>
      <c r="D2852" s="0" t="s">
        <v>72</v>
      </c>
      <c r="E2852" s="0" t="s">
        <v>1073</v>
      </c>
      <c r="F2852" s="0" t="n">
        <v>0</v>
      </c>
      <c r="G2852" s="0" t="n">
        <v>0</v>
      </c>
      <c r="H2852" s="0" t="s">
        <v>117</v>
      </c>
      <c r="K2852" s="0" t="s">
        <v>149</v>
      </c>
      <c r="L2852" s="0" t="s">
        <v>4332</v>
      </c>
    </row>
    <row r="2853" customFormat="false" ht="15" hidden="false" customHeight="false" outlineLevel="0" collapsed="false">
      <c r="A2853" s="0" t="s">
        <v>3883</v>
      </c>
      <c r="C2853" s="0" t="s">
        <v>1056</v>
      </c>
      <c r="D2853" s="0" t="s">
        <v>75</v>
      </c>
      <c r="E2853" s="0" t="s">
        <v>2051</v>
      </c>
      <c r="F2853" s="0" t="n">
        <v>0</v>
      </c>
      <c r="G2853" s="0" t="n">
        <v>0</v>
      </c>
      <c r="H2853" s="0" t="s">
        <v>117</v>
      </c>
      <c r="K2853" s="0" t="s">
        <v>152</v>
      </c>
      <c r="L2853" s="0" t="s">
        <v>4333</v>
      </c>
    </row>
    <row r="2854" customFormat="false" ht="15" hidden="false" customHeight="false" outlineLevel="0" collapsed="false">
      <c r="A2854" s="0" t="s">
        <v>3883</v>
      </c>
      <c r="C2854" s="0" t="s">
        <v>1056</v>
      </c>
      <c r="D2854" s="0" t="s">
        <v>78</v>
      </c>
      <c r="E2854" s="0" t="s">
        <v>2053</v>
      </c>
      <c r="F2854" s="0" t="n">
        <v>0</v>
      </c>
      <c r="G2854" s="0" t="n">
        <v>0</v>
      </c>
      <c r="H2854" s="0" t="s">
        <v>117</v>
      </c>
      <c r="K2854" s="0" t="s">
        <v>156</v>
      </c>
      <c r="L2854" s="0" t="s">
        <v>4334</v>
      </c>
    </row>
    <row r="2855" customFormat="false" ht="15" hidden="false" customHeight="false" outlineLevel="0" collapsed="false">
      <c r="A2855" s="0" t="s">
        <v>3883</v>
      </c>
      <c r="C2855" s="0" t="s">
        <v>1056</v>
      </c>
      <c r="D2855" s="0" t="s">
        <v>81</v>
      </c>
      <c r="E2855" s="0" t="s">
        <v>2055</v>
      </c>
      <c r="F2855" s="0" t="n">
        <v>0</v>
      </c>
      <c r="G2855" s="0" t="n">
        <v>0</v>
      </c>
      <c r="H2855" s="0" t="s">
        <v>117</v>
      </c>
      <c r="K2855" s="0" t="s">
        <v>160</v>
      </c>
      <c r="L2855" s="0" t="s">
        <v>4335</v>
      </c>
    </row>
    <row r="2856" customFormat="false" ht="15" hidden="false" customHeight="false" outlineLevel="0" collapsed="false">
      <c r="A2856" s="0" t="s">
        <v>3883</v>
      </c>
      <c r="C2856" s="0" t="s">
        <v>1081</v>
      </c>
      <c r="D2856" s="0" t="s">
        <v>528</v>
      </c>
      <c r="E2856" s="0" t="s">
        <v>1082</v>
      </c>
      <c r="F2856" s="0" t="n">
        <v>0</v>
      </c>
      <c r="G2856" s="0" t="n">
        <v>0</v>
      </c>
      <c r="H2856" s="0" t="s">
        <v>117</v>
      </c>
      <c r="K2856" s="0" t="s">
        <v>118</v>
      </c>
      <c r="L2856" s="0" t="s">
        <v>4336</v>
      </c>
    </row>
    <row r="2857" customFormat="false" ht="15" hidden="false" customHeight="false" outlineLevel="0" collapsed="false">
      <c r="A2857" s="0" t="s">
        <v>3883</v>
      </c>
      <c r="C2857" s="0" t="s">
        <v>1081</v>
      </c>
      <c r="D2857" s="0" t="s">
        <v>531</v>
      </c>
      <c r="E2857" s="0" t="s">
        <v>1084</v>
      </c>
      <c r="F2857" s="0" t="n">
        <v>0</v>
      </c>
      <c r="G2857" s="0" t="n">
        <v>0</v>
      </c>
      <c r="H2857" s="0" t="s">
        <v>117</v>
      </c>
      <c r="K2857" s="0" t="s">
        <v>123</v>
      </c>
      <c r="L2857" s="0" t="s">
        <v>4337</v>
      </c>
    </row>
    <row r="2858" customFormat="false" ht="15" hidden="false" customHeight="false" outlineLevel="0" collapsed="false">
      <c r="A2858" s="0" t="s">
        <v>3883</v>
      </c>
      <c r="C2858" s="0" t="s">
        <v>1081</v>
      </c>
      <c r="D2858" s="0" t="s">
        <v>534</v>
      </c>
      <c r="E2858" s="0" t="s">
        <v>1086</v>
      </c>
      <c r="F2858" s="0" t="n">
        <v>0</v>
      </c>
      <c r="G2858" s="0" t="n">
        <v>0</v>
      </c>
      <c r="H2858" s="0" t="s">
        <v>117</v>
      </c>
      <c r="K2858" s="0" t="s">
        <v>127</v>
      </c>
      <c r="L2858" s="0" t="s">
        <v>4338</v>
      </c>
    </row>
    <row r="2859" customFormat="false" ht="15" hidden="false" customHeight="false" outlineLevel="0" collapsed="false">
      <c r="A2859" s="0" t="s">
        <v>3883</v>
      </c>
      <c r="C2859" s="0" t="s">
        <v>1081</v>
      </c>
      <c r="D2859" s="0" t="s">
        <v>52</v>
      </c>
      <c r="E2859" s="0" t="s">
        <v>1088</v>
      </c>
      <c r="F2859" s="0" t="n">
        <v>0</v>
      </c>
      <c r="G2859" s="0" t="n">
        <v>0</v>
      </c>
      <c r="H2859" s="0" t="s">
        <v>117</v>
      </c>
      <c r="K2859" s="0" t="s">
        <v>132</v>
      </c>
      <c r="L2859" s="0" t="s">
        <v>4339</v>
      </c>
    </row>
    <row r="2860" customFormat="false" ht="15" hidden="false" customHeight="false" outlineLevel="0" collapsed="false">
      <c r="A2860" s="0" t="s">
        <v>3883</v>
      </c>
      <c r="C2860" s="0" t="s">
        <v>1081</v>
      </c>
      <c r="D2860" s="0" t="s">
        <v>55</v>
      </c>
      <c r="E2860" s="0" t="s">
        <v>1090</v>
      </c>
      <c r="F2860" s="0" t="n">
        <v>0</v>
      </c>
      <c r="G2860" s="0" t="n">
        <v>0</v>
      </c>
      <c r="H2860" s="0" t="s">
        <v>117</v>
      </c>
      <c r="K2860" s="0" t="s">
        <v>135</v>
      </c>
      <c r="L2860" s="0" t="s">
        <v>4340</v>
      </c>
    </row>
    <row r="2861" customFormat="false" ht="15" hidden="false" customHeight="false" outlineLevel="0" collapsed="false">
      <c r="A2861" s="0" t="s">
        <v>3883</v>
      </c>
      <c r="C2861" s="0" t="s">
        <v>1081</v>
      </c>
      <c r="D2861" s="0" t="s">
        <v>58</v>
      </c>
      <c r="E2861" s="0" t="s">
        <v>1092</v>
      </c>
      <c r="F2861" s="0" t="n">
        <v>0</v>
      </c>
      <c r="G2861" s="0" t="n">
        <v>0</v>
      </c>
      <c r="H2861" s="0" t="s">
        <v>117</v>
      </c>
      <c r="K2861" s="0" t="s">
        <v>138</v>
      </c>
      <c r="L2861" s="0" t="s">
        <v>4341</v>
      </c>
    </row>
    <row r="2862" customFormat="false" ht="15" hidden="false" customHeight="false" outlineLevel="0" collapsed="false">
      <c r="A2862" s="0" t="s">
        <v>3883</v>
      </c>
      <c r="C2862" s="0" t="s">
        <v>1081</v>
      </c>
      <c r="D2862" s="0" t="s">
        <v>65</v>
      </c>
      <c r="E2862" s="0" t="s">
        <v>1094</v>
      </c>
      <c r="F2862" s="0" t="n">
        <v>0</v>
      </c>
      <c r="G2862" s="0" t="n">
        <v>0</v>
      </c>
      <c r="H2862" s="0" t="s">
        <v>117</v>
      </c>
      <c r="K2862" s="0" t="s">
        <v>143</v>
      </c>
      <c r="L2862" s="0" t="s">
        <v>4342</v>
      </c>
    </row>
    <row r="2863" customFormat="false" ht="15" hidden="false" customHeight="false" outlineLevel="0" collapsed="false">
      <c r="A2863" s="0" t="s">
        <v>3883</v>
      </c>
      <c r="C2863" s="0" t="s">
        <v>1081</v>
      </c>
      <c r="D2863" s="0" t="s">
        <v>69</v>
      </c>
      <c r="E2863" s="0" t="s">
        <v>1096</v>
      </c>
      <c r="F2863" s="0" t="n">
        <v>0</v>
      </c>
      <c r="G2863" s="0" t="n">
        <v>0</v>
      </c>
      <c r="H2863" s="0" t="s">
        <v>117</v>
      </c>
      <c r="K2863" s="0" t="s">
        <v>146</v>
      </c>
      <c r="L2863" s="0" t="s">
        <v>4343</v>
      </c>
    </row>
    <row r="2864" customFormat="false" ht="15" hidden="false" customHeight="false" outlineLevel="0" collapsed="false">
      <c r="A2864" s="0" t="s">
        <v>3883</v>
      </c>
      <c r="C2864" s="0" t="s">
        <v>1081</v>
      </c>
      <c r="D2864" s="0" t="s">
        <v>72</v>
      </c>
      <c r="E2864" s="0" t="s">
        <v>1098</v>
      </c>
      <c r="F2864" s="0" t="n">
        <v>0</v>
      </c>
      <c r="G2864" s="0" t="n">
        <v>0</v>
      </c>
      <c r="H2864" s="0" t="s">
        <v>117</v>
      </c>
      <c r="K2864" s="0" t="s">
        <v>149</v>
      </c>
      <c r="L2864" s="0" t="s">
        <v>4344</v>
      </c>
    </row>
    <row r="2865" customFormat="false" ht="15" hidden="false" customHeight="false" outlineLevel="0" collapsed="false">
      <c r="A2865" s="0" t="s">
        <v>3883</v>
      </c>
      <c r="C2865" s="0" t="s">
        <v>1081</v>
      </c>
      <c r="D2865" s="0" t="s">
        <v>75</v>
      </c>
      <c r="E2865" s="0" t="s">
        <v>1100</v>
      </c>
      <c r="F2865" s="0" t="n">
        <v>0</v>
      </c>
      <c r="G2865" s="0" t="n">
        <v>0</v>
      </c>
      <c r="H2865" s="0" t="s">
        <v>117</v>
      </c>
      <c r="K2865" s="0" t="s">
        <v>152</v>
      </c>
      <c r="L2865" s="0" t="s">
        <v>4345</v>
      </c>
    </row>
    <row r="2866" customFormat="false" ht="15" hidden="false" customHeight="false" outlineLevel="0" collapsed="false">
      <c r="A2866" s="0" t="s">
        <v>3883</v>
      </c>
      <c r="C2866" s="0" t="s">
        <v>1081</v>
      </c>
      <c r="D2866" s="0" t="s">
        <v>78</v>
      </c>
      <c r="E2866" s="0" t="s">
        <v>1102</v>
      </c>
      <c r="F2866" s="0" t="n">
        <v>0</v>
      </c>
      <c r="G2866" s="0" t="n">
        <v>0</v>
      </c>
      <c r="H2866" s="0" t="s">
        <v>117</v>
      </c>
      <c r="K2866" s="0" t="s">
        <v>156</v>
      </c>
      <c r="L2866" s="0" t="s">
        <v>4346</v>
      </c>
    </row>
    <row r="2867" customFormat="false" ht="15" hidden="false" customHeight="false" outlineLevel="0" collapsed="false">
      <c r="A2867" s="0" t="s">
        <v>3883</v>
      </c>
      <c r="C2867" s="0" t="s">
        <v>1081</v>
      </c>
      <c r="D2867" s="0" t="s">
        <v>81</v>
      </c>
      <c r="E2867" s="0" t="s">
        <v>1104</v>
      </c>
      <c r="F2867" s="0" t="n">
        <v>0</v>
      </c>
      <c r="G2867" s="0" t="n">
        <v>0</v>
      </c>
      <c r="H2867" s="0" t="s">
        <v>117</v>
      </c>
      <c r="K2867" s="0" t="s">
        <v>160</v>
      </c>
      <c r="L2867" s="0" t="s">
        <v>4347</v>
      </c>
    </row>
    <row r="2868" customFormat="false" ht="15" hidden="false" customHeight="false" outlineLevel="0" collapsed="false">
      <c r="A2868" s="0" t="s">
        <v>3883</v>
      </c>
      <c r="C2868" s="0" t="s">
        <v>1106</v>
      </c>
      <c r="D2868" s="0" t="s">
        <v>528</v>
      </c>
      <c r="E2868" s="0" t="s">
        <v>1107</v>
      </c>
      <c r="F2868" s="0" t="n">
        <v>0</v>
      </c>
      <c r="G2868" s="0" t="n">
        <v>0</v>
      </c>
      <c r="H2868" s="0" t="s">
        <v>117</v>
      </c>
      <c r="K2868" s="0" t="s">
        <v>118</v>
      </c>
      <c r="L2868" s="0" t="s">
        <v>4348</v>
      </c>
    </row>
    <row r="2869" customFormat="false" ht="15" hidden="false" customHeight="false" outlineLevel="0" collapsed="false">
      <c r="A2869" s="0" t="s">
        <v>3883</v>
      </c>
      <c r="C2869" s="0" t="s">
        <v>1106</v>
      </c>
      <c r="D2869" s="0" t="s">
        <v>531</v>
      </c>
      <c r="E2869" s="0" t="s">
        <v>1109</v>
      </c>
      <c r="F2869" s="0" t="n">
        <v>0</v>
      </c>
      <c r="G2869" s="0" t="n">
        <v>0</v>
      </c>
      <c r="H2869" s="0" t="s">
        <v>117</v>
      </c>
      <c r="K2869" s="0" t="s">
        <v>123</v>
      </c>
      <c r="L2869" s="0" t="s">
        <v>4349</v>
      </c>
    </row>
    <row r="2870" customFormat="false" ht="15" hidden="false" customHeight="false" outlineLevel="0" collapsed="false">
      <c r="A2870" s="0" t="s">
        <v>3883</v>
      </c>
      <c r="C2870" s="0" t="s">
        <v>1106</v>
      </c>
      <c r="D2870" s="0" t="s">
        <v>534</v>
      </c>
      <c r="E2870" s="0" t="s">
        <v>1111</v>
      </c>
      <c r="F2870" s="0" t="n">
        <v>0</v>
      </c>
      <c r="G2870" s="0" t="n">
        <v>0</v>
      </c>
      <c r="H2870" s="0" t="s">
        <v>117</v>
      </c>
      <c r="K2870" s="0" t="s">
        <v>127</v>
      </c>
      <c r="L2870" s="0" t="s">
        <v>4350</v>
      </c>
    </row>
    <row r="2871" customFormat="false" ht="15" hidden="false" customHeight="false" outlineLevel="0" collapsed="false">
      <c r="A2871" s="0" t="s">
        <v>3883</v>
      </c>
      <c r="C2871" s="0" t="s">
        <v>1106</v>
      </c>
      <c r="D2871" s="0" t="s">
        <v>52</v>
      </c>
      <c r="E2871" s="0" t="s">
        <v>1113</v>
      </c>
      <c r="F2871" s="0" t="n">
        <v>0</v>
      </c>
      <c r="G2871" s="0" t="n">
        <v>0</v>
      </c>
      <c r="H2871" s="0" t="s">
        <v>117</v>
      </c>
      <c r="K2871" s="0" t="s">
        <v>132</v>
      </c>
      <c r="L2871" s="0" t="s">
        <v>4351</v>
      </c>
    </row>
    <row r="2872" customFormat="false" ht="15" hidden="false" customHeight="false" outlineLevel="0" collapsed="false">
      <c r="A2872" s="0" t="s">
        <v>3883</v>
      </c>
      <c r="C2872" s="0" t="s">
        <v>1106</v>
      </c>
      <c r="D2872" s="0" t="s">
        <v>55</v>
      </c>
      <c r="E2872" s="0" t="s">
        <v>1115</v>
      </c>
      <c r="F2872" s="0" t="n">
        <v>0</v>
      </c>
      <c r="G2872" s="0" t="n">
        <v>0</v>
      </c>
      <c r="H2872" s="0" t="s">
        <v>117</v>
      </c>
      <c r="K2872" s="0" t="s">
        <v>135</v>
      </c>
      <c r="L2872" s="0" t="s">
        <v>4352</v>
      </c>
    </row>
    <row r="2873" customFormat="false" ht="15" hidden="false" customHeight="false" outlineLevel="0" collapsed="false">
      <c r="A2873" s="0" t="s">
        <v>3883</v>
      </c>
      <c r="C2873" s="0" t="s">
        <v>1106</v>
      </c>
      <c r="D2873" s="0" t="s">
        <v>58</v>
      </c>
      <c r="E2873" s="0" t="s">
        <v>1117</v>
      </c>
      <c r="F2873" s="0" t="n">
        <v>0</v>
      </c>
      <c r="G2873" s="0" t="n">
        <v>0</v>
      </c>
      <c r="H2873" s="0" t="s">
        <v>117</v>
      </c>
      <c r="K2873" s="0" t="s">
        <v>138</v>
      </c>
      <c r="L2873" s="0" t="s">
        <v>4353</v>
      </c>
    </row>
    <row r="2874" customFormat="false" ht="15" hidden="false" customHeight="false" outlineLevel="0" collapsed="false">
      <c r="A2874" s="0" t="s">
        <v>3883</v>
      </c>
      <c r="C2874" s="0" t="s">
        <v>1106</v>
      </c>
      <c r="D2874" s="0" t="s">
        <v>65</v>
      </c>
      <c r="E2874" s="0" t="s">
        <v>1119</v>
      </c>
      <c r="F2874" s="0" t="n">
        <v>0</v>
      </c>
      <c r="G2874" s="0" t="n">
        <v>0</v>
      </c>
      <c r="H2874" s="0" t="s">
        <v>117</v>
      </c>
      <c r="K2874" s="0" t="s">
        <v>143</v>
      </c>
      <c r="L2874" s="0" t="s">
        <v>4354</v>
      </c>
    </row>
    <row r="2875" customFormat="false" ht="15" hidden="false" customHeight="false" outlineLevel="0" collapsed="false">
      <c r="A2875" s="0" t="s">
        <v>3883</v>
      </c>
      <c r="C2875" s="0" t="s">
        <v>1106</v>
      </c>
      <c r="D2875" s="0" t="s">
        <v>69</v>
      </c>
      <c r="E2875" s="0" t="s">
        <v>1121</v>
      </c>
      <c r="F2875" s="0" t="n">
        <v>0</v>
      </c>
      <c r="G2875" s="0" t="n">
        <v>0</v>
      </c>
      <c r="H2875" s="0" t="s">
        <v>117</v>
      </c>
      <c r="K2875" s="0" t="s">
        <v>146</v>
      </c>
      <c r="L2875" s="0" t="s">
        <v>4355</v>
      </c>
    </row>
    <row r="2876" customFormat="false" ht="15" hidden="false" customHeight="false" outlineLevel="0" collapsed="false">
      <c r="A2876" s="0" t="s">
        <v>3883</v>
      </c>
      <c r="C2876" s="0" t="s">
        <v>1106</v>
      </c>
      <c r="D2876" s="0" t="s">
        <v>72</v>
      </c>
      <c r="E2876" s="0" t="s">
        <v>1123</v>
      </c>
      <c r="F2876" s="0" t="n">
        <v>0</v>
      </c>
      <c r="G2876" s="0" t="n">
        <v>0</v>
      </c>
      <c r="H2876" s="0" t="s">
        <v>117</v>
      </c>
      <c r="K2876" s="0" t="s">
        <v>149</v>
      </c>
      <c r="L2876" s="0" t="s">
        <v>4356</v>
      </c>
    </row>
    <row r="2877" customFormat="false" ht="15" hidden="false" customHeight="false" outlineLevel="0" collapsed="false">
      <c r="A2877" s="0" t="s">
        <v>3883</v>
      </c>
      <c r="C2877" s="0" t="s">
        <v>1106</v>
      </c>
      <c r="D2877" s="0" t="s">
        <v>75</v>
      </c>
      <c r="E2877" s="0" t="s">
        <v>1125</v>
      </c>
      <c r="F2877" s="0" t="n">
        <v>0</v>
      </c>
      <c r="G2877" s="0" t="n">
        <v>0</v>
      </c>
      <c r="H2877" s="0" t="s">
        <v>117</v>
      </c>
      <c r="K2877" s="0" t="s">
        <v>152</v>
      </c>
      <c r="L2877" s="0" t="s">
        <v>4357</v>
      </c>
    </row>
    <row r="2878" customFormat="false" ht="15" hidden="false" customHeight="false" outlineLevel="0" collapsed="false">
      <c r="A2878" s="0" t="s">
        <v>3883</v>
      </c>
      <c r="C2878" s="0" t="s">
        <v>1106</v>
      </c>
      <c r="D2878" s="0" t="s">
        <v>78</v>
      </c>
      <c r="E2878" s="0" t="s">
        <v>1127</v>
      </c>
      <c r="F2878" s="0" t="n">
        <v>0</v>
      </c>
      <c r="G2878" s="0" t="n">
        <v>0</v>
      </c>
      <c r="H2878" s="0" t="s">
        <v>117</v>
      </c>
      <c r="K2878" s="0" t="s">
        <v>156</v>
      </c>
      <c r="L2878" s="0" t="s">
        <v>4358</v>
      </c>
    </row>
    <row r="2879" customFormat="false" ht="15" hidden="false" customHeight="false" outlineLevel="0" collapsed="false">
      <c r="A2879" s="0" t="s">
        <v>3883</v>
      </c>
      <c r="C2879" s="0" t="s">
        <v>1106</v>
      </c>
      <c r="D2879" s="0" t="s">
        <v>81</v>
      </c>
      <c r="E2879" s="0" t="s">
        <v>1129</v>
      </c>
      <c r="F2879" s="0" t="n">
        <v>0</v>
      </c>
      <c r="G2879" s="0" t="n">
        <v>0</v>
      </c>
      <c r="H2879" s="0" t="s">
        <v>117</v>
      </c>
      <c r="K2879" s="0" t="s">
        <v>160</v>
      </c>
      <c r="L2879" s="0" t="s">
        <v>4359</v>
      </c>
    </row>
    <row r="2880" customFormat="false" ht="15" hidden="false" customHeight="false" outlineLevel="0" collapsed="false">
      <c r="A2880" s="0" t="s">
        <v>3883</v>
      </c>
      <c r="C2880" s="0" t="s">
        <v>1131</v>
      </c>
      <c r="D2880" s="0" t="s">
        <v>528</v>
      </c>
      <c r="E2880" s="0" t="s">
        <v>1132</v>
      </c>
      <c r="F2880" s="0" t="n">
        <v>0</v>
      </c>
      <c r="G2880" s="0" t="n">
        <v>0</v>
      </c>
      <c r="H2880" s="0" t="s">
        <v>117</v>
      </c>
      <c r="K2880" s="0" t="s">
        <v>118</v>
      </c>
      <c r="L2880" s="0" t="s">
        <v>4360</v>
      </c>
    </row>
    <row r="2881" customFormat="false" ht="15" hidden="false" customHeight="false" outlineLevel="0" collapsed="false">
      <c r="A2881" s="0" t="s">
        <v>3883</v>
      </c>
      <c r="C2881" s="0" t="s">
        <v>1131</v>
      </c>
      <c r="D2881" s="0" t="s">
        <v>531</v>
      </c>
      <c r="E2881" s="0" t="s">
        <v>1134</v>
      </c>
      <c r="F2881" s="0" t="n">
        <v>0</v>
      </c>
      <c r="G2881" s="0" t="n">
        <v>0</v>
      </c>
      <c r="H2881" s="0" t="s">
        <v>117</v>
      </c>
      <c r="K2881" s="0" t="s">
        <v>123</v>
      </c>
      <c r="L2881" s="0" t="s">
        <v>4361</v>
      </c>
    </row>
    <row r="2882" customFormat="false" ht="15" hidden="false" customHeight="false" outlineLevel="0" collapsed="false">
      <c r="A2882" s="0" t="s">
        <v>3883</v>
      </c>
      <c r="C2882" s="0" t="s">
        <v>1131</v>
      </c>
      <c r="D2882" s="0" t="s">
        <v>534</v>
      </c>
      <c r="E2882" s="0" t="s">
        <v>1136</v>
      </c>
      <c r="F2882" s="0" t="n">
        <v>0</v>
      </c>
      <c r="G2882" s="0" t="n">
        <v>0</v>
      </c>
      <c r="H2882" s="0" t="s">
        <v>117</v>
      </c>
      <c r="K2882" s="0" t="s">
        <v>127</v>
      </c>
      <c r="L2882" s="0" t="s">
        <v>4362</v>
      </c>
    </row>
    <row r="2883" customFormat="false" ht="15" hidden="false" customHeight="false" outlineLevel="0" collapsed="false">
      <c r="A2883" s="0" t="s">
        <v>3883</v>
      </c>
      <c r="C2883" s="0" t="s">
        <v>1131</v>
      </c>
      <c r="D2883" s="0" t="s">
        <v>52</v>
      </c>
      <c r="E2883" s="0" t="s">
        <v>1138</v>
      </c>
      <c r="F2883" s="0" t="n">
        <v>0</v>
      </c>
      <c r="G2883" s="0" t="n">
        <v>0</v>
      </c>
      <c r="H2883" s="0" t="s">
        <v>117</v>
      </c>
      <c r="K2883" s="0" t="s">
        <v>132</v>
      </c>
      <c r="L2883" s="0" t="s">
        <v>4363</v>
      </c>
    </row>
    <row r="2884" customFormat="false" ht="15" hidden="false" customHeight="false" outlineLevel="0" collapsed="false">
      <c r="A2884" s="0" t="s">
        <v>3883</v>
      </c>
      <c r="C2884" s="0" t="s">
        <v>1131</v>
      </c>
      <c r="D2884" s="0" t="s">
        <v>55</v>
      </c>
      <c r="E2884" s="0" t="s">
        <v>1140</v>
      </c>
      <c r="F2884" s="0" t="n">
        <v>0</v>
      </c>
      <c r="G2884" s="0" t="n">
        <v>0</v>
      </c>
      <c r="H2884" s="0" t="s">
        <v>117</v>
      </c>
      <c r="K2884" s="0" t="s">
        <v>135</v>
      </c>
      <c r="L2884" s="0" t="s">
        <v>4364</v>
      </c>
    </row>
    <row r="2885" customFormat="false" ht="15" hidden="false" customHeight="false" outlineLevel="0" collapsed="false">
      <c r="A2885" s="0" t="s">
        <v>3883</v>
      </c>
      <c r="C2885" s="0" t="s">
        <v>1131</v>
      </c>
      <c r="D2885" s="0" t="s">
        <v>58</v>
      </c>
      <c r="E2885" s="0" t="s">
        <v>1142</v>
      </c>
      <c r="F2885" s="0" t="n">
        <v>0</v>
      </c>
      <c r="G2885" s="0" t="n">
        <v>0</v>
      </c>
      <c r="H2885" s="0" t="s">
        <v>117</v>
      </c>
      <c r="K2885" s="0" t="s">
        <v>138</v>
      </c>
      <c r="L2885" s="0" t="s">
        <v>4365</v>
      </c>
    </row>
    <row r="2886" customFormat="false" ht="15" hidden="false" customHeight="false" outlineLevel="0" collapsed="false">
      <c r="A2886" s="0" t="s">
        <v>3883</v>
      </c>
      <c r="C2886" s="0" t="s">
        <v>1131</v>
      </c>
      <c r="D2886" s="0" t="s">
        <v>65</v>
      </c>
      <c r="E2886" s="0" t="s">
        <v>1144</v>
      </c>
      <c r="F2886" s="0" t="n">
        <v>0</v>
      </c>
      <c r="G2886" s="0" t="n">
        <v>0</v>
      </c>
      <c r="H2886" s="0" t="s">
        <v>117</v>
      </c>
      <c r="K2886" s="0" t="s">
        <v>143</v>
      </c>
      <c r="L2886" s="0" t="s">
        <v>4366</v>
      </c>
    </row>
    <row r="2887" customFormat="false" ht="15" hidden="false" customHeight="false" outlineLevel="0" collapsed="false">
      <c r="A2887" s="0" t="s">
        <v>3883</v>
      </c>
      <c r="C2887" s="0" t="s">
        <v>1131</v>
      </c>
      <c r="D2887" s="0" t="s">
        <v>69</v>
      </c>
      <c r="E2887" s="0" t="s">
        <v>1146</v>
      </c>
      <c r="F2887" s="0" t="n">
        <v>0</v>
      </c>
      <c r="G2887" s="0" t="n">
        <v>0</v>
      </c>
      <c r="H2887" s="0" t="s">
        <v>117</v>
      </c>
      <c r="K2887" s="0" t="s">
        <v>146</v>
      </c>
      <c r="L2887" s="0" t="s">
        <v>4367</v>
      </c>
    </row>
    <row r="2888" customFormat="false" ht="15" hidden="false" customHeight="false" outlineLevel="0" collapsed="false">
      <c r="A2888" s="0" t="s">
        <v>3883</v>
      </c>
      <c r="C2888" s="0" t="s">
        <v>1131</v>
      </c>
      <c r="D2888" s="0" t="s">
        <v>72</v>
      </c>
      <c r="E2888" s="0" t="s">
        <v>1148</v>
      </c>
      <c r="F2888" s="0" t="n">
        <v>0</v>
      </c>
      <c r="G2888" s="0" t="n">
        <v>0</v>
      </c>
      <c r="H2888" s="0" t="s">
        <v>117</v>
      </c>
      <c r="K2888" s="0" t="s">
        <v>149</v>
      </c>
      <c r="L2888" s="0" t="s">
        <v>4368</v>
      </c>
    </row>
    <row r="2889" customFormat="false" ht="15" hidden="false" customHeight="false" outlineLevel="0" collapsed="false">
      <c r="A2889" s="0" t="s">
        <v>3883</v>
      </c>
      <c r="C2889" s="0" t="s">
        <v>1131</v>
      </c>
      <c r="D2889" s="0" t="s">
        <v>75</v>
      </c>
      <c r="E2889" s="0" t="s">
        <v>1150</v>
      </c>
      <c r="F2889" s="0" t="n">
        <v>0</v>
      </c>
      <c r="G2889" s="0" t="n">
        <v>0</v>
      </c>
      <c r="H2889" s="0" t="s">
        <v>117</v>
      </c>
      <c r="K2889" s="0" t="s">
        <v>152</v>
      </c>
      <c r="L2889" s="0" t="s">
        <v>4369</v>
      </c>
    </row>
    <row r="2890" customFormat="false" ht="15" hidden="false" customHeight="false" outlineLevel="0" collapsed="false">
      <c r="A2890" s="0" t="s">
        <v>3883</v>
      </c>
      <c r="C2890" s="0" t="s">
        <v>1131</v>
      </c>
      <c r="D2890" s="0" t="s">
        <v>78</v>
      </c>
      <c r="E2890" s="0" t="s">
        <v>1152</v>
      </c>
      <c r="F2890" s="0" t="n">
        <v>0</v>
      </c>
      <c r="G2890" s="0" t="n">
        <v>0</v>
      </c>
      <c r="H2890" s="0" t="s">
        <v>117</v>
      </c>
      <c r="K2890" s="0" t="s">
        <v>156</v>
      </c>
      <c r="L2890" s="0" t="s">
        <v>4370</v>
      </c>
    </row>
    <row r="2891" customFormat="false" ht="15" hidden="false" customHeight="false" outlineLevel="0" collapsed="false">
      <c r="A2891" s="0" t="s">
        <v>3883</v>
      </c>
      <c r="C2891" s="0" t="s">
        <v>1131</v>
      </c>
      <c r="D2891" s="0" t="s">
        <v>81</v>
      </c>
      <c r="E2891" s="0" t="s">
        <v>1154</v>
      </c>
      <c r="F2891" s="0" t="n">
        <v>0</v>
      </c>
      <c r="G2891" s="0" t="n">
        <v>0</v>
      </c>
      <c r="H2891" s="0" t="s">
        <v>117</v>
      </c>
      <c r="K2891" s="0" t="s">
        <v>160</v>
      </c>
      <c r="L2891" s="0" t="s">
        <v>4371</v>
      </c>
    </row>
    <row r="2892" customFormat="false" ht="15" hidden="false" customHeight="false" outlineLevel="0" collapsed="false">
      <c r="A2892" s="0" t="s">
        <v>3883</v>
      </c>
      <c r="C2892" s="0" t="s">
        <v>1156</v>
      </c>
      <c r="D2892" s="0" t="s">
        <v>528</v>
      </c>
      <c r="E2892" s="0" t="s">
        <v>1157</v>
      </c>
      <c r="F2892" s="0" t="n">
        <v>0</v>
      </c>
      <c r="G2892" s="0" t="n">
        <v>0</v>
      </c>
      <c r="H2892" s="0" t="s">
        <v>117</v>
      </c>
      <c r="K2892" s="0" t="s">
        <v>118</v>
      </c>
      <c r="L2892" s="0" t="s">
        <v>4372</v>
      </c>
    </row>
    <row r="2893" customFormat="false" ht="15" hidden="false" customHeight="false" outlineLevel="0" collapsed="false">
      <c r="A2893" s="0" t="s">
        <v>3883</v>
      </c>
      <c r="C2893" s="0" t="s">
        <v>1156</v>
      </c>
      <c r="D2893" s="0" t="s">
        <v>531</v>
      </c>
      <c r="E2893" s="0" t="s">
        <v>1159</v>
      </c>
      <c r="F2893" s="0" t="n">
        <v>0</v>
      </c>
      <c r="G2893" s="0" t="n">
        <v>0</v>
      </c>
      <c r="H2893" s="0" t="s">
        <v>117</v>
      </c>
      <c r="K2893" s="0" t="s">
        <v>123</v>
      </c>
      <c r="L2893" s="0" t="s">
        <v>4373</v>
      </c>
    </row>
    <row r="2894" customFormat="false" ht="15" hidden="false" customHeight="false" outlineLevel="0" collapsed="false">
      <c r="A2894" s="0" t="s">
        <v>3883</v>
      </c>
      <c r="C2894" s="0" t="s">
        <v>1156</v>
      </c>
      <c r="D2894" s="0" t="s">
        <v>534</v>
      </c>
      <c r="E2894" s="0" t="s">
        <v>1161</v>
      </c>
      <c r="F2894" s="0" t="n">
        <v>0</v>
      </c>
      <c r="G2894" s="0" t="n">
        <v>0</v>
      </c>
      <c r="H2894" s="0" t="s">
        <v>117</v>
      </c>
      <c r="K2894" s="0" t="s">
        <v>127</v>
      </c>
      <c r="L2894" s="0" t="s">
        <v>4374</v>
      </c>
    </row>
    <row r="2895" customFormat="false" ht="15" hidden="false" customHeight="false" outlineLevel="0" collapsed="false">
      <c r="A2895" s="0" t="s">
        <v>3883</v>
      </c>
      <c r="C2895" s="0" t="s">
        <v>1156</v>
      </c>
      <c r="D2895" s="0" t="s">
        <v>52</v>
      </c>
      <c r="E2895" s="0" t="s">
        <v>1163</v>
      </c>
      <c r="F2895" s="0" t="n">
        <v>0</v>
      </c>
      <c r="G2895" s="0" t="n">
        <v>0</v>
      </c>
      <c r="H2895" s="0" t="s">
        <v>117</v>
      </c>
      <c r="K2895" s="0" t="s">
        <v>132</v>
      </c>
      <c r="L2895" s="0" t="s">
        <v>4375</v>
      </c>
    </row>
    <row r="2896" customFormat="false" ht="15" hidden="false" customHeight="false" outlineLevel="0" collapsed="false">
      <c r="A2896" s="0" t="s">
        <v>3883</v>
      </c>
      <c r="C2896" s="0" t="s">
        <v>1156</v>
      </c>
      <c r="D2896" s="0" t="s">
        <v>55</v>
      </c>
      <c r="E2896" s="0" t="s">
        <v>1165</v>
      </c>
      <c r="F2896" s="0" t="n">
        <v>0</v>
      </c>
      <c r="G2896" s="0" t="n">
        <v>0</v>
      </c>
      <c r="H2896" s="0" t="s">
        <v>117</v>
      </c>
      <c r="K2896" s="0" t="s">
        <v>135</v>
      </c>
      <c r="L2896" s="0" t="s">
        <v>4376</v>
      </c>
    </row>
    <row r="2897" customFormat="false" ht="15" hidden="false" customHeight="false" outlineLevel="0" collapsed="false">
      <c r="A2897" s="0" t="s">
        <v>3883</v>
      </c>
      <c r="C2897" s="0" t="s">
        <v>1156</v>
      </c>
      <c r="D2897" s="0" t="s">
        <v>58</v>
      </c>
      <c r="E2897" s="0" t="s">
        <v>1167</v>
      </c>
      <c r="F2897" s="0" t="n">
        <v>0</v>
      </c>
      <c r="G2897" s="0" t="n">
        <v>0</v>
      </c>
      <c r="H2897" s="0" t="s">
        <v>117</v>
      </c>
      <c r="K2897" s="0" t="s">
        <v>138</v>
      </c>
      <c r="L2897" s="0" t="s">
        <v>4377</v>
      </c>
    </row>
    <row r="2898" customFormat="false" ht="15" hidden="false" customHeight="false" outlineLevel="0" collapsed="false">
      <c r="A2898" s="0" t="s">
        <v>3883</v>
      </c>
      <c r="C2898" s="0" t="s">
        <v>1156</v>
      </c>
      <c r="D2898" s="0" t="s">
        <v>65</v>
      </c>
      <c r="E2898" s="0" t="s">
        <v>1169</v>
      </c>
      <c r="F2898" s="0" t="n">
        <v>0</v>
      </c>
      <c r="G2898" s="0" t="n">
        <v>0</v>
      </c>
      <c r="H2898" s="0" t="s">
        <v>117</v>
      </c>
      <c r="K2898" s="0" t="s">
        <v>143</v>
      </c>
      <c r="L2898" s="0" t="s">
        <v>4378</v>
      </c>
    </row>
    <row r="2899" customFormat="false" ht="15" hidden="false" customHeight="false" outlineLevel="0" collapsed="false">
      <c r="A2899" s="0" t="s">
        <v>3883</v>
      </c>
      <c r="C2899" s="0" t="s">
        <v>1156</v>
      </c>
      <c r="D2899" s="0" t="s">
        <v>69</v>
      </c>
      <c r="E2899" s="0" t="s">
        <v>1171</v>
      </c>
      <c r="F2899" s="0" t="n">
        <v>0</v>
      </c>
      <c r="G2899" s="0" t="n">
        <v>0</v>
      </c>
      <c r="H2899" s="0" t="s">
        <v>117</v>
      </c>
      <c r="K2899" s="0" t="s">
        <v>146</v>
      </c>
      <c r="L2899" s="0" t="s">
        <v>4379</v>
      </c>
    </row>
    <row r="2900" customFormat="false" ht="15" hidden="false" customHeight="false" outlineLevel="0" collapsed="false">
      <c r="A2900" s="0" t="s">
        <v>3883</v>
      </c>
      <c r="C2900" s="0" t="s">
        <v>1156</v>
      </c>
      <c r="D2900" s="0" t="s">
        <v>72</v>
      </c>
      <c r="E2900" s="0" t="s">
        <v>1173</v>
      </c>
      <c r="F2900" s="0" t="n">
        <v>0</v>
      </c>
      <c r="G2900" s="0" t="n">
        <v>0</v>
      </c>
      <c r="H2900" s="0" t="s">
        <v>117</v>
      </c>
      <c r="K2900" s="0" t="s">
        <v>149</v>
      </c>
      <c r="L2900" s="0" t="s">
        <v>4380</v>
      </c>
    </row>
    <row r="2901" customFormat="false" ht="15" hidden="false" customHeight="false" outlineLevel="0" collapsed="false">
      <c r="A2901" s="0" t="s">
        <v>3883</v>
      </c>
      <c r="C2901" s="0" t="s">
        <v>1156</v>
      </c>
      <c r="D2901" s="0" t="s">
        <v>75</v>
      </c>
      <c r="E2901" s="0" t="s">
        <v>1175</v>
      </c>
      <c r="F2901" s="0" t="n">
        <v>0</v>
      </c>
      <c r="G2901" s="0" t="n">
        <v>0</v>
      </c>
      <c r="H2901" s="0" t="s">
        <v>117</v>
      </c>
      <c r="K2901" s="0" t="s">
        <v>152</v>
      </c>
      <c r="L2901" s="0" t="s">
        <v>4381</v>
      </c>
    </row>
    <row r="2902" customFormat="false" ht="15" hidden="false" customHeight="false" outlineLevel="0" collapsed="false">
      <c r="A2902" s="0" t="s">
        <v>3883</v>
      </c>
      <c r="C2902" s="0" t="s">
        <v>1156</v>
      </c>
      <c r="D2902" s="0" t="s">
        <v>78</v>
      </c>
      <c r="E2902" s="0" t="s">
        <v>1177</v>
      </c>
      <c r="F2902" s="0" t="n">
        <v>0</v>
      </c>
      <c r="G2902" s="0" t="n">
        <v>0</v>
      </c>
      <c r="H2902" s="0" t="s">
        <v>117</v>
      </c>
      <c r="K2902" s="0" t="s">
        <v>156</v>
      </c>
      <c r="L2902" s="0" t="s">
        <v>4382</v>
      </c>
    </row>
    <row r="2903" customFormat="false" ht="15" hidden="false" customHeight="false" outlineLevel="0" collapsed="false">
      <c r="A2903" s="0" t="s">
        <v>3883</v>
      </c>
      <c r="C2903" s="0" t="s">
        <v>1156</v>
      </c>
      <c r="D2903" s="0" t="s">
        <v>81</v>
      </c>
      <c r="E2903" s="0" t="s">
        <v>2104</v>
      </c>
      <c r="F2903" s="0" t="n">
        <v>0</v>
      </c>
      <c r="G2903" s="0" t="n">
        <v>0</v>
      </c>
      <c r="H2903" s="0" t="s">
        <v>117</v>
      </c>
      <c r="K2903" s="0" t="s">
        <v>160</v>
      </c>
      <c r="L2903" s="0" t="s">
        <v>4383</v>
      </c>
    </row>
    <row r="2904" customFormat="false" ht="15" hidden="false" customHeight="false" outlineLevel="0" collapsed="false">
      <c r="A2904" s="0" t="s">
        <v>3883</v>
      </c>
      <c r="C2904" s="0" t="s">
        <v>1181</v>
      </c>
      <c r="D2904" s="0" t="s">
        <v>528</v>
      </c>
      <c r="E2904" s="0" t="s">
        <v>1182</v>
      </c>
      <c r="F2904" s="0" t="n">
        <v>0</v>
      </c>
      <c r="G2904" s="0" t="n">
        <v>0</v>
      </c>
      <c r="H2904" s="0" t="s">
        <v>117</v>
      </c>
      <c r="K2904" s="0" t="s">
        <v>118</v>
      </c>
      <c r="L2904" s="0" t="s">
        <v>4384</v>
      </c>
    </row>
    <row r="2905" customFormat="false" ht="15" hidden="false" customHeight="false" outlineLevel="0" collapsed="false">
      <c r="A2905" s="0" t="s">
        <v>3883</v>
      </c>
      <c r="C2905" s="0" t="s">
        <v>1181</v>
      </c>
      <c r="D2905" s="0" t="s">
        <v>531</v>
      </c>
      <c r="E2905" s="0" t="s">
        <v>2107</v>
      </c>
      <c r="F2905" s="0" t="n">
        <v>0</v>
      </c>
      <c r="G2905" s="0" t="n">
        <v>0</v>
      </c>
      <c r="H2905" s="0" t="s">
        <v>117</v>
      </c>
      <c r="K2905" s="0" t="s">
        <v>123</v>
      </c>
      <c r="L2905" s="0" t="s">
        <v>4385</v>
      </c>
    </row>
    <row r="2906" customFormat="false" ht="15" hidden="false" customHeight="false" outlineLevel="0" collapsed="false">
      <c r="A2906" s="0" t="s">
        <v>3883</v>
      </c>
      <c r="C2906" s="0" t="s">
        <v>1181</v>
      </c>
      <c r="D2906" s="0" t="s">
        <v>534</v>
      </c>
      <c r="E2906" s="0" t="s">
        <v>2109</v>
      </c>
      <c r="F2906" s="0" t="n">
        <v>0</v>
      </c>
      <c r="G2906" s="0" t="n">
        <v>0</v>
      </c>
      <c r="H2906" s="0" t="s">
        <v>117</v>
      </c>
      <c r="K2906" s="0" t="s">
        <v>127</v>
      </c>
      <c r="L2906" s="0" t="s">
        <v>4386</v>
      </c>
    </row>
    <row r="2907" customFormat="false" ht="15" hidden="false" customHeight="false" outlineLevel="0" collapsed="false">
      <c r="A2907" s="0" t="s">
        <v>3883</v>
      </c>
      <c r="C2907" s="0" t="s">
        <v>1181</v>
      </c>
      <c r="D2907" s="0" t="s">
        <v>52</v>
      </c>
      <c r="E2907" s="0" t="s">
        <v>2111</v>
      </c>
      <c r="F2907" s="0" t="n">
        <v>0</v>
      </c>
      <c r="G2907" s="0" t="n">
        <v>0</v>
      </c>
      <c r="H2907" s="0" t="s">
        <v>117</v>
      </c>
      <c r="K2907" s="0" t="s">
        <v>132</v>
      </c>
      <c r="L2907" s="0" t="s">
        <v>4387</v>
      </c>
    </row>
    <row r="2908" customFormat="false" ht="15" hidden="false" customHeight="false" outlineLevel="0" collapsed="false">
      <c r="A2908" s="0" t="s">
        <v>3883</v>
      </c>
      <c r="C2908" s="0" t="s">
        <v>1181</v>
      </c>
      <c r="D2908" s="0" t="s">
        <v>55</v>
      </c>
      <c r="E2908" s="0" t="s">
        <v>1190</v>
      </c>
      <c r="F2908" s="0" t="n">
        <v>0</v>
      </c>
      <c r="G2908" s="0" t="n">
        <v>0</v>
      </c>
      <c r="H2908" s="0" t="s">
        <v>117</v>
      </c>
      <c r="K2908" s="0" t="s">
        <v>135</v>
      </c>
      <c r="L2908" s="0" t="s">
        <v>4388</v>
      </c>
    </row>
    <row r="2909" customFormat="false" ht="15" hidden="false" customHeight="false" outlineLevel="0" collapsed="false">
      <c r="A2909" s="0" t="s">
        <v>3883</v>
      </c>
      <c r="C2909" s="0" t="s">
        <v>1181</v>
      </c>
      <c r="D2909" s="0" t="s">
        <v>58</v>
      </c>
      <c r="E2909" s="0" t="s">
        <v>1192</v>
      </c>
      <c r="F2909" s="0" t="n">
        <v>0</v>
      </c>
      <c r="G2909" s="0" t="n">
        <v>0</v>
      </c>
      <c r="H2909" s="0" t="s">
        <v>117</v>
      </c>
      <c r="K2909" s="0" t="s">
        <v>138</v>
      </c>
      <c r="L2909" s="0" t="s">
        <v>4389</v>
      </c>
    </row>
    <row r="2910" customFormat="false" ht="15" hidden="false" customHeight="false" outlineLevel="0" collapsed="false">
      <c r="A2910" s="0" t="s">
        <v>3883</v>
      </c>
      <c r="C2910" s="0" t="s">
        <v>1181</v>
      </c>
      <c r="D2910" s="0" t="s">
        <v>65</v>
      </c>
      <c r="E2910" s="0" t="s">
        <v>1194</v>
      </c>
      <c r="F2910" s="0" t="n">
        <v>0</v>
      </c>
      <c r="G2910" s="0" t="n">
        <v>0</v>
      </c>
      <c r="H2910" s="0" t="s">
        <v>117</v>
      </c>
      <c r="K2910" s="0" t="s">
        <v>143</v>
      </c>
      <c r="L2910" s="0" t="s">
        <v>4390</v>
      </c>
    </row>
    <row r="2911" customFormat="false" ht="15" hidden="false" customHeight="false" outlineLevel="0" collapsed="false">
      <c r="A2911" s="0" t="s">
        <v>3883</v>
      </c>
      <c r="C2911" s="0" t="s">
        <v>1181</v>
      </c>
      <c r="D2911" s="0" t="s">
        <v>69</v>
      </c>
      <c r="E2911" s="0" t="s">
        <v>1196</v>
      </c>
      <c r="F2911" s="0" t="n">
        <v>0</v>
      </c>
      <c r="G2911" s="0" t="n">
        <v>0</v>
      </c>
      <c r="H2911" s="0" t="s">
        <v>117</v>
      </c>
      <c r="K2911" s="0" t="s">
        <v>146</v>
      </c>
      <c r="L2911" s="0" t="s">
        <v>4391</v>
      </c>
    </row>
    <row r="2912" customFormat="false" ht="15" hidden="false" customHeight="false" outlineLevel="0" collapsed="false">
      <c r="A2912" s="0" t="s">
        <v>3883</v>
      </c>
      <c r="C2912" s="0" t="s">
        <v>1181</v>
      </c>
      <c r="D2912" s="0" t="s">
        <v>72</v>
      </c>
      <c r="E2912" s="0" t="s">
        <v>1198</v>
      </c>
      <c r="F2912" s="0" t="n">
        <v>0</v>
      </c>
      <c r="G2912" s="0" t="n">
        <v>0</v>
      </c>
      <c r="H2912" s="0" t="s">
        <v>117</v>
      </c>
      <c r="K2912" s="0" t="s">
        <v>149</v>
      </c>
      <c r="L2912" s="0" t="s">
        <v>4392</v>
      </c>
    </row>
    <row r="2913" customFormat="false" ht="15" hidden="false" customHeight="false" outlineLevel="0" collapsed="false">
      <c r="A2913" s="0" t="s">
        <v>3883</v>
      </c>
      <c r="C2913" s="0" t="s">
        <v>1181</v>
      </c>
      <c r="D2913" s="0" t="s">
        <v>75</v>
      </c>
      <c r="E2913" s="0" t="s">
        <v>1200</v>
      </c>
      <c r="F2913" s="0" t="n">
        <v>0</v>
      </c>
      <c r="G2913" s="0" t="n">
        <v>0</v>
      </c>
      <c r="H2913" s="0" t="s">
        <v>117</v>
      </c>
      <c r="K2913" s="0" t="s">
        <v>152</v>
      </c>
      <c r="L2913" s="0" t="s">
        <v>4393</v>
      </c>
    </row>
    <row r="2914" customFormat="false" ht="15" hidden="false" customHeight="false" outlineLevel="0" collapsed="false">
      <c r="A2914" s="0" t="s">
        <v>3883</v>
      </c>
      <c r="C2914" s="0" t="s">
        <v>1181</v>
      </c>
      <c r="D2914" s="0" t="s">
        <v>78</v>
      </c>
      <c r="E2914" s="0" t="s">
        <v>1202</v>
      </c>
      <c r="F2914" s="0" t="n">
        <v>0</v>
      </c>
      <c r="G2914" s="0" t="n">
        <v>0</v>
      </c>
      <c r="H2914" s="0" t="s">
        <v>117</v>
      </c>
      <c r="K2914" s="0" t="s">
        <v>156</v>
      </c>
      <c r="L2914" s="0" t="s">
        <v>4394</v>
      </c>
    </row>
    <row r="2915" customFormat="false" ht="15" hidden="false" customHeight="false" outlineLevel="0" collapsed="false">
      <c r="A2915" s="0" t="s">
        <v>3883</v>
      </c>
      <c r="C2915" s="0" t="s">
        <v>1181</v>
      </c>
      <c r="D2915" s="0" t="s">
        <v>81</v>
      </c>
      <c r="E2915" s="0" t="s">
        <v>1204</v>
      </c>
      <c r="F2915" s="0" t="n">
        <v>0</v>
      </c>
      <c r="G2915" s="0" t="n">
        <v>0</v>
      </c>
      <c r="H2915" s="0" t="s">
        <v>117</v>
      </c>
      <c r="K2915" s="0" t="s">
        <v>160</v>
      </c>
      <c r="L2915" s="0" t="s">
        <v>4395</v>
      </c>
    </row>
    <row r="2916" customFormat="false" ht="15" hidden="false" customHeight="false" outlineLevel="0" collapsed="false">
      <c r="A2916" s="0" t="s">
        <v>3883</v>
      </c>
      <c r="C2916" s="0" t="s">
        <v>1206</v>
      </c>
      <c r="D2916" s="0" t="s">
        <v>528</v>
      </c>
      <c r="E2916" s="0" t="s">
        <v>1207</v>
      </c>
      <c r="F2916" s="0" t="n">
        <v>0</v>
      </c>
      <c r="G2916" s="0" t="n">
        <v>0</v>
      </c>
      <c r="H2916" s="0" t="s">
        <v>117</v>
      </c>
      <c r="K2916" s="0" t="s">
        <v>118</v>
      </c>
      <c r="L2916" s="0" t="s">
        <v>4396</v>
      </c>
    </row>
    <row r="2917" customFormat="false" ht="15" hidden="false" customHeight="false" outlineLevel="0" collapsed="false">
      <c r="A2917" s="0" t="s">
        <v>3883</v>
      </c>
      <c r="C2917" s="0" t="s">
        <v>1206</v>
      </c>
      <c r="D2917" s="0" t="s">
        <v>531</v>
      </c>
      <c r="E2917" s="0" t="s">
        <v>1209</v>
      </c>
      <c r="F2917" s="0" t="n">
        <v>0</v>
      </c>
      <c r="G2917" s="0" t="n">
        <v>0</v>
      </c>
      <c r="H2917" s="0" t="s">
        <v>117</v>
      </c>
      <c r="K2917" s="0" t="s">
        <v>123</v>
      </c>
      <c r="L2917" s="0" t="s">
        <v>4397</v>
      </c>
    </row>
    <row r="2918" customFormat="false" ht="15" hidden="false" customHeight="false" outlineLevel="0" collapsed="false">
      <c r="A2918" s="0" t="s">
        <v>3883</v>
      </c>
      <c r="C2918" s="0" t="s">
        <v>1206</v>
      </c>
      <c r="D2918" s="0" t="s">
        <v>534</v>
      </c>
      <c r="E2918" s="0" t="s">
        <v>1211</v>
      </c>
      <c r="F2918" s="0" t="n">
        <v>0</v>
      </c>
      <c r="G2918" s="0" t="n">
        <v>0</v>
      </c>
      <c r="H2918" s="0" t="s">
        <v>117</v>
      </c>
      <c r="K2918" s="0" t="s">
        <v>127</v>
      </c>
      <c r="L2918" s="0" t="s">
        <v>4398</v>
      </c>
    </row>
    <row r="2919" customFormat="false" ht="15" hidden="false" customHeight="false" outlineLevel="0" collapsed="false">
      <c r="A2919" s="0" t="s">
        <v>3883</v>
      </c>
      <c r="C2919" s="0" t="s">
        <v>1206</v>
      </c>
      <c r="D2919" s="0" t="s">
        <v>52</v>
      </c>
      <c r="E2919" s="0" t="s">
        <v>1213</v>
      </c>
      <c r="F2919" s="0" t="n">
        <v>0</v>
      </c>
      <c r="G2919" s="0" t="n">
        <v>0</v>
      </c>
      <c r="H2919" s="0" t="s">
        <v>117</v>
      </c>
      <c r="K2919" s="0" t="s">
        <v>132</v>
      </c>
      <c r="L2919" s="0" t="s">
        <v>4399</v>
      </c>
    </row>
    <row r="2920" customFormat="false" ht="15" hidden="false" customHeight="false" outlineLevel="0" collapsed="false">
      <c r="A2920" s="0" t="s">
        <v>3883</v>
      </c>
      <c r="C2920" s="0" t="s">
        <v>1206</v>
      </c>
      <c r="D2920" s="0" t="s">
        <v>55</v>
      </c>
      <c r="E2920" s="0" t="s">
        <v>1215</v>
      </c>
      <c r="F2920" s="0" t="n">
        <v>0</v>
      </c>
      <c r="G2920" s="0" t="n">
        <v>0</v>
      </c>
      <c r="H2920" s="0" t="s">
        <v>117</v>
      </c>
      <c r="K2920" s="0" t="s">
        <v>135</v>
      </c>
      <c r="L2920" s="0" t="s">
        <v>4400</v>
      </c>
    </row>
    <row r="2921" customFormat="false" ht="15" hidden="false" customHeight="false" outlineLevel="0" collapsed="false">
      <c r="A2921" s="0" t="s">
        <v>3883</v>
      </c>
      <c r="C2921" s="0" t="s">
        <v>1206</v>
      </c>
      <c r="D2921" s="0" t="s">
        <v>58</v>
      </c>
      <c r="E2921" s="0" t="s">
        <v>1217</v>
      </c>
      <c r="F2921" s="0" t="n">
        <v>0</v>
      </c>
      <c r="G2921" s="0" t="n">
        <v>0</v>
      </c>
      <c r="H2921" s="0" t="s">
        <v>117</v>
      </c>
      <c r="K2921" s="0" t="s">
        <v>138</v>
      </c>
      <c r="L2921" s="0" t="s">
        <v>4401</v>
      </c>
    </row>
    <row r="2922" customFormat="false" ht="15" hidden="false" customHeight="false" outlineLevel="0" collapsed="false">
      <c r="A2922" s="0" t="s">
        <v>3883</v>
      </c>
      <c r="C2922" s="0" t="s">
        <v>1206</v>
      </c>
      <c r="D2922" s="0" t="s">
        <v>65</v>
      </c>
      <c r="E2922" s="0" t="s">
        <v>1219</v>
      </c>
      <c r="F2922" s="0" t="n">
        <v>0</v>
      </c>
      <c r="G2922" s="0" t="n">
        <v>0</v>
      </c>
      <c r="H2922" s="0" t="s">
        <v>117</v>
      </c>
      <c r="K2922" s="0" t="s">
        <v>143</v>
      </c>
      <c r="L2922" s="0" t="s">
        <v>4402</v>
      </c>
    </row>
    <row r="2923" customFormat="false" ht="15" hidden="false" customHeight="false" outlineLevel="0" collapsed="false">
      <c r="A2923" s="0" t="s">
        <v>3883</v>
      </c>
      <c r="C2923" s="0" t="s">
        <v>1206</v>
      </c>
      <c r="D2923" s="0" t="s">
        <v>69</v>
      </c>
      <c r="E2923" s="0" t="s">
        <v>1221</v>
      </c>
      <c r="F2923" s="0" t="n">
        <v>0</v>
      </c>
      <c r="G2923" s="0" t="n">
        <v>0</v>
      </c>
      <c r="H2923" s="0" t="s">
        <v>117</v>
      </c>
      <c r="K2923" s="0" t="s">
        <v>146</v>
      </c>
      <c r="L2923" s="0" t="s">
        <v>4403</v>
      </c>
    </row>
    <row r="2924" customFormat="false" ht="15" hidden="false" customHeight="false" outlineLevel="0" collapsed="false">
      <c r="A2924" s="0" t="s">
        <v>3883</v>
      </c>
      <c r="C2924" s="0" t="s">
        <v>1206</v>
      </c>
      <c r="D2924" s="0" t="s">
        <v>72</v>
      </c>
      <c r="E2924" s="0" t="s">
        <v>1223</v>
      </c>
      <c r="F2924" s="0" t="n">
        <v>0</v>
      </c>
      <c r="G2924" s="0" t="n">
        <v>0</v>
      </c>
      <c r="H2924" s="0" t="s">
        <v>117</v>
      </c>
      <c r="K2924" s="0" t="s">
        <v>149</v>
      </c>
      <c r="L2924" s="0" t="s">
        <v>4404</v>
      </c>
    </row>
    <row r="2925" customFormat="false" ht="15" hidden="false" customHeight="false" outlineLevel="0" collapsed="false">
      <c r="A2925" s="0" t="s">
        <v>3883</v>
      </c>
      <c r="C2925" s="0" t="s">
        <v>1206</v>
      </c>
      <c r="D2925" s="0" t="s">
        <v>75</v>
      </c>
      <c r="E2925" s="0" t="s">
        <v>1225</v>
      </c>
      <c r="F2925" s="0" t="n">
        <v>0</v>
      </c>
      <c r="G2925" s="0" t="n">
        <v>0</v>
      </c>
      <c r="H2925" s="0" t="s">
        <v>117</v>
      </c>
      <c r="K2925" s="0" t="s">
        <v>152</v>
      </c>
      <c r="L2925" s="0" t="s">
        <v>4405</v>
      </c>
    </row>
    <row r="2926" customFormat="false" ht="15" hidden="false" customHeight="false" outlineLevel="0" collapsed="false">
      <c r="A2926" s="0" t="s">
        <v>3883</v>
      </c>
      <c r="C2926" s="0" t="s">
        <v>1206</v>
      </c>
      <c r="D2926" s="0" t="s">
        <v>78</v>
      </c>
      <c r="E2926" s="0" t="s">
        <v>2131</v>
      </c>
      <c r="F2926" s="0" t="n">
        <v>0</v>
      </c>
      <c r="G2926" s="0" t="n">
        <v>0</v>
      </c>
      <c r="H2926" s="0" t="s">
        <v>117</v>
      </c>
      <c r="I2926" s="0" t="s">
        <v>142</v>
      </c>
      <c r="K2926" s="0" t="s">
        <v>156</v>
      </c>
      <c r="L2926" s="0" t="s">
        <v>4406</v>
      </c>
    </row>
    <row r="2927" customFormat="false" ht="15" hidden="false" customHeight="false" outlineLevel="0" collapsed="false">
      <c r="A2927" s="0" t="s">
        <v>3883</v>
      </c>
      <c r="C2927" s="0" t="s">
        <v>1206</v>
      </c>
      <c r="D2927" s="0" t="s">
        <v>81</v>
      </c>
      <c r="E2927" s="0" t="s">
        <v>1229</v>
      </c>
      <c r="F2927" s="0" t="n">
        <v>0</v>
      </c>
      <c r="G2927" s="0" t="n">
        <v>0</v>
      </c>
      <c r="H2927" s="0" t="s">
        <v>117</v>
      </c>
      <c r="K2927" s="0" t="s">
        <v>160</v>
      </c>
      <c r="L2927" s="0" t="s">
        <v>4407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2026-09-26T12:46:40Z</dcterms:created>
  <dc:creator>openpyxl</dc:creator>
  <dc:description/>
  <dc:language>en-US</dc:language>
  <cp:lastModifiedBy/>
  <dcterms:modified xsi:type="dcterms:W3CDTF">2026-09-26T12:46:40Z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